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filterPrivacy="1" defaultThemeVersion="124226"/>
  <xr:revisionPtr revIDLastSave="0" documentId="13_ncr:1_{99488475-007F-4E4D-8448-FED79DA7D5DA}" xr6:coauthVersionLast="47" xr6:coauthVersionMax="47" xr10:uidLastSave="{00000000-0000-0000-0000-000000000000}"/>
  <bookViews>
    <workbookView xWindow="-110" yWindow="-110" windowWidth="19420" windowHeight="11500" tabRatio="805" xr2:uid="{00000000-000D-0000-FFFF-FFFF00000000}"/>
  </bookViews>
  <sheets>
    <sheet name="GCF_2024" sheetId="12" r:id="rId1"/>
    <sheet name="1996-2002" sheetId="14" r:id="rId2"/>
    <sheet name="1989-1995" sheetId="16" r:id="rId3"/>
    <sheet name="1982-1988" sheetId="17" r:id="rId4"/>
    <sheet name="1975-1981" sheetId="18" r:id="rId5"/>
    <sheet name="1968-1974" sheetId="19" r:id="rId6"/>
    <sheet name="1961-1967" sheetId="20" r:id="rId7"/>
    <sheet name="1954-1960" sheetId="21" r:id="rId8"/>
    <sheet name="TIF" sheetId="22" r:id="rId9"/>
    <sheet name="Strategijų_palyginimas" sheetId="3" r:id="rId10"/>
  </sheets>
  <definedNames>
    <definedName name="_xlnm._FilterDatabase" localSheetId="0" hidden="1">GCF_2024!$A$1:$U$58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9" i="14" l="1"/>
  <c r="C9" i="14" l="1"/>
  <c r="B9" i="14"/>
  <c r="C9" i="16"/>
  <c r="B9" i="16"/>
  <c r="A9" i="16"/>
  <c r="C9" i="17"/>
  <c r="B9" i="17"/>
  <c r="A9" i="17"/>
  <c r="C9" i="18"/>
  <c r="B9" i="18"/>
  <c r="A9" i="18"/>
  <c r="C9" i="19"/>
  <c r="B9" i="19"/>
  <c r="A9" i="19"/>
  <c r="C9" i="20"/>
  <c r="B9" i="20"/>
  <c r="A9" i="20"/>
  <c r="C9" i="22"/>
  <c r="B9" i="22"/>
  <c r="A9" i="22"/>
  <c r="C9" i="21"/>
  <c r="B9" i="21"/>
  <c r="A9" i="21"/>
  <c r="C6" i="14"/>
  <c r="C8" i="14"/>
  <c r="A22" i="22" l="1"/>
  <c r="A22" i="21"/>
  <c r="A22" i="20"/>
  <c r="A22" i="19"/>
  <c r="A22" i="18"/>
  <c r="A22" i="17"/>
  <c r="A22" i="16"/>
  <c r="A22" i="14"/>
  <c r="A20" i="22" l="1"/>
  <c r="A21" i="22"/>
  <c r="A19" i="21"/>
  <c r="A20" i="21"/>
  <c r="A21" i="21"/>
  <c r="A19" i="20"/>
  <c r="A20" i="20"/>
  <c r="A21" i="20"/>
  <c r="A19" i="19"/>
  <c r="A20" i="19"/>
  <c r="A21" i="19"/>
  <c r="A19" i="18"/>
  <c r="A20" i="18"/>
  <c r="A21" i="18"/>
  <c r="A19" i="17"/>
  <c r="A20" i="17"/>
  <c r="A21" i="17"/>
  <c r="A19" i="16"/>
  <c r="A20" i="16"/>
  <c r="A21" i="16"/>
  <c r="A19" i="14"/>
  <c r="A20" i="14"/>
  <c r="A21" i="14"/>
  <c r="A25" i="17" l="1"/>
  <c r="A25" i="16"/>
  <c r="A26" i="16"/>
  <c r="A27" i="16"/>
  <c r="A19" i="22"/>
  <c r="B4" i="17"/>
  <c r="C4" i="17"/>
  <c r="B5" i="17"/>
  <c r="C5" i="17"/>
  <c r="B6" i="17"/>
  <c r="C6" i="17"/>
  <c r="B7" i="17"/>
  <c r="C7" i="17"/>
  <c r="B8" i="17"/>
  <c r="C8" i="17"/>
  <c r="B3" i="16"/>
  <c r="C3" i="16"/>
  <c r="B4" i="16"/>
  <c r="A36" i="16" s="1"/>
  <c r="C4" i="16"/>
  <c r="B5" i="16"/>
  <c r="A37" i="16" s="1"/>
  <c r="C5" i="16"/>
  <c r="B6" i="16"/>
  <c r="A38" i="16" s="1"/>
  <c r="C6" i="16"/>
  <c r="B7" i="16"/>
  <c r="A39" i="16" s="1"/>
  <c r="C7" i="16"/>
  <c r="B8" i="16"/>
  <c r="A40" i="16" s="1"/>
  <c r="C8" i="16"/>
  <c r="A1" i="16"/>
  <c r="A2" i="16"/>
  <c r="B2" i="16"/>
  <c r="C2" i="16"/>
  <c r="A3" i="16"/>
  <c r="A4" i="16"/>
  <c r="A5" i="16"/>
  <c r="A6" i="16"/>
  <c r="A7" i="16"/>
  <c r="A8" i="16"/>
  <c r="B4" i="14"/>
  <c r="C4" i="14"/>
  <c r="B5" i="14"/>
  <c r="C5" i="14"/>
  <c r="B6" i="14"/>
  <c r="B7" i="14"/>
  <c r="C7" i="14"/>
  <c r="B8" i="14"/>
  <c r="A5" i="14"/>
  <c r="A6" i="14"/>
  <c r="A7" i="14"/>
  <c r="A8" i="14"/>
  <c r="A4" i="14"/>
  <c r="A3" i="14"/>
  <c r="A18" i="22" l="1"/>
  <c r="A18" i="21"/>
  <c r="A60" i="22" l="1"/>
  <c r="A59" i="22"/>
  <c r="A58" i="22"/>
  <c r="A57" i="22"/>
  <c r="A60" i="21"/>
  <c r="A59" i="21"/>
  <c r="A58" i="21"/>
  <c r="A57" i="21"/>
  <c r="A60" i="20"/>
  <c r="A59" i="20"/>
  <c r="A58" i="20"/>
  <c r="A57" i="20"/>
  <c r="A60" i="19"/>
  <c r="A59" i="19"/>
  <c r="A58" i="19"/>
  <c r="A57" i="19"/>
  <c r="A60" i="18"/>
  <c r="A59" i="18"/>
  <c r="A58" i="18"/>
  <c r="A57" i="18"/>
  <c r="A60" i="17"/>
  <c r="A59" i="17"/>
  <c r="A58" i="17"/>
  <c r="A57" i="17"/>
  <c r="A59" i="16"/>
  <c r="A60" i="16"/>
  <c r="A58" i="16"/>
  <c r="A57" i="16"/>
  <c r="A27" i="22"/>
  <c r="A26" i="22"/>
  <c r="A25" i="22"/>
  <c r="A27" i="21"/>
  <c r="A26" i="21"/>
  <c r="A25" i="21"/>
  <c r="A27" i="20"/>
  <c r="A26" i="20"/>
  <c r="A25" i="20"/>
  <c r="A27" i="19"/>
  <c r="A26" i="19"/>
  <c r="A25" i="19"/>
  <c r="A27" i="18"/>
  <c r="A26" i="18"/>
  <c r="A25" i="18"/>
  <c r="A27" i="17"/>
  <c r="A26" i="17"/>
  <c r="A18" i="20" l="1"/>
  <c r="A18" i="19"/>
  <c r="A18" i="18"/>
  <c r="A18" i="17"/>
  <c r="A18" i="16"/>
  <c r="A18" i="14"/>
  <c r="A17" i="22" l="1"/>
  <c r="A17" i="21"/>
  <c r="A17" i="20"/>
  <c r="A17" i="19"/>
  <c r="A17" i="18"/>
  <c r="A17" i="17"/>
  <c r="A17" i="16"/>
  <c r="A17" i="14"/>
  <c r="B4" i="22" l="1"/>
  <c r="C4" i="22"/>
  <c r="B5" i="22"/>
  <c r="C5" i="22"/>
  <c r="B6" i="22"/>
  <c r="C6" i="22"/>
  <c r="B7" i="22"/>
  <c r="C7" i="22"/>
  <c r="B8" i="22"/>
  <c r="C8" i="22"/>
  <c r="A4" i="22"/>
  <c r="A5" i="22"/>
  <c r="A6" i="22"/>
  <c r="A7" i="22"/>
  <c r="A8" i="22"/>
  <c r="A3" i="22"/>
  <c r="B4" i="21"/>
  <c r="C4" i="21"/>
  <c r="B5" i="21"/>
  <c r="C5" i="21"/>
  <c r="B6" i="21"/>
  <c r="C6" i="21"/>
  <c r="B7" i="21"/>
  <c r="C7" i="21"/>
  <c r="B8" i="21"/>
  <c r="C8" i="21"/>
  <c r="A4" i="21"/>
  <c r="A5" i="21"/>
  <c r="A6" i="21"/>
  <c r="A7" i="21"/>
  <c r="A8" i="21"/>
  <c r="A3" i="21"/>
  <c r="B4" i="20"/>
  <c r="C4" i="20"/>
  <c r="B5" i="20"/>
  <c r="C5" i="20"/>
  <c r="B6" i="20"/>
  <c r="C6" i="20"/>
  <c r="B7" i="20"/>
  <c r="C7" i="20"/>
  <c r="B8" i="20"/>
  <c r="C8" i="20"/>
  <c r="A4" i="20"/>
  <c r="A5" i="20"/>
  <c r="A6" i="20"/>
  <c r="A7" i="20"/>
  <c r="A8" i="20"/>
  <c r="A3" i="20"/>
  <c r="B4" i="19"/>
  <c r="C4" i="19"/>
  <c r="B5" i="19"/>
  <c r="C5" i="19"/>
  <c r="B6" i="19"/>
  <c r="C6" i="19"/>
  <c r="B7" i="19"/>
  <c r="C7" i="19"/>
  <c r="B8" i="19"/>
  <c r="C8" i="19"/>
  <c r="A4" i="19"/>
  <c r="A5" i="19"/>
  <c r="A6" i="19"/>
  <c r="A7" i="19"/>
  <c r="A8" i="19"/>
  <c r="A3" i="19"/>
  <c r="B4" i="18"/>
  <c r="C4" i="18"/>
  <c r="B5" i="18"/>
  <c r="C5" i="18"/>
  <c r="B6" i="18"/>
  <c r="C6" i="18"/>
  <c r="B7" i="18"/>
  <c r="C7" i="18"/>
  <c r="B8" i="18"/>
  <c r="C8" i="18"/>
  <c r="A4" i="18"/>
  <c r="A5" i="18"/>
  <c r="A6" i="18"/>
  <c r="A7" i="18"/>
  <c r="A8" i="18"/>
  <c r="A3" i="18"/>
  <c r="A4" i="17"/>
  <c r="A5" i="17"/>
  <c r="A6" i="17"/>
  <c r="A7" i="17"/>
  <c r="A8" i="17"/>
  <c r="A3" i="17"/>
  <c r="A16" i="22"/>
  <c r="A15" i="22"/>
  <c r="A14" i="22"/>
  <c r="A13" i="22"/>
  <c r="A12" i="22"/>
  <c r="A11" i="22"/>
  <c r="C2" i="22"/>
  <c r="B2" i="22"/>
  <c r="A2" i="22"/>
  <c r="A1" i="22"/>
  <c r="A16" i="21"/>
  <c r="A15" i="21"/>
  <c r="A14" i="21"/>
  <c r="A13" i="21"/>
  <c r="A12" i="21"/>
  <c r="A11" i="21"/>
  <c r="C2" i="21"/>
  <c r="B2" i="21"/>
  <c r="A2" i="21"/>
  <c r="A1" i="21"/>
  <c r="A16" i="20"/>
  <c r="A15" i="20"/>
  <c r="A14" i="20"/>
  <c r="A13" i="20"/>
  <c r="A12" i="20"/>
  <c r="A11" i="20"/>
  <c r="C2" i="20"/>
  <c r="B2" i="20"/>
  <c r="A2" i="20"/>
  <c r="A1" i="20"/>
  <c r="A16" i="19"/>
  <c r="A15" i="19"/>
  <c r="A14" i="19"/>
  <c r="A13" i="19"/>
  <c r="A12" i="19"/>
  <c r="A11" i="19"/>
  <c r="C2" i="19"/>
  <c r="B2" i="19"/>
  <c r="A2" i="19"/>
  <c r="A1" i="19"/>
  <c r="A16" i="18"/>
  <c r="A15" i="18"/>
  <c r="A14" i="18"/>
  <c r="A13" i="18"/>
  <c r="A12" i="18"/>
  <c r="A11" i="18"/>
  <c r="C2" i="18"/>
  <c r="B2" i="18"/>
  <c r="A2" i="18"/>
  <c r="A1" i="18"/>
  <c r="A16" i="17"/>
  <c r="A15" i="17"/>
  <c r="A14" i="17"/>
  <c r="A13" i="17"/>
  <c r="A12" i="17"/>
  <c r="A11" i="17"/>
  <c r="C2" i="17"/>
  <c r="B2" i="17"/>
  <c r="A2" i="17"/>
  <c r="A1" i="17"/>
  <c r="A16" i="16"/>
  <c r="A15" i="16"/>
  <c r="A14" i="16"/>
  <c r="A13" i="16"/>
  <c r="A12" i="16"/>
  <c r="A11" i="16"/>
  <c r="A12" i="14"/>
  <c r="A13" i="14"/>
  <c r="A14" i="14"/>
  <c r="A15" i="14"/>
  <c r="A16" i="14"/>
  <c r="A11" i="14"/>
  <c r="B2" i="14"/>
  <c r="C2" i="14"/>
  <c r="A36" i="14"/>
  <c r="A37" i="14"/>
  <c r="A38" i="14"/>
  <c r="A69" i="14"/>
  <c r="A70" i="14"/>
  <c r="A2" i="14"/>
  <c r="A1" i="14"/>
  <c r="A69" i="22" l="1"/>
  <c r="A39" i="22"/>
  <c r="A67" i="22"/>
  <c r="A37" i="22"/>
  <c r="A40" i="22"/>
  <c r="A70" i="22"/>
  <c r="A68" i="22"/>
  <c r="A38" i="22"/>
  <c r="A36" i="22"/>
  <c r="A66" i="22"/>
  <c r="A37" i="21"/>
  <c r="A67" i="21"/>
  <c r="A40" i="21"/>
  <c r="A70" i="21"/>
  <c r="A36" i="21"/>
  <c r="A66" i="21"/>
  <c r="A69" i="21"/>
  <c r="A39" i="21"/>
  <c r="A68" i="21"/>
  <c r="A38" i="21"/>
  <c r="A37" i="20"/>
  <c r="A67" i="20"/>
  <c r="A70" i="20"/>
  <c r="A40" i="20"/>
  <c r="A66" i="20"/>
  <c r="A36" i="20"/>
  <c r="A39" i="20"/>
  <c r="A69" i="20"/>
  <c r="A38" i="20"/>
  <c r="A68" i="20"/>
  <c r="A66" i="19"/>
  <c r="A37" i="19"/>
  <c r="A70" i="19"/>
  <c r="A40" i="19"/>
  <c r="A67" i="19"/>
  <c r="A36" i="19"/>
  <c r="A39" i="19"/>
  <c r="A69" i="19"/>
  <c r="A68" i="19"/>
  <c r="A38" i="19"/>
  <c r="A37" i="18"/>
  <c r="A66" i="18"/>
  <c r="A39" i="18"/>
  <c r="A69" i="18"/>
  <c r="A70" i="18"/>
  <c r="A40" i="18"/>
  <c r="A67" i="18"/>
  <c r="A36" i="18"/>
  <c r="A68" i="18"/>
  <c r="A38" i="18"/>
  <c r="A67" i="17"/>
  <c r="A37" i="17"/>
  <c r="A40" i="17"/>
  <c r="A70" i="17"/>
  <c r="A36" i="17"/>
  <c r="A66" i="17"/>
  <c r="A39" i="17"/>
  <c r="A69" i="17"/>
  <c r="A68" i="17"/>
  <c r="A38" i="17"/>
  <c r="A67" i="16"/>
  <c r="A70" i="16"/>
  <c r="A66" i="16"/>
  <c r="A69" i="16"/>
  <c r="A68" i="16"/>
  <c r="A40" i="14"/>
  <c r="A39" i="14"/>
  <c r="A68" i="14"/>
  <c r="A66" i="14"/>
  <c r="A67" i="14"/>
  <c r="D66" i="14" l="1"/>
  <c r="B69" i="21"/>
  <c r="B70" i="20"/>
  <c r="B69" i="20"/>
  <c r="B67" i="20"/>
  <c r="B68" i="20"/>
  <c r="B70" i="17"/>
  <c r="B68" i="17"/>
  <c r="B70" i="16"/>
  <c r="B68" i="16"/>
  <c r="B70" i="22"/>
  <c r="D69" i="17"/>
  <c r="B66" i="20"/>
  <c r="B66" i="17"/>
  <c r="B66" i="18"/>
  <c r="D66" i="19"/>
  <c r="B69" i="19"/>
  <c r="B36" i="21" l="1"/>
  <c r="C68" i="14"/>
  <c r="C67" i="21"/>
  <c r="C37" i="21"/>
  <c r="C66" i="21"/>
  <c r="C36" i="21"/>
  <c r="C38" i="17"/>
  <c r="C68" i="17"/>
  <c r="C69" i="17"/>
  <c r="C39" i="17"/>
  <c r="C70" i="17"/>
  <c r="C40" i="17"/>
  <c r="C38" i="21"/>
  <c r="C68" i="21"/>
  <c r="C39" i="21"/>
  <c r="C69" i="21"/>
  <c r="C70" i="21"/>
  <c r="C40" i="21"/>
  <c r="C67" i="17"/>
  <c r="C37" i="17"/>
  <c r="C66" i="17"/>
  <c r="C36" i="17"/>
  <c r="B66" i="14"/>
  <c r="D66" i="21"/>
  <c r="D66" i="17"/>
  <c r="D66" i="20"/>
  <c r="D66" i="22"/>
  <c r="D66" i="16"/>
  <c r="D67" i="19"/>
  <c r="D67" i="18"/>
  <c r="D68" i="16"/>
  <c r="D69" i="16"/>
  <c r="D70" i="16"/>
  <c r="D68" i="21"/>
  <c r="D68" i="19"/>
  <c r="B68" i="21"/>
  <c r="B67" i="22"/>
  <c r="B68" i="19"/>
  <c r="B70" i="19"/>
  <c r="D70" i="22"/>
  <c r="D68" i="20"/>
  <c r="D69" i="20"/>
  <c r="D70" i="20"/>
  <c r="D67" i="17"/>
  <c r="D70" i="18"/>
  <c r="D68" i="22"/>
  <c r="D67" i="14"/>
  <c r="D70" i="14"/>
  <c r="D68" i="14"/>
  <c r="B68" i="18"/>
  <c r="B69" i="18"/>
  <c r="B70" i="18"/>
  <c r="B68" i="14"/>
  <c r="D67" i="16"/>
  <c r="D67" i="21"/>
  <c r="D69" i="18"/>
  <c r="D66" i="18"/>
  <c r="D67" i="22"/>
  <c r="D70" i="19"/>
  <c r="D69" i="14"/>
  <c r="B68" i="22"/>
  <c r="B69" i="22"/>
  <c r="D67" i="20"/>
  <c r="D69" i="19"/>
  <c r="B70" i="21"/>
  <c r="D68" i="17"/>
  <c r="D69" i="22"/>
  <c r="B67" i="17"/>
  <c r="B69" i="17"/>
  <c r="B67" i="16"/>
  <c r="B67" i="14"/>
  <c r="B67" i="21"/>
  <c r="D70" i="21"/>
  <c r="D70" i="17"/>
  <c r="B69" i="14"/>
  <c r="B70" i="14"/>
  <c r="B69" i="16"/>
  <c r="B66" i="19"/>
  <c r="D68" i="18"/>
  <c r="D69" i="21"/>
  <c r="B66" i="16"/>
  <c r="B67" i="18"/>
  <c r="B66" i="21"/>
  <c r="B67" i="19"/>
  <c r="B66" i="22"/>
  <c r="C38" i="14" l="1"/>
  <c r="C40" i="20"/>
  <c r="C70" i="20"/>
  <c r="C40" i="16"/>
  <c r="C70" i="16"/>
  <c r="C66" i="20"/>
  <c r="C36" i="20"/>
  <c r="C36" i="16"/>
  <c r="C66" i="16"/>
  <c r="C69" i="20"/>
  <c r="C39" i="20"/>
  <c r="C39" i="16"/>
  <c r="C69" i="16"/>
  <c r="C37" i="20"/>
  <c r="C67" i="20"/>
  <c r="C67" i="16"/>
  <c r="C37" i="16"/>
  <c r="C68" i="20"/>
  <c r="C38" i="20"/>
  <c r="C38" i="16"/>
  <c r="C68" i="16"/>
  <c r="C70" i="19"/>
  <c r="C40" i="19"/>
  <c r="C40" i="14"/>
  <c r="C70" i="14"/>
  <c r="C67" i="19"/>
  <c r="C36" i="19"/>
  <c r="C66" i="14"/>
  <c r="C36" i="14"/>
  <c r="C39" i="19"/>
  <c r="C69" i="19"/>
  <c r="C39" i="14"/>
  <c r="C69" i="14"/>
  <c r="C66" i="19"/>
  <c r="C37" i="19"/>
  <c r="C37" i="14"/>
  <c r="C67" i="14"/>
  <c r="C38" i="19"/>
  <c r="C68" i="19"/>
  <c r="C40" i="22"/>
  <c r="C70" i="22"/>
  <c r="C70" i="18"/>
  <c r="C40" i="18"/>
  <c r="C36" i="22"/>
  <c r="C66" i="22"/>
  <c r="C67" i="18"/>
  <c r="C36" i="18"/>
  <c r="C39" i="22"/>
  <c r="C69" i="22"/>
  <c r="C39" i="18"/>
  <c r="C69" i="18"/>
  <c r="C67" i="22"/>
  <c r="C37" i="22"/>
  <c r="C37" i="18"/>
  <c r="C66" i="18"/>
  <c r="C38" i="22"/>
  <c r="C68" i="22"/>
  <c r="C38" i="18"/>
  <c r="C68" i="18"/>
  <c r="B40" i="22"/>
  <c r="B39" i="20"/>
  <c r="B36" i="14"/>
  <c r="B36" i="20"/>
  <c r="B38" i="18"/>
  <c r="B37" i="22"/>
  <c r="B38" i="14"/>
  <c r="B39" i="22"/>
  <c r="B36" i="18"/>
  <c r="B39" i="21"/>
  <c r="B40" i="14"/>
  <c r="B37" i="19"/>
  <c r="B39" i="19"/>
  <c r="B37" i="21"/>
  <c r="B37" i="17"/>
  <c r="B38" i="20"/>
  <c r="B36" i="22"/>
  <c r="B39" i="16"/>
  <c r="B36" i="16"/>
  <c r="B40" i="17"/>
  <c r="B36" i="19"/>
  <c r="B37" i="18"/>
  <c r="B39" i="17"/>
  <c r="B38" i="16"/>
  <c r="B37" i="20"/>
  <c r="B39" i="14"/>
  <c r="B38" i="19"/>
  <c r="B40" i="18"/>
  <c r="B40" i="19"/>
  <c r="B40" i="20"/>
  <c r="B36" i="17"/>
  <c r="B38" i="21"/>
  <c r="B38" i="17"/>
  <c r="B37" i="14"/>
  <c r="B39" i="18"/>
  <c r="B38" i="22"/>
  <c r="B40" i="21"/>
  <c r="B37" i="16"/>
  <c r="B40" i="16"/>
</calcChain>
</file>

<file path=xl/sharedStrings.xml><?xml version="1.0" encoding="utf-8"?>
<sst xmlns="http://schemas.openxmlformats.org/spreadsheetml/2006/main" count="709" uniqueCount="168">
  <si>
    <t>Fondas</t>
  </si>
  <si>
    <t>SBN-96/02</t>
  </si>
  <si>
    <t>INV-96/02</t>
  </si>
  <si>
    <t>SWD-96/02</t>
  </si>
  <si>
    <t>LMN-96/02</t>
  </si>
  <si>
    <t>AVI-96/02</t>
  </si>
  <si>
    <t>SBN-89/95</t>
  </si>
  <si>
    <t>INV-89/95</t>
  </si>
  <si>
    <t>SWD-89/95</t>
  </si>
  <si>
    <t>LMN-89/95</t>
  </si>
  <si>
    <t>AVI-89/95</t>
  </si>
  <si>
    <t>SBN-82/88</t>
  </si>
  <si>
    <t>INV-82/88</t>
  </si>
  <si>
    <t>SWD-82/88</t>
  </si>
  <si>
    <t>LMN-82/88</t>
  </si>
  <si>
    <t>AVI-82/88</t>
  </si>
  <si>
    <t>SBN-75/81</t>
  </si>
  <si>
    <t>INV-75/81</t>
  </si>
  <si>
    <t>SWD-75/81</t>
  </si>
  <si>
    <t>LMN-75/81</t>
  </si>
  <si>
    <t>AVI-75/81</t>
  </si>
  <si>
    <t>SBN-68/74</t>
  </si>
  <si>
    <t>INV-68/74</t>
  </si>
  <si>
    <t>SWD-68/74</t>
  </si>
  <si>
    <t>LMN-68/74</t>
  </si>
  <si>
    <t>AVI-68/74</t>
  </si>
  <si>
    <t>SWD-61/67</t>
  </si>
  <si>
    <t>LMN-61/67</t>
  </si>
  <si>
    <t>SBN-61/67</t>
  </si>
  <si>
    <t>INV-61/67</t>
  </si>
  <si>
    <t>AVI-61/67</t>
  </si>
  <si>
    <t>SWD-54/60</t>
  </si>
  <si>
    <t>LMN-54/60</t>
  </si>
  <si>
    <t>SBN-54/60</t>
  </si>
  <si>
    <t>AVI-54/60</t>
  </si>
  <si>
    <t>INV-54/60</t>
  </si>
  <si>
    <t xml:space="preserve">Luminor investicijų valdymas UAB </t>
  </si>
  <si>
    <t>SBN-TIPF</t>
  </si>
  <si>
    <t>INV-TIPF</t>
  </si>
  <si>
    <t>SWD-TIPF</t>
  </si>
  <si>
    <t>LMN-TIPF</t>
  </si>
  <si>
    <t>AVI-TIPF</t>
  </si>
  <si>
    <t xml:space="preserve">Pensijų kaupimo bendrovės pavadinimas
</t>
  </si>
  <si>
    <t xml:space="preserve">Fondo kodas
</t>
  </si>
  <si>
    <t xml:space="preserve">Pensijų fondo pavadinimas
</t>
  </si>
  <si>
    <t>Tikslinės pensijų fondų dalyvių grupės pensijų fondai, 1996-2002</t>
  </si>
  <si>
    <t>Luminor 1996–2002 tikslinės grupės pensijų fondas</t>
  </si>
  <si>
    <t>SEB 1996–2002 metų tikslinės grupės pensijų kaupimo fondas</t>
  </si>
  <si>
    <t>Tikslinės pensijų fondų dalyvių grupės pensijų fondai, 1989-1995</t>
  </si>
  <si>
    <t>Luminor 1989–1995 tikslinės grupės pensijų fondas</t>
  </si>
  <si>
    <t>SEB 1989–1995 metų tikslinės grupės pensijų kaupimo fondas</t>
  </si>
  <si>
    <t>Tikslinės pensijų fondų dalyvių grupės pensijų fondai, 1982-1988</t>
  </si>
  <si>
    <t>Luminor 1982–1988 tikslinės grupės pensijų fondas</t>
  </si>
  <si>
    <t>SEB 1982–1988 metų tikslinės grupės pensijų kaupimo fondas</t>
  </si>
  <si>
    <t>Tikslinės pensijų fondų dalyvių grupės pensijų fondai, 1975-1981</t>
  </si>
  <si>
    <t>Luminor 1975–1981 tikslinės grupės pensijų fondas</t>
  </si>
  <si>
    <t>SEB 1975–1981 metų tikslinės grupės pensijų kaupimo fondas</t>
  </si>
  <si>
    <t>Tikslinės pensijų fondų dalyvių grupės pensijų fondai, 1968-1974</t>
  </si>
  <si>
    <t>Luminor 1968–1974 tikslinės grupės pensijų fondas</t>
  </si>
  <si>
    <t>SEB 1968–1974 metų tikslinės grupės pensijų kaupimo fondas</t>
  </si>
  <si>
    <t>Tikslinės pensijų fondų dalyvių grupės pensijų fondai, 1961-1967</t>
  </si>
  <si>
    <t>Luminor 1961–1967 tikslinės grupės pensijų fondas</t>
  </si>
  <si>
    <t>SEB 1961–1967 metų tikslinės grupės pensijų kaupimo fondas</t>
  </si>
  <si>
    <t>Tikslinės pensijų fondų dalyvių grupės pensijų fondai, 1954-1960</t>
  </si>
  <si>
    <t>Luminor 1954–1960 tikslinės grupės pensijų fondas</t>
  </si>
  <si>
    <t>SEB 1954–1960 metų tikslinės grupės pensijų kaupimo fondas</t>
  </si>
  <si>
    <t>Swedbank pensija 1954–1960</t>
  </si>
  <si>
    <t>Pensijų turto išsaugojimo pensijų fondai</t>
  </si>
  <si>
    <t>INVL pensijų turto išsaugojimo fondas</t>
  </si>
  <si>
    <t>SEB turto išsaugojimo pensijų kaupimo fondas</t>
  </si>
  <si>
    <t>Swedbank turto išsaugojimo pensijų fondas</t>
  </si>
  <si>
    <t>Dalyvių skaičius</t>
  </si>
  <si>
    <t>Grąža</t>
  </si>
  <si>
    <t>Rizika</t>
  </si>
  <si>
    <t>Dalyvio amžius</t>
  </si>
  <si>
    <t xml:space="preserve">Strategija </t>
  </si>
  <si>
    <t>Grįžti į pagrindinį puslapį</t>
  </si>
  <si>
    <t>Dalyvių sk. (tūkst.)</t>
  </si>
  <si>
    <t>Grąža (proc.)</t>
  </si>
  <si>
    <t>Fondo turtas (mln. Eur)</t>
  </si>
  <si>
    <t>Rizikingų turto klasių dalis *</t>
  </si>
  <si>
    <t>* Rizikingų turto klasių dalis gali būti padidinta arba sumažinta iki 10 procentinių punktų.</t>
  </si>
  <si>
    <r>
      <rPr>
        <b/>
        <u/>
        <sz val="10"/>
        <rFont val="Verdana"/>
        <family val="2"/>
        <charset val="186"/>
      </rPr>
      <t>Pastaba:</t>
    </r>
    <r>
      <rPr>
        <b/>
        <sz val="10"/>
        <rFont val="Verdana"/>
        <family val="2"/>
        <charset val="186"/>
      </rPr>
      <t xml:space="preserve"> </t>
    </r>
    <r>
      <rPr>
        <sz val="10"/>
        <rFont val="Verdana"/>
        <family val="2"/>
        <charset val="186"/>
      </rPr>
      <t>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r>
  </si>
  <si>
    <t>Kuo pensijų fondas paveiksle vaizduojamas aukščiau, tuo jo uždirbama grąža yra didesnė. Kuo žemiau – tuo grąža mažesnė.</t>
  </si>
  <si>
    <t>Dešiniau pavaizduoti pensijų fondai prisiima didesnę riziką (jų vieneto vertės svyruoja daugiau). Kairiau – mažesnę (jų vieneto vertės svyruoja mažiau).</t>
  </si>
  <si>
    <t>Kuo pensijų fondas paveiksle pavaizduotas aukščiau, tuo jo uždirbama grąža yra didesnė. Kuo žemiau – tuo grąža mažesnė.</t>
  </si>
  <si>
    <t>Dešiniau pavaizduoti pensijų fondai turi daugiau dalyvių. Kairiau – mažiau.</t>
  </si>
  <si>
    <t>Kuo didesnis fondą vaizduojančio skritulio dydis – tuo fondas turi daugiau turto. Kuo mažesnis – mažiau.</t>
  </si>
  <si>
    <t>UAB „SEB investicijų valdymas“</t>
  </si>
  <si>
    <t>UAB „Swedbank investicijų valdymas“</t>
  </si>
  <si>
    <t>Veiklos 
laikotarpis, metais</t>
  </si>
  <si>
    <t>-</t>
  </si>
  <si>
    <t>vieneto vertės pokytis nuo metų pradžios, proc. [1]</t>
  </si>
  <si>
    <t>[1] Apskaitos vieneto vertės pokytis. Juo atsižvelgiama į atskaitymus nuo turto.</t>
  </si>
  <si>
    <t>lyginamojo indekso vertės pokytis nuo metų pradžios, proc. [2]</t>
  </si>
  <si>
    <t xml:space="preserve">[2] Lyginamasis indeksas apibrėžiamas kaip pensijų kaupimo bendrovės pasirinktas orientacinis investicijų portfelis, atitinkantis fondo investavimo strategiją, su kurio vertės pokyčio reikšme lyginama fondo investicijų portfelio investicijų grąža. </t>
  </si>
  <si>
    <t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t>
  </si>
  <si>
    <t xml:space="preserve">Rizika [3] </t>
  </si>
  <si>
    <t>Svertinis vidurkis [4]:</t>
  </si>
  <si>
    <t>rizikingų aktyvų dalis fonde, proc. [5]</t>
  </si>
  <si>
    <t>Grynųjų aktyvų vertė, mln. Eur [6]</t>
  </si>
  <si>
    <t>[6] Grynieji aktyvai – pensijų fondą sudarančio turto ir įsipareigojimų verčių skirtumas.</t>
  </si>
  <si>
    <t xml:space="preserve">Swedbank pensija 1996–2002 [7] </t>
  </si>
  <si>
    <t xml:space="preserve">Swedbank pensija 1989–1995 [7] </t>
  </si>
  <si>
    <t xml:space="preserve">Swedbank pensija 1982–1988 [7] </t>
  </si>
  <si>
    <t xml:space="preserve">Swedbank pensija 1975–1981 [7] </t>
  </si>
  <si>
    <t xml:space="preserve">Swedbank pensija 1968–1974 [7] </t>
  </si>
  <si>
    <t xml:space="preserve">Swedbank pensija 1961–1967 [7] </t>
  </si>
  <si>
    <r>
      <t xml:space="preserve">[7] Šie </t>
    </r>
    <r>
      <rPr>
        <sz val="10"/>
        <rFont val="Verdana"/>
        <family val="2"/>
      </rPr>
      <t>UAB „Swedbank investicijų valdymas“</t>
    </r>
    <r>
      <rPr>
        <sz val="10"/>
        <rFont val="Verdana"/>
        <family val="2"/>
        <charset val="186"/>
      </rPr>
      <t xml:space="preserve"> valdomi pensijų fondai pradėjo veiklą 2018-03-01, tačiau dėl 2019 m. sausio mėnesį įsigaliojusios pensijų pertvark</t>
    </r>
    <r>
      <rPr>
        <sz val="10"/>
        <rFont val="Verdana"/>
        <family val="2"/>
      </rPr>
      <t>os paga</t>
    </r>
    <r>
      <rPr>
        <sz val="10"/>
        <rFont val="Verdana"/>
        <family val="2"/>
        <charset val="186"/>
      </rPr>
      <t>l galiojančius teisės aktus buvo įsteigti iš naujo, todėl jų rezultatai skaičiuojami nuo 2019 m. sausio 1 d. (kaip ir visų II pakopos pensijų fondų).</t>
    </r>
  </si>
  <si>
    <t>Visų pensijų fondų svertinis vidurkis [4]:</t>
  </si>
  <si>
    <t>Luminor turto išsaugojimo fondas</t>
  </si>
  <si>
    <t xml:space="preserve">vieneto vertės standartinis nuokrypis, per praėjusius 3 metus, proc. </t>
  </si>
  <si>
    <t xml:space="preserve">lyginamojo indekso standartinis nuokrypis, per praėjusius 3 metus, proc. </t>
  </si>
  <si>
    <t>Rizikos ir grąžos palyginimas (per praėjusius 3 metus)</t>
  </si>
  <si>
    <t>Dalyvių skaičiaus, grąžos (per praėjusius 3 metus) ir fondo turto palyginimas</t>
  </si>
  <si>
    <t>[5] Investicijų į akcijas dalis, numatyta pensijų fondo strategijoje. Rizikingų turto klasių dalis gali būti padidinta arba sumažinta iki 10 procentinių punktų.</t>
  </si>
  <si>
    <t>Allianz Lietuva gyvybės draudimas UAB</t>
  </si>
  <si>
    <t>Allianz Y3 1996–2002 tikslinės grupės pensijų fondas</t>
  </si>
  <si>
    <t>Allianz Y2 1989–1995 tikslinės grupės pensijų fondas</t>
  </si>
  <si>
    <t>Allianz Y1 1982–1988 tikslinės grupės pensijų fondas</t>
  </si>
  <si>
    <t>Allianz X3 1975–1981 tikslinės grupės pensijų fondas</t>
  </si>
  <si>
    <t>Allianz X2 1968–1974 tikslinės grupės pensijų fondas</t>
  </si>
  <si>
    <t>Allianz X1 1961–1967 tikslinės grupės pensijų fondas</t>
  </si>
  <si>
    <t>Allianz B 1954–1960 tikslinės grupės pensijų fondas</t>
  </si>
  <si>
    <t>INVL pensija 1996–2002 Index Plus</t>
  </si>
  <si>
    <t>INVL pensija 1989–1995 Index Plus</t>
  </si>
  <si>
    <t>INVL pensija 1982–1988 Index Plus</t>
  </si>
  <si>
    <t>INVL pensija 1975–1981 Index Plus</t>
  </si>
  <si>
    <t>INVL pensija 1968–1974 Index Plus</t>
  </si>
  <si>
    <t>INVL pensija 1961–1967 Index Plus</t>
  </si>
  <si>
    <t>INVL pensija 1954–1960 Index Plus</t>
  </si>
  <si>
    <t>Goindex, UAB</t>
  </si>
  <si>
    <t>GOX-96/02</t>
  </si>
  <si>
    <t>GOX-89/95</t>
  </si>
  <si>
    <t>GOX-82/88</t>
  </si>
  <si>
    <t>GOX-75/81</t>
  </si>
  <si>
    <t>GOX-68/74</t>
  </si>
  <si>
    <t>GOX-61/67</t>
  </si>
  <si>
    <t>GOX-54/60</t>
  </si>
  <si>
    <t>GOX-TIPF</t>
  </si>
  <si>
    <t>Goindex pensija 1954–1960 tikslinės grupės pensijų fondas</t>
  </si>
  <si>
    <t>Goindex pensija 1961–1967 tikslinės grupės pensijų fondas</t>
  </si>
  <si>
    <t>Goindex pensija 1968–1974 tikslinės grupės pensijų fondas</t>
  </si>
  <si>
    <t>Goindex pensija 1975–1981 tikslinės grupės pensijų fondas</t>
  </si>
  <si>
    <t>Goindex pensija 1982–1988 tikslinės grupės pensijų fondas</t>
  </si>
  <si>
    <t>Goindex pensija 1989–1995 tikslinės grupės pensijų fondas</t>
  </si>
  <si>
    <t>Goindex pensija 1996–2002 tikslinės grupės pensijų fondas</t>
  </si>
  <si>
    <t>Goindex turto išsaugojimo pensijų fondas</t>
  </si>
  <si>
    <t>Allianz S turto išsaugojimo pensijų fondas</t>
  </si>
  <si>
    <t>BAR, proc. [8]</t>
  </si>
  <si>
    <t>Sąlyginis BIK, proc. [9]</t>
  </si>
  <si>
    <t>Tikėtinas  sąlyginis BIK, proc. [9]</t>
  </si>
  <si>
    <t>[8]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t>
  </si>
  <si>
    <t>[9]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t>
  </si>
  <si>
    <t>Goindex, UAB [11]</t>
  </si>
  <si>
    <t>[10] Apskaičiuota taikant geometrinį vidurkį.</t>
  </si>
  <si>
    <t>vidutinis metinis vieneto vertės pokytis [10] per praėjusius 3 metus, proc.</t>
  </si>
  <si>
    <t>vidutinis metinis vieneto vertės pokytis [10] per praėjusius 4 metus, proc.</t>
  </si>
  <si>
    <t>vidutinis lyginamojo indekso vertės pokytis [10] per praėjusius 3 metus, proc.</t>
  </si>
  <si>
    <t>vidutinis lyginamojo indekso vertės pokytis [10] per praėjusius 4 metus, proc.</t>
  </si>
  <si>
    <t>UAB "SB Asset Management"</t>
  </si>
  <si>
    <t>5 m. 3 mėn.</t>
  </si>
  <si>
    <t>1 m. 8 mėn.</t>
  </si>
  <si>
    <t>UAB „SB Asset Management“</t>
  </si>
  <si>
    <t>Veikia trumpiau</t>
  </si>
  <si>
    <t>[4] Svertiniam vidurkiui apskaičiuoti naudotas 2024-03-29 dienos fondų grynųjų aktyvų dydis.</t>
  </si>
  <si>
    <t>Išlaidų rodikliai (2023 m.)</t>
  </si>
  <si>
    <t>[11] Goindex, UAB valdomi pensijų fondai įsteigti 2022-07-05.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</si>
</sst>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 _€_-;\-* #,##0.00\ _€_-;_-* &quot;-&quot;??\ _€_-;_-@_-"/>
    <numFmt numFmtId="165" formatCode="_-* #,##0\ _€_-;\-* #,##0\ _€_-;_-* &quot;-&quot;??\ _€_-;_-@_-"/>
    <numFmt numFmtId="166" formatCode="0.00_ ;[Red]\-0.00\ "/>
    <numFmt numFmtId="167" formatCode="0.000"/>
    <numFmt numFmtId="168" formatCode="0.0%"/>
  </numFmts>
  <fonts count="35" x14ac:knownFonts="1">
    <font>
      <sz val="11"/>
      <color theme="1"/>
      <name val="Calibri"/>
      <family val="2"/>
      <scheme val="minor"/>
    </font>
    <font>
      <sz val="11"/>
      <color theme="1"/>
      <name val="Calibri"/>
      <family val="2"/>
      <charset val="186"/>
      <scheme val="minor"/>
    </font>
    <font>
      <sz val="11"/>
      <color theme="1"/>
      <name val="Calibri"/>
      <family val="2"/>
      <scheme val="minor"/>
    </font>
    <font>
      <b/>
      <sz val="11"/>
      <color theme="1"/>
      <name val="Calibri"/>
      <family val="2"/>
      <charset val="186"/>
      <scheme val="minor"/>
    </font>
    <font>
      <sz val="11"/>
      <color theme="1"/>
      <name val="Verdana"/>
      <family val="2"/>
      <charset val="186"/>
    </font>
    <font>
      <b/>
      <sz val="11"/>
      <color theme="1"/>
      <name val="Verdana"/>
      <family val="2"/>
      <charset val="186"/>
    </font>
    <font>
      <b/>
      <sz val="10"/>
      <color theme="1"/>
      <name val="Verdana"/>
      <family val="2"/>
      <charset val="186"/>
    </font>
    <font>
      <u/>
      <sz val="11"/>
      <color theme="10"/>
      <name val="Calibri"/>
      <family val="2"/>
      <scheme val="minor"/>
    </font>
    <font>
      <sz val="9"/>
      <color theme="1"/>
      <name val="Verdana"/>
      <family val="2"/>
      <charset val="186"/>
    </font>
    <font>
      <b/>
      <sz val="9"/>
      <color rgb="FFC00000"/>
      <name val="Verdana"/>
      <family val="2"/>
      <charset val="186"/>
    </font>
    <font>
      <sz val="9"/>
      <name val="Verdana"/>
      <family val="2"/>
      <charset val="186"/>
    </font>
    <font>
      <sz val="9"/>
      <color theme="0" tint="-0.499984740745262"/>
      <name val="Verdana"/>
      <family val="2"/>
      <charset val="186"/>
    </font>
    <font>
      <sz val="10"/>
      <name val="Arial"/>
      <family val="2"/>
      <charset val="186"/>
    </font>
    <font>
      <b/>
      <sz val="9"/>
      <name val="Verdana"/>
      <family val="2"/>
      <charset val="186"/>
    </font>
    <font>
      <sz val="12"/>
      <color theme="1"/>
      <name val="Calibri"/>
      <family val="2"/>
      <scheme val="minor"/>
    </font>
    <font>
      <b/>
      <i/>
      <u/>
      <sz val="10"/>
      <color rgb="FFFF0000"/>
      <name val="Verdana"/>
      <family val="2"/>
      <charset val="186"/>
    </font>
    <font>
      <b/>
      <sz val="10"/>
      <name val="Verdana"/>
      <family val="2"/>
      <charset val="186"/>
    </font>
    <font>
      <b/>
      <sz val="11"/>
      <color rgb="FFFF0000"/>
      <name val="Verdana"/>
      <family val="2"/>
      <charset val="186"/>
    </font>
    <font>
      <b/>
      <sz val="10"/>
      <color rgb="FFFF0000"/>
      <name val="Verdana"/>
      <family val="2"/>
      <charset val="186"/>
    </font>
    <font>
      <b/>
      <sz val="10"/>
      <color theme="0"/>
      <name val="Verdana"/>
      <family val="2"/>
      <charset val="186"/>
    </font>
    <font>
      <sz val="10"/>
      <name val="Verdana"/>
      <family val="2"/>
    </font>
    <font>
      <b/>
      <u/>
      <sz val="10"/>
      <color theme="0"/>
      <name val="Verdana"/>
      <family val="2"/>
      <charset val="186"/>
    </font>
    <font>
      <sz val="9"/>
      <color theme="0"/>
      <name val="Verdana"/>
      <family val="2"/>
      <charset val="186"/>
    </font>
    <font>
      <sz val="10"/>
      <color theme="1"/>
      <name val="Verdana"/>
      <family val="2"/>
      <charset val="186"/>
    </font>
    <font>
      <sz val="10"/>
      <color theme="0"/>
      <name val="Verdana"/>
      <family val="2"/>
      <charset val="186"/>
    </font>
    <font>
      <b/>
      <sz val="10"/>
      <color theme="0"/>
      <name val="Verdana"/>
      <family val="2"/>
    </font>
    <font>
      <b/>
      <u/>
      <sz val="11"/>
      <color theme="1"/>
      <name val="Verdana"/>
      <family val="2"/>
      <charset val="186"/>
    </font>
    <font>
      <b/>
      <sz val="11"/>
      <name val="Verdana"/>
      <family val="2"/>
      <charset val="186"/>
    </font>
    <font>
      <sz val="10"/>
      <name val="Verdana"/>
      <family val="2"/>
      <charset val="186"/>
    </font>
    <font>
      <sz val="10"/>
      <color rgb="FFFF0000"/>
      <name val="Verdana"/>
      <family val="2"/>
      <charset val="186"/>
    </font>
    <font>
      <sz val="10"/>
      <color theme="1"/>
      <name val="Calibri"/>
      <family val="2"/>
      <scheme val="minor"/>
    </font>
    <font>
      <sz val="10"/>
      <name val="Calibri"/>
      <family val="2"/>
      <scheme val="minor"/>
    </font>
    <font>
      <b/>
      <u/>
      <sz val="10"/>
      <name val="Verdana"/>
      <family val="2"/>
      <charset val="186"/>
    </font>
    <font>
      <sz val="8"/>
      <name val="Calibri"/>
      <family val="2"/>
      <scheme val="minor"/>
    </font>
    <font>
      <sz val="10"/>
      <color theme="1"/>
      <name val="Verdana"/>
      <family val="2"/>
    </font>
  </fonts>
  <fills count="4">
    <fill>
      <patternFill patternType="none"/>
    </fill>
    <fill>
      <patternFill patternType="gray125"/>
    </fill>
    <fill>
      <patternFill patternType="solid">
        <fgColor theme="0"/>
        <bgColor indexed="64"/>
      </patternFill>
    </fill>
    <fill>
      <patternFill patternType="solid">
        <fgColor rgb="FF00B07D"/>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style="thin">
        <color theme="0"/>
      </left>
      <right/>
      <top/>
      <bottom/>
      <diagonal/>
    </border>
    <border>
      <left/>
      <right/>
      <top style="thin">
        <color theme="0" tint="-0.249977111117893"/>
      </top>
      <bottom style="thin">
        <color theme="0" tint="-0.249977111117893"/>
      </bottom>
      <diagonal/>
    </border>
  </borders>
  <cellStyleXfs count="9">
    <xf numFmtId="0" fontId="0" fillId="0" borderId="0"/>
    <xf numFmtId="164" fontId="2" fillId="0" borderId="0" applyFont="0" applyFill="0" applyBorder="0" applyAlignment="0" applyProtection="0"/>
    <xf numFmtId="9" fontId="2" fillId="0" borderId="0" applyFont="0" applyFill="0" applyBorder="0" applyAlignment="0" applyProtection="0"/>
    <xf numFmtId="0" fontId="7" fillId="0" borderId="0" applyNumberFormat="0" applyFill="0" applyBorder="0" applyAlignment="0" applyProtection="0"/>
    <xf numFmtId="0" fontId="12" fillId="0" borderId="0"/>
    <xf numFmtId="0" fontId="2" fillId="0" borderId="0"/>
    <xf numFmtId="9" fontId="2" fillId="0" borderId="0" applyFont="0" applyFill="0" applyBorder="0" applyAlignment="0" applyProtection="0"/>
    <xf numFmtId="0" fontId="1" fillId="0" borderId="0"/>
    <xf numFmtId="9" fontId="1" fillId="0" borderId="0" applyFont="0" applyFill="0" applyBorder="0" applyAlignment="0" applyProtection="0"/>
  </cellStyleXfs>
  <cellXfs count="109">
    <xf numFmtId="0" fontId="0" fillId="0" borderId="0" xfId="0"/>
    <xf numFmtId="0" fontId="0" fillId="0" borderId="0" xfId="0" applyFill="1"/>
    <xf numFmtId="0" fontId="4" fillId="0" borderId="0" xfId="0" applyFont="1"/>
    <xf numFmtId="10" fontId="4" fillId="0" borderId="0" xfId="0" applyNumberFormat="1" applyFont="1" applyFill="1"/>
    <xf numFmtId="0" fontId="4" fillId="0" borderId="0" xfId="0" applyFont="1" applyFill="1"/>
    <xf numFmtId="14" fontId="0" fillId="0" borderId="0" xfId="0" applyNumberFormat="1"/>
    <xf numFmtId="165" fontId="0" fillId="0" borderId="0" xfId="1" applyNumberFormat="1" applyFont="1"/>
    <xf numFmtId="0" fontId="8" fillId="0" borderId="0" xfId="0" applyFont="1"/>
    <xf numFmtId="2" fontId="8" fillId="0" borderId="0" xfId="0" applyNumberFormat="1" applyFont="1" applyBorder="1"/>
    <xf numFmtId="165" fontId="8" fillId="0" borderId="0" xfId="1" applyNumberFormat="1" applyFont="1" applyBorder="1"/>
    <xf numFmtId="166" fontId="8" fillId="0" borderId="0" xfId="0" applyNumberFormat="1" applyFont="1" applyBorder="1" applyAlignment="1">
      <alignment horizontal="center"/>
    </xf>
    <xf numFmtId="166" fontId="11" fillId="0" borderId="0" xfId="0" applyNumberFormat="1" applyFont="1" applyBorder="1" applyAlignment="1">
      <alignment horizontal="center"/>
    </xf>
    <xf numFmtId="0" fontId="8" fillId="0" borderId="0" xfId="0" applyFont="1" applyFill="1"/>
    <xf numFmtId="166" fontId="8" fillId="0" borderId="0" xfId="0" applyNumberFormat="1" applyFont="1" applyFill="1" applyBorder="1" applyAlignment="1">
      <alignment horizontal="center"/>
    </xf>
    <xf numFmtId="166" fontId="11" fillId="0" borderId="0" xfId="0" applyNumberFormat="1" applyFont="1" applyFill="1" applyBorder="1" applyAlignment="1">
      <alignment horizontal="center"/>
    </xf>
    <xf numFmtId="0" fontId="13" fillId="2" borderId="0" xfId="4" applyFont="1" applyFill="1" applyAlignment="1"/>
    <xf numFmtId="0" fontId="14" fillId="0" borderId="0" xfId="0" applyFont="1"/>
    <xf numFmtId="14" fontId="14" fillId="0" borderId="0" xfId="0" applyNumberFormat="1" applyFont="1"/>
    <xf numFmtId="0" fontId="14" fillId="0" borderId="0" xfId="0" applyFont="1" applyAlignment="1"/>
    <xf numFmtId="0" fontId="17" fillId="0" borderId="0" xfId="0" applyFont="1"/>
    <xf numFmtId="9" fontId="9" fillId="0" borderId="0" xfId="2" applyFont="1" applyFill="1" applyBorder="1"/>
    <xf numFmtId="164" fontId="8" fillId="0" borderId="0" xfId="1" applyNumberFormat="1" applyFont="1" applyFill="1" applyBorder="1"/>
    <xf numFmtId="0" fontId="8" fillId="0" borderId="0" xfId="0" applyFont="1" applyBorder="1"/>
    <xf numFmtId="0" fontId="10" fillId="0" borderId="0" xfId="0" applyFont="1" applyBorder="1"/>
    <xf numFmtId="0" fontId="19" fillId="3" borderId="1" xfId="0" applyFont="1" applyFill="1" applyBorder="1" applyAlignment="1">
      <alignment horizontal="center" vertical="center" wrapText="1"/>
    </xf>
    <xf numFmtId="14" fontId="20" fillId="2" borderId="1" xfId="0" applyNumberFormat="1" applyFont="1" applyFill="1" applyBorder="1" applyAlignment="1">
      <alignment horizontal="left" wrapText="1"/>
    </xf>
    <xf numFmtId="0" fontId="18" fillId="0" borderId="0" xfId="0" applyFont="1" applyBorder="1"/>
    <xf numFmtId="14" fontId="15" fillId="0" borderId="0" xfId="0" applyNumberFormat="1" applyFont="1" applyBorder="1" applyAlignment="1">
      <alignment horizontal="left"/>
    </xf>
    <xf numFmtId="0" fontId="8" fillId="0" borderId="0" xfId="0" applyFont="1" applyFill="1" applyBorder="1" applyAlignment="1">
      <alignment horizontal="left"/>
    </xf>
    <xf numFmtId="0" fontId="8" fillId="0" borderId="0" xfId="0" applyFont="1" applyFill="1" applyBorder="1" applyAlignment="1">
      <alignment horizontal="center"/>
    </xf>
    <xf numFmtId="0" fontId="22" fillId="0" borderId="0" xfId="0" applyFont="1" applyFill="1" applyBorder="1" applyAlignment="1">
      <alignment horizontal="left"/>
    </xf>
    <xf numFmtId="0" fontId="21" fillId="3" borderId="1" xfId="3" applyFont="1" applyFill="1" applyBorder="1" applyAlignment="1">
      <alignment horizontal="center" vertical="center" wrapText="1"/>
    </xf>
    <xf numFmtId="0" fontId="23" fillId="0" borderId="6" xfId="0" applyFont="1" applyFill="1" applyBorder="1" applyAlignment="1">
      <alignment wrapText="1"/>
    </xf>
    <xf numFmtId="2" fontId="23" fillId="0" borderId="6" xfId="0" applyNumberFormat="1" applyFont="1" applyFill="1" applyBorder="1" applyAlignment="1">
      <alignment horizontal="center" vertical="center"/>
    </xf>
    <xf numFmtId="1" fontId="23" fillId="0" borderId="6" xfId="0" applyNumberFormat="1" applyFont="1" applyFill="1" applyBorder="1" applyAlignment="1">
      <alignment horizontal="center" vertical="center"/>
    </xf>
    <xf numFmtId="165" fontId="23" fillId="0" borderId="6" xfId="1" applyNumberFormat="1" applyFont="1" applyFill="1" applyBorder="1" applyAlignment="1">
      <alignment horizontal="center" vertical="center"/>
    </xf>
    <xf numFmtId="2" fontId="23" fillId="0" borderId="6" xfId="0" applyNumberFormat="1" applyFont="1" applyFill="1" applyBorder="1" applyAlignment="1">
      <alignment horizontal="center" vertical="center" wrapText="1"/>
    </xf>
    <xf numFmtId="0" fontId="19" fillId="3" borderId="0" xfId="0" applyFont="1" applyFill="1" applyAlignment="1">
      <alignment vertical="center"/>
    </xf>
    <xf numFmtId="9" fontId="19" fillId="3" borderId="0" xfId="2" applyFont="1" applyFill="1" applyBorder="1" applyAlignment="1">
      <alignment vertical="center"/>
    </xf>
    <xf numFmtId="0" fontId="24" fillId="3" borderId="0" xfId="0" applyFont="1" applyFill="1" applyAlignment="1">
      <alignment vertical="center"/>
    </xf>
    <xf numFmtId="0" fontId="25" fillId="3" borderId="0" xfId="0" applyFont="1" applyFill="1" applyAlignment="1">
      <alignment horizontal="right" vertical="center"/>
    </xf>
    <xf numFmtId="2" fontId="19" fillId="3" borderId="0" xfId="0" applyNumberFormat="1" applyFont="1" applyFill="1" applyAlignment="1">
      <alignment vertical="center" wrapText="1"/>
    </xf>
    <xf numFmtId="0" fontId="0" fillId="0" borderId="0" xfId="0" applyFill="1" applyBorder="1"/>
    <xf numFmtId="0" fontId="0" fillId="0" borderId="0" xfId="0" applyBorder="1"/>
    <xf numFmtId="0" fontId="5" fillId="0" borderId="0" xfId="0" applyFont="1" applyFill="1" applyBorder="1" applyAlignment="1">
      <alignment wrapText="1"/>
    </xf>
    <xf numFmtId="2" fontId="4" fillId="0" borderId="0" xfId="0" applyNumberFormat="1" applyFont="1" applyFill="1" applyBorder="1" applyAlignment="1">
      <alignment horizontal="center"/>
    </xf>
    <xf numFmtId="0" fontId="27" fillId="0" borderId="0" xfId="0" applyFont="1" applyFill="1" applyBorder="1" applyAlignment="1">
      <alignment horizontal="right"/>
    </xf>
    <xf numFmtId="0" fontId="0" fillId="0" borderId="0" xfId="0" applyFont="1" applyBorder="1" applyAlignment="1"/>
    <xf numFmtId="9" fontId="0" fillId="0" borderId="0" xfId="2" applyFont="1"/>
    <xf numFmtId="0" fontId="28" fillId="2" borderId="0" xfId="4" applyFont="1" applyFill="1" applyBorder="1" applyAlignment="1"/>
    <xf numFmtId="0" fontId="31" fillId="0" borderId="0" xfId="0" applyFont="1" applyBorder="1"/>
    <xf numFmtId="0" fontId="28" fillId="0" borderId="0" xfId="0" applyFont="1" applyBorder="1"/>
    <xf numFmtId="0" fontId="28" fillId="0" borderId="0" xfId="0" applyFont="1" applyBorder="1" applyAlignment="1"/>
    <xf numFmtId="0" fontId="28" fillId="2" borderId="0" xfId="4" applyFont="1" applyFill="1" applyAlignment="1"/>
    <xf numFmtId="0" fontId="23" fillId="0" borderId="0" xfId="0" applyFont="1"/>
    <xf numFmtId="0" fontId="30" fillId="0" borderId="0" xfId="0" applyFont="1"/>
    <xf numFmtId="0" fontId="23" fillId="0" borderId="0" xfId="0" applyFont="1" applyAlignment="1"/>
    <xf numFmtId="1" fontId="6" fillId="0" borderId="6" xfId="0" applyNumberFormat="1" applyFont="1" applyFill="1" applyBorder="1" applyAlignment="1">
      <alignment horizontal="center" vertical="center"/>
    </xf>
    <xf numFmtId="2" fontId="0" fillId="0" borderId="0" xfId="0" applyNumberFormat="1"/>
    <xf numFmtId="167" fontId="0" fillId="0" borderId="0" xfId="0" applyNumberFormat="1"/>
    <xf numFmtId="165" fontId="0" fillId="0" borderId="0" xfId="0" applyNumberFormat="1"/>
    <xf numFmtId="168" fontId="0" fillId="0" borderId="0" xfId="2" applyNumberFormat="1" applyFont="1"/>
    <xf numFmtId="164" fontId="0" fillId="0" borderId="0" xfId="1" applyFont="1"/>
    <xf numFmtId="0" fontId="19" fillId="3" borderId="2" xfId="0" applyFont="1" applyFill="1" applyBorder="1" applyAlignment="1">
      <alignment horizontal="center" vertical="center" wrapText="1"/>
    </xf>
    <xf numFmtId="0" fontId="19" fillId="3" borderId="2" xfId="0" applyFont="1" applyFill="1" applyBorder="1" applyAlignment="1">
      <alignment horizontal="center" vertical="center" wrapText="1"/>
    </xf>
    <xf numFmtId="9" fontId="0" fillId="0" borderId="0" xfId="2" applyNumberFormat="1" applyFont="1"/>
    <xf numFmtId="1" fontId="28" fillId="0" borderId="6" xfId="0" applyNumberFormat="1" applyFont="1" applyFill="1" applyBorder="1" applyAlignment="1">
      <alignment horizontal="center" vertical="center"/>
    </xf>
    <xf numFmtId="2" fontId="6" fillId="0" borderId="0" xfId="0" applyNumberFormat="1" applyFont="1" applyFill="1" applyBorder="1" applyAlignment="1">
      <alignment horizontal="center" wrapText="1"/>
    </xf>
    <xf numFmtId="2" fontId="6" fillId="0" borderId="0" xfId="0" applyNumberFormat="1" applyFont="1" applyFill="1" applyBorder="1" applyAlignment="1">
      <alignment horizontal="right" wrapText="1"/>
    </xf>
    <xf numFmtId="0" fontId="23" fillId="0" borderId="6" xfId="0" applyFont="1" applyFill="1" applyBorder="1" applyAlignment="1">
      <alignment horizontal="left" wrapText="1"/>
    </xf>
    <xf numFmtId="2" fontId="5" fillId="0" borderId="0" xfId="0" applyNumberFormat="1" applyFont="1" applyFill="1" applyBorder="1" applyAlignment="1">
      <alignment horizontal="right"/>
    </xf>
    <xf numFmtId="10" fontId="0" fillId="0" borderId="0" xfId="2" applyNumberFormat="1" applyFont="1"/>
    <xf numFmtId="2" fontId="28" fillId="2" borderId="0" xfId="4" applyNumberFormat="1" applyFont="1" applyFill="1" applyBorder="1" applyAlignment="1"/>
    <xf numFmtId="9" fontId="0" fillId="0" borderId="0" xfId="2" applyFont="1" applyBorder="1" applyAlignment="1"/>
    <xf numFmtId="168" fontId="0" fillId="0" borderId="0" xfId="0" applyNumberFormat="1"/>
    <xf numFmtId="1" fontId="0" fillId="0" borderId="0" xfId="0" applyNumberFormat="1"/>
    <xf numFmtId="168" fontId="0" fillId="0" borderId="0" xfId="2" applyNumberFormat="1" applyFont="1" applyAlignment="1">
      <alignment horizontal="left"/>
    </xf>
    <xf numFmtId="0" fontId="0" fillId="0" borderId="0" xfId="0" applyAlignment="1">
      <alignment horizontal="left"/>
    </xf>
    <xf numFmtId="9" fontId="0" fillId="0" borderId="0" xfId="2" applyFont="1" applyAlignment="1">
      <alignment horizontal="left"/>
    </xf>
    <xf numFmtId="14" fontId="0" fillId="0" borderId="0" xfId="1" applyNumberFormat="1" applyFont="1" applyAlignment="1">
      <alignment horizontal="left"/>
    </xf>
    <xf numFmtId="0" fontId="0" fillId="0" borderId="0" xfId="1" applyNumberFormat="1" applyFont="1" applyAlignment="1">
      <alignment horizontal="left"/>
    </xf>
    <xf numFmtId="168" fontId="0" fillId="0" borderId="0" xfId="2" applyNumberFormat="1" applyFont="1" applyAlignment="1">
      <alignment horizontal="center"/>
    </xf>
    <xf numFmtId="9" fontId="3" fillId="0" borderId="0" xfId="2" applyNumberFormat="1" applyFont="1"/>
    <xf numFmtId="9" fontId="0" fillId="0" borderId="0" xfId="2" applyFont="1" applyAlignment="1">
      <alignment horizontal="center"/>
    </xf>
    <xf numFmtId="2" fontId="23" fillId="0" borderId="6" xfId="0" applyNumberFormat="1" applyFont="1" applyBorder="1" applyAlignment="1">
      <alignment horizontal="center" vertical="center"/>
    </xf>
    <xf numFmtId="0" fontId="29" fillId="0" borderId="0" xfId="0" applyFont="1"/>
    <xf numFmtId="0" fontId="7" fillId="0" borderId="0" xfId="3" applyAlignment="1">
      <alignment vertical="top"/>
    </xf>
    <xf numFmtId="0" fontId="19" fillId="3" borderId="0" xfId="0" applyFont="1" applyFill="1" applyBorder="1" applyAlignment="1">
      <alignment horizontal="center" vertical="center" wrapText="1"/>
    </xf>
    <xf numFmtId="0" fontId="19" fillId="3" borderId="0" xfId="0" applyFont="1" applyFill="1" applyBorder="1" applyAlignment="1">
      <alignment horizontal="center" vertical="center" wrapText="1"/>
    </xf>
    <xf numFmtId="0" fontId="28" fillId="2" borderId="0" xfId="4" applyFont="1" applyFill="1"/>
    <xf numFmtId="14" fontId="34" fillId="2" borderId="1" xfId="0" applyNumberFormat="1" applyFont="1" applyFill="1" applyBorder="1" applyAlignment="1">
      <alignment horizontal="left" wrapText="1"/>
    </xf>
    <xf numFmtId="0" fontId="23" fillId="2" borderId="0" xfId="4" applyFont="1" applyFill="1" applyBorder="1" applyAlignment="1"/>
    <xf numFmtId="0" fontId="17" fillId="0" borderId="0" xfId="0" applyFont="1" applyAlignment="1">
      <alignment wrapText="1"/>
    </xf>
    <xf numFmtId="2" fontId="29" fillId="0" borderId="6" xfId="0" applyNumberFormat="1" applyFont="1" applyFill="1" applyBorder="1" applyAlignment="1">
      <alignment horizontal="center" vertical="center" wrapText="1"/>
    </xf>
    <xf numFmtId="2" fontId="23" fillId="2" borderId="6" xfId="0" applyNumberFormat="1" applyFont="1" applyFill="1" applyBorder="1" applyAlignment="1">
      <alignment horizontal="center" vertical="center"/>
    </xf>
    <xf numFmtId="0" fontId="8" fillId="0" borderId="0" xfId="0" applyFont="1" applyFill="1" applyBorder="1"/>
    <xf numFmtId="0" fontId="10" fillId="0" borderId="0" xfId="0" applyFont="1" applyFill="1" applyBorder="1"/>
    <xf numFmtId="2" fontId="0" fillId="0" borderId="0" xfId="0" applyNumberFormat="1" applyFill="1"/>
    <xf numFmtId="9" fontId="0" fillId="0" borderId="0" xfId="2" applyFont="1" applyFill="1"/>
    <xf numFmtId="0" fontId="0" fillId="0" borderId="0" xfId="0" applyFont="1" applyFill="1" applyBorder="1" applyAlignment="1"/>
    <xf numFmtId="0" fontId="19" fillId="3" borderId="8" xfId="0" applyFont="1" applyFill="1" applyBorder="1" applyAlignment="1">
      <alignment horizontal="center" vertical="center" wrapText="1"/>
    </xf>
    <xf numFmtId="0" fontId="19" fillId="3" borderId="0" xfId="0" applyFont="1" applyFill="1" applyAlignment="1">
      <alignment horizontal="center" vertical="center" wrapText="1"/>
    </xf>
    <xf numFmtId="0" fontId="19" fillId="3" borderId="2" xfId="0" applyFont="1" applyFill="1" applyBorder="1" applyAlignment="1">
      <alignment horizontal="center" vertical="center" wrapText="1"/>
    </xf>
    <xf numFmtId="0" fontId="19" fillId="3" borderId="5" xfId="0" applyFont="1" applyFill="1" applyBorder="1" applyAlignment="1">
      <alignment horizontal="center" vertical="center" wrapText="1"/>
    </xf>
    <xf numFmtId="0" fontId="19" fillId="3" borderId="3" xfId="0" applyFont="1" applyFill="1" applyBorder="1" applyAlignment="1">
      <alignment horizontal="center" vertical="center" wrapText="1"/>
    </xf>
    <xf numFmtId="0" fontId="19" fillId="3" borderId="4" xfId="0" applyFont="1" applyFill="1" applyBorder="1" applyAlignment="1">
      <alignment horizontal="center" vertical="center" wrapText="1"/>
    </xf>
    <xf numFmtId="0" fontId="19" fillId="3" borderId="0" xfId="0" applyFont="1" applyFill="1" applyBorder="1" applyAlignment="1">
      <alignment horizontal="center" vertical="center" wrapText="1"/>
    </xf>
    <xf numFmtId="0" fontId="26" fillId="0" borderId="7" xfId="0" applyFont="1" applyFill="1" applyBorder="1" applyAlignment="1">
      <alignment horizontal="left" wrapText="1"/>
    </xf>
    <xf numFmtId="0" fontId="26" fillId="0" borderId="9" xfId="0" applyFont="1" applyFill="1" applyBorder="1" applyAlignment="1">
      <alignment horizontal="left" wrapText="1"/>
    </xf>
  </cellXfs>
  <cellStyles count="9">
    <cellStyle name="Comma" xfId="1" builtinId="3"/>
    <cellStyle name="Hyperlink" xfId="3" builtinId="8"/>
    <cellStyle name="Normal" xfId="0" builtinId="0"/>
    <cellStyle name="Normal 2" xfId="5" xr:uid="{00000000-0005-0000-0000-000003000000}"/>
    <cellStyle name="Normal 3" xfId="4" xr:uid="{00000000-0005-0000-0000-000004000000}"/>
    <cellStyle name="Normal 4" xfId="7" xr:uid="{8D47C13E-5933-4975-93DC-F5D6828949C6}"/>
    <cellStyle name="Percent" xfId="2" builtinId="5"/>
    <cellStyle name="Percent 2" xfId="6" xr:uid="{00000000-0005-0000-0000-000006000000}"/>
    <cellStyle name="Percent 3" xfId="8" xr:uid="{A965C833-06AC-4255-A737-E6F2932E09BB}"/>
  </cellStyles>
  <dxfs count="343">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b/>
        <i val="0"/>
        <color rgb="FF00B050"/>
      </font>
    </dxf>
  </dxfs>
  <tableStyles count="0" defaultTableStyle="TableStyleMedium2" defaultPivotStyle="PivotStyleMedium9"/>
  <colors>
    <mruColors>
      <color rgb="FF00B07D"/>
      <color rgb="FF903F98"/>
      <color rgb="FFFCAF17"/>
      <color rgb="FFCCFFCC"/>
      <color rgb="FF66FF99"/>
      <color rgb="FFBDFFBD"/>
      <color rgb="FF66FFCC"/>
      <color rgb="FFFFFFD5"/>
      <color rgb="FFC87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'1996-2002'!$C$35</c:f>
              <c:strCache>
                <c:ptCount val="1"/>
                <c:pt idx="0">
                  <c:v>Grąža</c:v>
                </c:pt>
              </c:strCache>
            </c:strRef>
          </c:tx>
          <c:spPr>
            <a:ln w="28575">
              <a:noFill/>
            </a:ln>
          </c:spPr>
          <c:marker>
            <c:symbol val="diamond"/>
            <c:size val="15"/>
            <c:spPr>
              <a:solidFill>
                <a:srgbClr val="00B07D"/>
              </a:solidFill>
            </c:spPr>
          </c:marker>
          <c:dLbls>
            <c:dLbl>
              <c:idx val="0"/>
              <c:layout>
                <c:manualLayout>
                  <c:x val="-3.674124410977795E-2"/>
                  <c:y val="3.2161924728608023E-2"/>
                </c:manualLayout>
              </c:layout>
              <c:tx>
                <c:rich>
                  <a:bodyPr wrap="square" lIns="38100" tIns="19050" rIns="38100" bIns="19050" anchor="ctr">
                    <a:spAutoFit/>
                  </a:bodyPr>
                  <a:lstStyle/>
                  <a:p>
                    <a:pPr>
                      <a:defRPr b="0"/>
                    </a:pPr>
                    <a:r>
                      <a:rPr lang="en-US" b="0"/>
                      <a:t>LMN-96/02</a:t>
                    </a:r>
                  </a:p>
                </c:rich>
              </c:tx>
              <c:spPr>
                <a:noFill/>
                <a:ln>
                  <a:noFill/>
                </a:ln>
                <a:effectLst/>
              </c:spPr>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8860-4352-B4A7-E0227C328F97}"/>
                </c:ext>
              </c:extLst>
            </c:dLbl>
            <c:dLbl>
              <c:idx val="1"/>
              <c:layout>
                <c:manualLayout>
                  <c:x val="3.7328937154873829E-4"/>
                  <c:y val="-2.0978161782844198E-2"/>
                </c:manualLayout>
              </c:layout>
              <c:tx>
                <c:rich>
                  <a:bodyPr/>
                  <a:lstStyle/>
                  <a:p>
                    <a:r>
                      <a:rPr lang="en-US"/>
                      <a:t>INV-96/02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860-4352-B4A7-E0227C328F97}"/>
                </c:ext>
              </c:extLst>
            </c:dLbl>
            <c:dLbl>
              <c:idx val="2"/>
              <c:layout>
                <c:manualLayout>
                  <c:x val="-5.3981262529887546E-3"/>
                  <c:y val="1.2838256906261806E-2"/>
                </c:manualLayout>
              </c:layout>
              <c:tx>
                <c:rich>
                  <a:bodyPr/>
                  <a:lstStyle/>
                  <a:p>
                    <a:r>
                      <a:rPr lang="en-US"/>
                      <a:t>SBN-96/02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8860-4352-B4A7-E0227C328F97}"/>
                </c:ext>
              </c:extLst>
            </c:dLbl>
            <c:dLbl>
              <c:idx val="3"/>
              <c:layout>
                <c:manualLayout>
                  <c:x val="-4.0095122842978399E-2"/>
                  <c:y val="-3.3055454171810612E-2"/>
                </c:manualLayout>
              </c:layout>
              <c:tx>
                <c:rich>
                  <a:bodyPr/>
                  <a:lstStyle/>
                  <a:p>
                    <a:r>
                      <a:rPr lang="en-US"/>
                      <a:t>SWD-96/02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8860-4352-B4A7-E0227C328F97}"/>
                </c:ext>
              </c:extLst>
            </c:dLbl>
            <c:dLbl>
              <c:idx val="4"/>
              <c:layout>
                <c:manualLayout>
                  <c:x val="-1.1130754306784981E-2"/>
                  <c:y val="2.2488358355736322E-2"/>
                </c:manualLayout>
              </c:layout>
              <c:tx>
                <c:rich>
                  <a:bodyPr/>
                  <a:lstStyle/>
                  <a:p>
                    <a:r>
                      <a:rPr lang="en-US"/>
                      <a:t>AVI-96/02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8860-4352-B4A7-E0227C328F97}"/>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'1996-2002'!$B$36:$B$40</c:f>
              <c:numCache>
                <c:formatCode>0.00</c:formatCode>
                <c:ptCount val="5"/>
                <c:pt idx="0">
                  <c:v>11.018596259322475</c:v>
                </c:pt>
                <c:pt idx="1">
                  <c:v>10.539487162640606</c:v>
                </c:pt>
                <c:pt idx="2">
                  <c:v>11.848150467661139</c:v>
                </c:pt>
                <c:pt idx="3">
                  <c:v>13.122367657697396</c:v>
                </c:pt>
                <c:pt idx="4">
                  <c:v>11.869462023414048</c:v>
                </c:pt>
              </c:numCache>
            </c:numRef>
          </c:xVal>
          <c:yVal>
            <c:numRef>
              <c:f>'1996-2002'!$C$36:$C$40</c:f>
              <c:numCache>
                <c:formatCode>0.00</c:formatCode>
                <c:ptCount val="5"/>
                <c:pt idx="0">
                  <c:v>5.3357527140219574</c:v>
                </c:pt>
                <c:pt idx="1">
                  <c:v>7.5337095391440956</c:v>
                </c:pt>
                <c:pt idx="2">
                  <c:v>7.0704201293413593</c:v>
                </c:pt>
                <c:pt idx="3">
                  <c:v>8.768320852888877</c:v>
                </c:pt>
                <c:pt idx="4">
                  <c:v>8.2465053124941115</c:v>
                </c:pt>
              </c:numCache>
            </c:numRef>
          </c:yVal>
          <c:smooth val="0"/>
          <c:extLst>
            <c:ext xmlns:c16="http://schemas.microsoft.com/office/drawing/2014/chart" uri="{C3380CC4-5D6E-409C-BE32-E72D297353CC}">
              <c16:uniqueId val="{00000005-8860-4352-B4A7-E0227C328F97}"/>
            </c:ext>
          </c:extLst>
        </c:ser>
        <c:dLbls>
          <c:showLegendKey val="0"/>
          <c:showVal val="0"/>
          <c:showCatName val="0"/>
          <c:showSerName val="0"/>
          <c:showPercent val="0"/>
          <c:showBubbleSize val="0"/>
        </c:dLbls>
        <c:axId val="135523712"/>
        <c:axId val="135524288"/>
      </c:scatterChart>
      <c:valAx>
        <c:axId val="135523712"/>
        <c:scaling>
          <c:orientation val="minMax"/>
        </c:scaling>
        <c:delete val="0"/>
        <c:axPos val="b"/>
        <c:title>
          <c:tx>
            <c:rich>
              <a:bodyPr/>
              <a:lstStyle/>
              <a:p>
                <a:pPr algn="ctr" rtl="0">
                  <a:defRPr/>
                </a:pPr>
                <a:r>
                  <a:rPr lang="en-US"/>
                  <a:t>Rizika</a:t>
                </a:r>
                <a:r>
                  <a:rPr lang="lt-LT"/>
                  <a:t>, proc.</a:t>
                </a:r>
              </a:p>
              <a:p>
                <a:pPr algn="ctr" rtl="0">
                  <a:defRPr/>
                </a:pPr>
                <a:endParaRPr lang="lt-LT"/>
              </a:p>
            </c:rich>
          </c:tx>
          <c:layout>
            <c:manualLayout>
              <c:xMode val="edge"/>
              <c:yMode val="edge"/>
              <c:x val="0.50229931190535126"/>
              <c:y val="0.93830846979502691"/>
            </c:manualLayout>
          </c:layout>
          <c:overlay val="0"/>
        </c:title>
        <c:numFmt formatCode="0.00" sourceLinked="1"/>
        <c:majorTickMark val="none"/>
        <c:minorTickMark val="none"/>
        <c:tickLblPos val="nextTo"/>
        <c:crossAx val="135524288"/>
        <c:crosses val="autoZero"/>
        <c:crossBetween val="midCat"/>
      </c:valAx>
      <c:valAx>
        <c:axId val="1355242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37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'1996-2002'!$C$65</c:f>
              <c:strCache>
                <c:ptCount val="1"/>
                <c:pt idx="0">
                  <c:v>Grąža (proc.)</c:v>
                </c:pt>
              </c:strCache>
            </c:strRef>
          </c:tx>
          <c:spPr>
            <a:solidFill>
              <a:srgbClr val="00B07D"/>
            </a:solidFill>
          </c:spPr>
          <c:invertIfNegative val="0"/>
          <c:dLbls>
            <c:dLbl>
              <c:idx val="0"/>
              <c:layout>
                <c:manualLayout>
                  <c:x val="-6.5772308185697306E-2"/>
                  <c:y val="-6.8722723351857154E-2"/>
                </c:manualLayout>
              </c:layout>
              <c:tx>
                <c:rich>
                  <a:bodyPr/>
                  <a:lstStyle/>
                  <a:p>
                    <a:r>
                      <a:rPr lang="en-US"/>
                      <a:t>LMN-96/02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A53C-4946-AE92-4A6B05DD8755}"/>
                </c:ext>
              </c:extLst>
            </c:dLbl>
            <c:dLbl>
              <c:idx val="1"/>
              <c:layout>
                <c:manualLayout>
                  <c:x val="-0.16090713667769807"/>
                  <c:y val="-3.5634004700962986E-2"/>
                </c:manualLayout>
              </c:layout>
              <c:tx>
                <c:rich>
                  <a:bodyPr/>
                  <a:lstStyle/>
                  <a:p>
                    <a:r>
                      <a:rPr lang="en-US"/>
                      <a:t>INV-96/02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A53C-4946-AE92-4A6B05DD8755}"/>
                </c:ext>
              </c:extLst>
            </c:dLbl>
            <c:dLbl>
              <c:idx val="2"/>
              <c:layout>
                <c:manualLayout>
                  <c:x val="-0.11971402234148214"/>
                  <c:y val="8.9085011752407406E-2"/>
                </c:manualLayout>
              </c:layout>
              <c:tx>
                <c:rich>
                  <a:bodyPr/>
                  <a:lstStyle/>
                  <a:p>
                    <a:r>
                      <a:rPr lang="en-US"/>
                      <a:t>SBN-96/02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A53C-4946-AE92-4A6B05DD8755}"/>
                </c:ext>
              </c:extLst>
            </c:dLbl>
            <c:dLbl>
              <c:idx val="3"/>
              <c:layout>
                <c:manualLayout>
                  <c:x val="-0.11081977641679112"/>
                  <c:y val="-0.14253601880385186"/>
                </c:manualLayout>
              </c:layout>
              <c:tx>
                <c:rich>
                  <a:bodyPr/>
                  <a:lstStyle/>
                  <a:p>
                    <a:r>
                      <a:rPr lang="en-US"/>
                      <a:t>SWD-96/02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A53C-4946-AE92-4A6B05DD8755}"/>
                </c:ext>
              </c:extLst>
            </c:dLbl>
            <c:dLbl>
              <c:idx val="4"/>
              <c:layout>
                <c:manualLayout>
                  <c:x val="-7.2785063703625511E-3"/>
                  <c:y val="-1.7817002350481479E-2"/>
                </c:manualLayout>
              </c:layout>
              <c:tx>
                <c:rich>
                  <a:bodyPr/>
                  <a:lstStyle/>
                  <a:p>
                    <a:r>
                      <a:rPr lang="en-US"/>
                      <a:t>AVI-96/02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A53C-4946-AE92-4A6B05DD8755}"/>
                </c:ext>
              </c:extLst>
            </c:dLbl>
            <c:spPr>
              <a:noFill/>
              <a:ln>
                <a:noFill/>
              </a:ln>
              <a:effectLst/>
            </c:spPr>
            <c:dLblPos val="l"/>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'1996-2002'!$B$66:$B$70</c:f>
              <c:numCache>
                <c:formatCode>0.00</c:formatCode>
                <c:ptCount val="5"/>
                <c:pt idx="0">
                  <c:v>14.666</c:v>
                </c:pt>
                <c:pt idx="1">
                  <c:v>19.859000000000002</c:v>
                </c:pt>
                <c:pt idx="2">
                  <c:v>21.722999999999999</c:v>
                </c:pt>
                <c:pt idx="3">
                  <c:v>49.488</c:v>
                </c:pt>
                <c:pt idx="4">
                  <c:v>20.315999999999999</c:v>
                </c:pt>
              </c:numCache>
            </c:numRef>
          </c:xVal>
          <c:yVal>
            <c:numRef>
              <c:f>'1996-2002'!$C$66:$C$70</c:f>
              <c:numCache>
                <c:formatCode>0.00</c:formatCode>
                <c:ptCount val="5"/>
                <c:pt idx="0">
                  <c:v>5.3357527140219574</c:v>
                </c:pt>
                <c:pt idx="1">
                  <c:v>7.5337095391440956</c:v>
                </c:pt>
                <c:pt idx="2">
                  <c:v>7.0704201293413593</c:v>
                </c:pt>
                <c:pt idx="3">
                  <c:v>8.768320852888877</c:v>
                </c:pt>
                <c:pt idx="4">
                  <c:v>8.2465053124941115</c:v>
                </c:pt>
              </c:numCache>
            </c:numRef>
          </c:yVal>
          <c:bubbleSize>
            <c:numRef>
              <c:f>'1996-2002'!$D$66:$D$70</c:f>
              <c:numCache>
                <c:formatCode>0.00</c:formatCode>
                <c:ptCount val="5"/>
                <c:pt idx="0">
                  <c:v>17.964447420000003</c:v>
                </c:pt>
                <c:pt idx="1">
                  <c:v>39.1409569319</c:v>
                </c:pt>
                <c:pt idx="2">
                  <c:v>48.911383799999996</c:v>
                </c:pt>
                <c:pt idx="3">
                  <c:v>114.85712114</c:v>
                </c:pt>
                <c:pt idx="4">
                  <c:v>39.88667324</c:v>
                </c:pt>
              </c:numCache>
            </c:numRef>
          </c:bubbleSize>
          <c:bubble3D val="1"/>
          <c:extLst>
            <c:ext xmlns:c16="http://schemas.microsoft.com/office/drawing/2014/chart" uri="{C3380CC4-5D6E-409C-BE32-E72D297353CC}">
              <c16:uniqueId val="{00000005-A53C-4946-AE92-4A6B05DD8755}"/>
            </c:ext>
          </c:extLst>
        </c:ser>
        <c:dLbls>
          <c:showLegendKey val="0"/>
          <c:showVal val="0"/>
          <c:showCatName val="0"/>
          <c:showSerName val="0"/>
          <c:showPercent val="0"/>
          <c:showBubbleSize val="0"/>
        </c:dLbls>
        <c:bubbleScale val="100"/>
        <c:showNegBubbles val="0"/>
        <c:axId val="135525440"/>
        <c:axId val="135526016"/>
      </c:bubbleChart>
      <c:valAx>
        <c:axId val="1355254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5526016"/>
        <c:crosses val="autoZero"/>
        <c:crossBetween val="midCat"/>
      </c:valAx>
      <c:valAx>
        <c:axId val="1355260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54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710158483322132E-2"/>
          <c:y val="8.1364623727676277E-2"/>
          <c:w val="0.891007959381516"/>
          <c:h val="0.82122932667082427"/>
        </c:manualLayout>
      </c:layout>
      <c:scatterChart>
        <c:scatterStyle val="lineMarker"/>
        <c:varyColors val="0"/>
        <c:ser>
          <c:idx val="0"/>
          <c:order val="0"/>
          <c:tx>
            <c:strRef>
              <c:f>'1989-1995'!$C$35</c:f>
              <c:strCache>
                <c:ptCount val="1"/>
                <c:pt idx="0">
                  <c:v>Grąža</c:v>
                </c:pt>
              </c:strCache>
            </c:strRef>
          </c:tx>
          <c:spPr>
            <a:ln w="28575">
              <a:noFill/>
            </a:ln>
          </c:spPr>
          <c:marker>
            <c:symbol val="diamond"/>
            <c:size val="15"/>
            <c:spPr>
              <a:solidFill>
                <a:srgbClr val="00B07D"/>
              </a:solidFill>
            </c:spPr>
          </c:marker>
          <c:dLbls>
            <c:dLbl>
              <c:idx val="0"/>
              <c:layout>
                <c:manualLayout>
                  <c:x val="1.1567033256094518E-3"/>
                  <c:y val="-1.9322229837100188E-2"/>
                </c:manualLayout>
              </c:layout>
              <c:tx>
                <c:rich>
                  <a:bodyPr/>
                  <a:lstStyle/>
                  <a:p>
                    <a:r>
                      <a:rPr lang="en-US"/>
                      <a:t>LMN-89/95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412-40F2-BDB2-8F13477A2024}"/>
                </c:ext>
              </c:extLst>
            </c:dLbl>
            <c:dLbl>
              <c:idx val="1"/>
              <c:layout>
                <c:manualLayout>
                  <c:x val="2.1106602236415444E-3"/>
                  <c:y val="-5.9556713686446106E-3"/>
                </c:manualLayout>
              </c:layout>
              <c:tx>
                <c:rich>
                  <a:bodyPr/>
                  <a:lstStyle/>
                  <a:p>
                    <a:r>
                      <a:rPr lang="en-US"/>
                      <a:t>INV-89/95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412-40F2-BDB2-8F13477A2024}"/>
                </c:ext>
              </c:extLst>
            </c:dLbl>
            <c:dLbl>
              <c:idx val="2"/>
              <c:layout>
                <c:manualLayout>
                  <c:x val="-5.8274074450792536E-3"/>
                  <c:y val="-2.6067259078446731E-2"/>
                </c:manualLayout>
              </c:layout>
              <c:tx>
                <c:rich>
                  <a:bodyPr/>
                  <a:lstStyle/>
                  <a:p>
                    <a:r>
                      <a:rPr lang="en-US"/>
                      <a:t>SBN-89/95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412-40F2-BDB2-8F13477A2024}"/>
                </c:ext>
              </c:extLst>
            </c:dLbl>
            <c:dLbl>
              <c:idx val="3"/>
              <c:layout>
                <c:manualLayout>
                  <c:x val="-2.7121704223548909E-3"/>
                  <c:y val="-2.4258741838064181E-2"/>
                </c:manualLayout>
              </c:layout>
              <c:tx>
                <c:rich>
                  <a:bodyPr/>
                  <a:lstStyle/>
                  <a:p>
                    <a:r>
                      <a:rPr lang="en-US"/>
                      <a:t>SWD-89/95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412-40F2-BDB2-8F13477A2024}"/>
                </c:ext>
              </c:extLst>
            </c:dLbl>
            <c:dLbl>
              <c:idx val="4"/>
              <c:layout>
                <c:manualLayout>
                  <c:x val="-8.976862165490751E-2"/>
                  <c:y val="1.580101600412007E-2"/>
                </c:manualLayout>
              </c:layout>
              <c:tx>
                <c:rich>
                  <a:bodyPr/>
                  <a:lstStyle/>
                  <a:p>
                    <a:r>
                      <a:rPr lang="en-US"/>
                      <a:t>AVI-89/95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412-40F2-BDB2-8F13477A2024}"/>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'1989-1995'!$B$36:$B$40</c:f>
              <c:numCache>
                <c:formatCode>0.00</c:formatCode>
                <c:ptCount val="5"/>
                <c:pt idx="0">
                  <c:v>10.943006976476946</c:v>
                </c:pt>
                <c:pt idx="1">
                  <c:v>10.24063635288304</c:v>
                </c:pt>
                <c:pt idx="2">
                  <c:v>11.799116467732654</c:v>
                </c:pt>
                <c:pt idx="3">
                  <c:v>12.776215764763684</c:v>
                </c:pt>
                <c:pt idx="4">
                  <c:v>11.732258253150867</c:v>
                </c:pt>
              </c:numCache>
            </c:numRef>
          </c:xVal>
          <c:yVal>
            <c:numRef>
              <c:f>'1989-1995'!$C$36:$C$40</c:f>
              <c:numCache>
                <c:formatCode>0.00</c:formatCode>
                <c:ptCount val="5"/>
                <c:pt idx="0">
                  <c:v>5.3723645651584606</c:v>
                </c:pt>
                <c:pt idx="1">
                  <c:v>7.6409375453010853</c:v>
                </c:pt>
                <c:pt idx="2">
                  <c:v>6.8928546918258338</c:v>
                </c:pt>
                <c:pt idx="3">
                  <c:v>8.8546465449245169</c:v>
                </c:pt>
                <c:pt idx="4">
                  <c:v>8.3737570791325702</c:v>
                </c:pt>
              </c:numCache>
            </c:numRef>
          </c:yVal>
          <c:smooth val="0"/>
          <c:extLst>
            <c:ext xmlns:c16="http://schemas.microsoft.com/office/drawing/2014/chart" uri="{C3380CC4-5D6E-409C-BE32-E72D297353CC}">
              <c16:uniqueId val="{00000005-F412-40F2-BDB2-8F13477A2024}"/>
            </c:ext>
          </c:extLst>
        </c:ser>
        <c:dLbls>
          <c:showLegendKey val="0"/>
          <c:showVal val="0"/>
          <c:showCatName val="0"/>
          <c:showSerName val="0"/>
          <c:showPercent val="0"/>
          <c:showBubbleSize val="0"/>
        </c:dLbls>
        <c:axId val="135527744"/>
        <c:axId val="139149312"/>
      </c:scatterChart>
      <c:valAx>
        <c:axId val="135527744"/>
        <c:scaling>
          <c:orientation val="minMax"/>
        </c:scaling>
        <c:delete val="0"/>
        <c:axPos val="b"/>
        <c:title>
          <c:tx>
            <c:rich>
              <a:bodyPr/>
              <a:lstStyle/>
              <a:p>
                <a:pPr>
                  <a:defRPr/>
                </a:pPr>
                <a:r>
                  <a:rPr lang="en-US"/>
                  <a:t>Rizika</a:t>
                </a:r>
                <a:r>
                  <a:rPr lang="lt-LT"/>
                  <a:t>, proc.</a:t>
                </a:r>
              </a:p>
            </c:rich>
          </c:tx>
          <c:layout>
            <c:manualLayout>
              <c:xMode val="edge"/>
              <c:yMode val="edge"/>
              <c:x val="0.48454305691072258"/>
              <c:y val="0.95011897027705294"/>
            </c:manualLayout>
          </c:layout>
          <c:overlay val="0"/>
        </c:title>
        <c:numFmt formatCode="0.00" sourceLinked="1"/>
        <c:majorTickMark val="none"/>
        <c:minorTickMark val="none"/>
        <c:tickLblPos val="nextTo"/>
        <c:crossAx val="139149312"/>
        <c:crosses val="autoZero"/>
        <c:crossBetween val="midCat"/>
      </c:valAx>
      <c:valAx>
        <c:axId val="13914931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77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'1989-1995'!$C$65</c:f>
              <c:strCache>
                <c:ptCount val="1"/>
                <c:pt idx="0">
                  <c:v>Grąža (proc.)</c:v>
                </c:pt>
              </c:strCache>
            </c:strRef>
          </c:tx>
          <c:spPr>
            <a:solidFill>
              <a:srgbClr val="00B07D"/>
            </a:solidFill>
          </c:spPr>
          <c:invertIfNegative val="0"/>
          <c:dLbls>
            <c:dLbl>
              <c:idx val="0"/>
              <c:layout>
                <c:manualLayout>
                  <c:x val="-5.1817720763438158E-2"/>
                  <c:y val="-8.3102078198553753E-2"/>
                </c:manualLayout>
              </c:layout>
              <c:tx>
                <c:rich>
                  <a:bodyPr/>
                  <a:lstStyle/>
                  <a:p>
                    <a:r>
                      <a:rPr lang="en-US"/>
                      <a:t>LMN-89/95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FE25-413C-8F80-D3A6422BD710}"/>
                </c:ext>
              </c:extLst>
            </c:dLbl>
            <c:dLbl>
              <c:idx val="1"/>
              <c:layout>
                <c:manualLayout>
                  <c:x val="-8.8219299587331962E-2"/>
                  <c:y val="-9.120371029407312E-2"/>
                </c:manualLayout>
              </c:layout>
              <c:tx>
                <c:rich>
                  <a:bodyPr/>
                  <a:lstStyle/>
                  <a:p>
                    <a:r>
                      <a:rPr lang="en-US"/>
                      <a:t>INV-89/95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FE25-413C-8F80-D3A6422BD710}"/>
                </c:ext>
              </c:extLst>
            </c:dLbl>
            <c:dLbl>
              <c:idx val="2"/>
              <c:layout>
                <c:manualLayout>
                  <c:x val="-2.1505886280938271E-3"/>
                  <c:y val="-5.1266965432681916E-2"/>
                </c:manualLayout>
              </c:layout>
              <c:tx>
                <c:rich>
                  <a:bodyPr/>
                  <a:lstStyle/>
                  <a:p>
                    <a:r>
                      <a:rPr lang="en-US"/>
                      <a:t>SBN-89/95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FE25-413C-8F80-D3A6422BD710}"/>
                </c:ext>
              </c:extLst>
            </c:dLbl>
            <c:dLbl>
              <c:idx val="3"/>
              <c:layout>
                <c:manualLayout>
                  <c:x val="0"/>
                  <c:y val="-5.1490041547422156E-2"/>
                </c:manualLayout>
              </c:layout>
              <c:tx>
                <c:rich>
                  <a:bodyPr/>
                  <a:lstStyle/>
                  <a:p>
                    <a:r>
                      <a:rPr lang="en-US"/>
                      <a:t>SWD-89/95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FE25-413C-8F80-D3A6422BD710}"/>
                </c:ext>
              </c:extLst>
            </c:dLbl>
            <c:dLbl>
              <c:idx val="4"/>
              <c:layout>
                <c:manualLayout>
                  <c:x val="-9.1600396660264413E-2"/>
                  <c:y val="7.7975993702234486E-2"/>
                </c:manualLayout>
              </c:layout>
              <c:tx>
                <c:rich>
                  <a:bodyPr/>
                  <a:lstStyle/>
                  <a:p>
                    <a:r>
                      <a:rPr lang="en-US"/>
                      <a:t>AVI-89/95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FE25-413C-8F80-D3A6422BD710}"/>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'1989-1995'!$B$66:$B$70</c:f>
              <c:numCache>
                <c:formatCode>0.00</c:formatCode>
                <c:ptCount val="5"/>
                <c:pt idx="0">
                  <c:v>18.922000000000001</c:v>
                </c:pt>
                <c:pt idx="1">
                  <c:v>36.625999999999998</c:v>
                </c:pt>
                <c:pt idx="2">
                  <c:v>46.061999999999998</c:v>
                </c:pt>
                <c:pt idx="3">
                  <c:v>95.911000000000001</c:v>
                </c:pt>
                <c:pt idx="4">
                  <c:v>33.893999999999998</c:v>
                </c:pt>
              </c:numCache>
            </c:numRef>
          </c:xVal>
          <c:yVal>
            <c:numRef>
              <c:f>'1989-1995'!$C$66:$C$70</c:f>
              <c:numCache>
                <c:formatCode>0.00</c:formatCode>
                <c:ptCount val="5"/>
                <c:pt idx="0">
                  <c:v>5.3723645651584606</c:v>
                </c:pt>
                <c:pt idx="1">
                  <c:v>7.6409375453010853</c:v>
                </c:pt>
                <c:pt idx="2">
                  <c:v>6.8928546918258338</c:v>
                </c:pt>
                <c:pt idx="3">
                  <c:v>8.8546465449245169</c:v>
                </c:pt>
                <c:pt idx="4">
                  <c:v>8.3737570791325702</c:v>
                </c:pt>
              </c:numCache>
            </c:numRef>
          </c:yVal>
          <c:bubbleSize>
            <c:numRef>
              <c:f>'1989-1995'!$D$66:$D$70</c:f>
              <c:numCache>
                <c:formatCode>0.00</c:formatCode>
                <c:ptCount val="5"/>
                <c:pt idx="0">
                  <c:v>60.414196880000006</c:v>
                </c:pt>
                <c:pt idx="1">
                  <c:v>146.24353772009999</c:v>
                </c:pt>
                <c:pt idx="2">
                  <c:v>184.13743133000003</c:v>
                </c:pt>
                <c:pt idx="3">
                  <c:v>385.96673786000002</c:v>
                </c:pt>
                <c:pt idx="4">
                  <c:v>114.48829687999999</c:v>
                </c:pt>
              </c:numCache>
            </c:numRef>
          </c:bubbleSize>
          <c:bubble3D val="1"/>
          <c:extLst>
            <c:ext xmlns:c16="http://schemas.microsoft.com/office/drawing/2014/chart" uri="{C3380CC4-5D6E-409C-BE32-E72D297353CC}">
              <c16:uniqueId val="{00000005-FE25-413C-8F80-D3A6422BD710}"/>
            </c:ext>
          </c:extLst>
        </c:ser>
        <c:dLbls>
          <c:showLegendKey val="0"/>
          <c:showVal val="0"/>
          <c:showCatName val="0"/>
          <c:showSerName val="0"/>
          <c:showPercent val="0"/>
          <c:showBubbleSize val="0"/>
        </c:dLbls>
        <c:bubbleScale val="100"/>
        <c:showNegBubbles val="0"/>
        <c:axId val="139151040"/>
        <c:axId val="139151616"/>
      </c:bubbleChart>
      <c:valAx>
        <c:axId val="1391510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1616"/>
        <c:crosses val="autoZero"/>
        <c:crossBetween val="midCat"/>
      </c:valAx>
      <c:valAx>
        <c:axId val="1391516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10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'1982-1988'!$C$35</c:f>
              <c:strCache>
                <c:ptCount val="1"/>
                <c:pt idx="0">
                  <c:v>Grąža</c:v>
                </c:pt>
              </c:strCache>
            </c:strRef>
          </c:tx>
          <c:spPr>
            <a:ln w="28575">
              <a:noFill/>
            </a:ln>
          </c:spPr>
          <c:marker>
            <c:symbol val="diamond"/>
            <c:size val="15"/>
            <c:spPr>
              <a:solidFill>
                <a:srgbClr val="00B07D"/>
              </a:solidFill>
            </c:spPr>
          </c:marker>
          <c:dLbls>
            <c:dLbl>
              <c:idx val="0"/>
              <c:layout>
                <c:manualLayout>
                  <c:x val="-0.11275848649404906"/>
                  <c:y val="-4.9752976706004624E-3"/>
                </c:manualLayout>
              </c:layout>
              <c:tx>
                <c:rich>
                  <a:bodyPr/>
                  <a:lstStyle/>
                  <a:p>
                    <a:r>
                      <a:rPr lang="en-US"/>
                      <a:t>LMN-82/88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9F0-4BD4-B51D-160C42226E36}"/>
                </c:ext>
              </c:extLst>
            </c:dLbl>
            <c:dLbl>
              <c:idx val="1"/>
              <c:layout>
                <c:manualLayout>
                  <c:x val="-2.0078302834155858E-2"/>
                  <c:y val="-3.7343178260265085E-2"/>
                </c:manualLayout>
              </c:layout>
              <c:tx>
                <c:rich>
                  <a:bodyPr/>
                  <a:lstStyle/>
                  <a:p>
                    <a:r>
                      <a:rPr lang="en-US"/>
                      <a:t>INV-82/88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9F0-4BD4-B51D-160C42226E36}"/>
                </c:ext>
              </c:extLst>
            </c:dLbl>
            <c:dLbl>
              <c:idx val="2"/>
              <c:layout>
                <c:manualLayout>
                  <c:x val="-0.10548289604498581"/>
                  <c:y val="-3.7861968203282054E-2"/>
                </c:manualLayout>
              </c:layout>
              <c:tx>
                <c:rich>
                  <a:bodyPr/>
                  <a:lstStyle/>
                  <a:p>
                    <a:r>
                      <a:rPr lang="en-US"/>
                      <a:t>SBN-82/88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9F0-4BD4-B51D-160C42226E36}"/>
                </c:ext>
              </c:extLst>
            </c:dLbl>
            <c:dLbl>
              <c:idx val="3"/>
              <c:layout>
                <c:manualLayout>
                  <c:x val="-7.0725082168721738E-3"/>
                  <c:y val="-1.9542517378239355E-2"/>
                </c:manualLayout>
              </c:layout>
              <c:tx>
                <c:rich>
                  <a:bodyPr/>
                  <a:lstStyle/>
                  <a:p>
                    <a:r>
                      <a:rPr lang="en-US"/>
                      <a:t>SWD-82/88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9F0-4BD4-B51D-160C42226E36}"/>
                </c:ext>
              </c:extLst>
            </c:dLbl>
            <c:dLbl>
              <c:idx val="4"/>
              <c:layout>
                <c:manualLayout>
                  <c:x val="-0.10389665383950687"/>
                  <c:y val="-7.3476250367145906E-3"/>
                </c:manualLayout>
              </c:layout>
              <c:tx>
                <c:rich>
                  <a:bodyPr/>
                  <a:lstStyle/>
                  <a:p>
                    <a:r>
                      <a:rPr lang="en-US"/>
                      <a:t>AVI-82/88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D9F0-4BD4-B51D-160C42226E36}"/>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'1982-1988'!$B$36:$B$40</c:f>
              <c:numCache>
                <c:formatCode>0.00</c:formatCode>
                <c:ptCount val="5"/>
                <c:pt idx="0">
                  <c:v>10.883093793679285</c:v>
                </c:pt>
                <c:pt idx="1">
                  <c:v>10.174667248543075</c:v>
                </c:pt>
                <c:pt idx="2">
                  <c:v>11.741186147852439</c:v>
                </c:pt>
                <c:pt idx="3">
                  <c:v>12.734842279375705</c:v>
                </c:pt>
                <c:pt idx="4">
                  <c:v>11.691744548644721</c:v>
                </c:pt>
              </c:numCache>
            </c:numRef>
          </c:xVal>
          <c:yVal>
            <c:numRef>
              <c:f>'1982-1988'!$C$36:$C$40</c:f>
              <c:numCache>
                <c:formatCode>0.00</c:formatCode>
                <c:ptCount val="5"/>
                <c:pt idx="0">
                  <c:v>5.5212435677058469</c:v>
                </c:pt>
                <c:pt idx="1">
                  <c:v>7.735064115358159</c:v>
                </c:pt>
                <c:pt idx="2">
                  <c:v>6.8457941517000132</c:v>
                </c:pt>
                <c:pt idx="3">
                  <c:v>9.0033483021246354</c:v>
                </c:pt>
                <c:pt idx="4">
                  <c:v>8.2755752904078115</c:v>
                </c:pt>
              </c:numCache>
            </c:numRef>
          </c:yVal>
          <c:smooth val="0"/>
          <c:extLst>
            <c:ext xmlns:c16="http://schemas.microsoft.com/office/drawing/2014/chart" uri="{C3380CC4-5D6E-409C-BE32-E72D297353CC}">
              <c16:uniqueId val="{00000005-D9F0-4BD4-B51D-160C42226E36}"/>
            </c:ext>
          </c:extLst>
        </c:ser>
        <c:dLbls>
          <c:showLegendKey val="0"/>
          <c:showVal val="0"/>
          <c:showCatName val="0"/>
          <c:showSerName val="0"/>
          <c:showPercent val="0"/>
          <c:showBubbleSize val="0"/>
        </c:dLbls>
        <c:axId val="139153344"/>
        <c:axId val="139153920"/>
      </c:scatterChart>
      <c:valAx>
        <c:axId val="139153344"/>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153920"/>
        <c:crosses val="autoZero"/>
        <c:crossBetween val="midCat"/>
      </c:valAx>
      <c:valAx>
        <c:axId val="13915392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33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'1982-1988'!$C$65</c:f>
              <c:strCache>
                <c:ptCount val="1"/>
                <c:pt idx="0">
                  <c:v>Grąža (proc.)</c:v>
                </c:pt>
              </c:strCache>
            </c:strRef>
          </c:tx>
          <c:spPr>
            <a:solidFill>
              <a:srgbClr val="00B07D"/>
            </a:solidFill>
          </c:spPr>
          <c:invertIfNegative val="0"/>
          <c:dLbls>
            <c:dLbl>
              <c:idx val="0"/>
              <c:layout>
                <c:manualLayout>
                  <c:x val="-0.14179104477611942"/>
                  <c:y val="-2.8009255685608282E-2"/>
                </c:manualLayout>
              </c:layout>
              <c:tx>
                <c:rich>
                  <a:bodyPr/>
                  <a:lstStyle/>
                  <a:p>
                    <a:r>
                      <a:rPr lang="en-US"/>
                      <a:t>LMN-82/88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0FF2-408F-8939-780556E59F87}"/>
                </c:ext>
              </c:extLst>
            </c:dLbl>
            <c:dLbl>
              <c:idx val="1"/>
              <c:layout>
                <c:manualLayout>
                  <c:x val="-7.462686567164179E-3"/>
                  <c:y val="-5.092591942837861E-2"/>
                </c:manualLayout>
              </c:layout>
              <c:tx>
                <c:rich>
                  <a:bodyPr/>
                  <a:lstStyle/>
                  <a:p>
                    <a:r>
                      <a:rPr lang="en-US"/>
                      <a:t>INV-82/88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0FF2-408F-8939-780556E59F87}"/>
                </c:ext>
              </c:extLst>
            </c:dLbl>
            <c:dLbl>
              <c:idx val="2"/>
              <c:layout>
                <c:manualLayout>
                  <c:x val="-3.9800995024875621E-2"/>
                  <c:y val="-0.11203702274243296"/>
                </c:manualLayout>
              </c:layout>
              <c:tx>
                <c:rich>
                  <a:bodyPr/>
                  <a:lstStyle/>
                  <a:p>
                    <a:r>
                      <a:rPr lang="en-US"/>
                      <a:t>SBN-82/88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0FF2-408F-8939-780556E59F87}"/>
                </c:ext>
              </c:extLst>
            </c:dLbl>
            <c:dLbl>
              <c:idx val="3"/>
              <c:layout>
                <c:manualLayout>
                  <c:x val="-2.3631938731539154E-2"/>
                  <c:y val="-0.10439813482817617"/>
                </c:manualLayout>
              </c:layout>
              <c:tx>
                <c:rich>
                  <a:bodyPr/>
                  <a:lstStyle/>
                  <a:p>
                    <a:r>
                      <a:rPr lang="en-US"/>
                      <a:t>SWD-82/88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0FF2-408F-8939-780556E59F87}"/>
                </c:ext>
              </c:extLst>
            </c:dLbl>
            <c:dLbl>
              <c:idx val="4"/>
              <c:layout>
                <c:manualLayout>
                  <c:x val="-7.462686567164179E-3"/>
                  <c:y val="2.0370367771351351E-2"/>
                </c:manualLayout>
              </c:layout>
              <c:tx>
                <c:rich>
                  <a:bodyPr/>
                  <a:lstStyle/>
                  <a:p>
                    <a:r>
                      <a:rPr lang="en-US"/>
                      <a:t>AVI-82/88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0FF2-408F-8939-780556E59F87}"/>
                </c:ext>
              </c:extLst>
            </c:dLbl>
            <c:spPr>
              <a:noFill/>
              <a:ln>
                <a:noFill/>
              </a:ln>
              <a:effectLst/>
            </c:spPr>
            <c:dLblPos val="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'1982-1988'!$B$66:$B$70</c:f>
              <c:numCache>
                <c:formatCode>0.00</c:formatCode>
                <c:ptCount val="5"/>
                <c:pt idx="0">
                  <c:v>26.132000000000001</c:v>
                </c:pt>
                <c:pt idx="1">
                  <c:v>44.292000000000002</c:v>
                </c:pt>
                <c:pt idx="2">
                  <c:v>73.986000000000004</c:v>
                </c:pt>
                <c:pt idx="3">
                  <c:v>113.84699999999999</c:v>
                </c:pt>
                <c:pt idx="4">
                  <c:v>47.768000000000001</c:v>
                </c:pt>
              </c:numCache>
            </c:numRef>
          </c:xVal>
          <c:yVal>
            <c:numRef>
              <c:f>'1982-1988'!$C$66:$C$70</c:f>
              <c:numCache>
                <c:formatCode>0.00</c:formatCode>
                <c:ptCount val="5"/>
                <c:pt idx="0">
                  <c:v>5.5212435677058469</c:v>
                </c:pt>
                <c:pt idx="1">
                  <c:v>7.735064115358159</c:v>
                </c:pt>
                <c:pt idx="2">
                  <c:v>6.8457941517000132</c:v>
                </c:pt>
                <c:pt idx="3">
                  <c:v>9.0033483021246354</c:v>
                </c:pt>
                <c:pt idx="4">
                  <c:v>8.2755752904078115</c:v>
                </c:pt>
              </c:numCache>
            </c:numRef>
          </c:yVal>
          <c:bubbleSize>
            <c:numRef>
              <c:f>'1982-1988'!$D$66:$D$70</c:f>
              <c:numCache>
                <c:formatCode>0.00</c:formatCode>
                <c:ptCount val="5"/>
                <c:pt idx="0">
                  <c:v>117.31881745</c:v>
                </c:pt>
                <c:pt idx="1">
                  <c:v>253.8462096536</c:v>
                </c:pt>
                <c:pt idx="2">
                  <c:v>404.37063704000002</c:v>
                </c:pt>
                <c:pt idx="3">
                  <c:v>547.78485548000003</c:v>
                </c:pt>
                <c:pt idx="4">
                  <c:v>195.53420259999999</c:v>
                </c:pt>
              </c:numCache>
            </c:numRef>
          </c:bubbleSize>
          <c:bubble3D val="1"/>
          <c:extLst>
            <c:ext xmlns:c16="http://schemas.microsoft.com/office/drawing/2014/chart" uri="{C3380CC4-5D6E-409C-BE32-E72D297353CC}">
              <c16:uniqueId val="{00000005-0FF2-408F-8939-780556E59F87}"/>
            </c:ext>
          </c:extLst>
        </c:ser>
        <c:dLbls>
          <c:showLegendKey val="0"/>
          <c:showVal val="0"/>
          <c:showCatName val="0"/>
          <c:showSerName val="0"/>
          <c:showPercent val="0"/>
          <c:showBubbleSize val="0"/>
        </c:dLbls>
        <c:bubbleScale val="100"/>
        <c:showNegBubbles val="0"/>
        <c:axId val="139155648"/>
        <c:axId val="139156224"/>
      </c:bubbleChart>
      <c:valAx>
        <c:axId val="139155648"/>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6224"/>
        <c:crosses val="autoZero"/>
        <c:crossBetween val="midCat"/>
      </c:valAx>
      <c:valAx>
        <c:axId val="13915622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564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'1975-1981'!$C$35</c:f>
              <c:strCache>
                <c:ptCount val="1"/>
                <c:pt idx="0">
                  <c:v>Grąža</c:v>
                </c:pt>
              </c:strCache>
            </c:strRef>
          </c:tx>
          <c:spPr>
            <a:ln w="28575">
              <a:noFill/>
            </a:ln>
          </c:spPr>
          <c:marker>
            <c:symbol val="diamond"/>
            <c:size val="15"/>
            <c:spPr>
              <a:solidFill>
                <a:srgbClr val="00B07D"/>
              </a:solidFill>
            </c:spPr>
          </c:marker>
          <c:dLbls>
            <c:dLbl>
              <c:idx val="0"/>
              <c:layout>
                <c:manualLayout>
                  <c:x val="-5.1752368437094617E-2"/>
                  <c:y val="-4.3246787012288977E-2"/>
                </c:manualLayout>
              </c:layout>
              <c:tx>
                <c:rich>
                  <a:bodyPr/>
                  <a:lstStyle/>
                  <a:p>
                    <a:r>
                      <a:rPr lang="en-US"/>
                      <a:t>LMN-75/81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7FF8-4F38-B46B-F555D8639C59}"/>
                </c:ext>
              </c:extLst>
            </c:dLbl>
            <c:dLbl>
              <c:idx val="1"/>
              <c:layout>
                <c:manualLayout>
                  <c:x val="-5.4352159336488563E-2"/>
                  <c:y val="-3.9126079785511483E-2"/>
                </c:manualLayout>
              </c:layout>
              <c:tx>
                <c:rich>
                  <a:bodyPr/>
                  <a:lstStyle/>
                  <a:p>
                    <a:r>
                      <a:rPr lang="en-US"/>
                      <a:t>INV-75/81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FF8-4F38-B46B-F555D8639C59}"/>
                </c:ext>
              </c:extLst>
            </c:dLbl>
            <c:dLbl>
              <c:idx val="2"/>
              <c:layout>
                <c:manualLayout>
                  <c:x val="-0.10385046290320697"/>
                  <c:y val="-3.7906641140897743E-2"/>
                </c:manualLayout>
              </c:layout>
              <c:tx>
                <c:rich>
                  <a:bodyPr/>
                  <a:lstStyle/>
                  <a:p>
                    <a:r>
                      <a:rPr lang="en-US"/>
                      <a:t>SBN-75/81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FF8-4F38-B46B-F555D8639C59}"/>
                </c:ext>
              </c:extLst>
            </c:dLbl>
            <c:dLbl>
              <c:idx val="3"/>
              <c:layout>
                <c:manualLayout>
                  <c:x val="-2.8863305652269103E-3"/>
                  <c:y val="-3.3929176614123986E-2"/>
                </c:manualLayout>
              </c:layout>
              <c:tx>
                <c:rich>
                  <a:bodyPr/>
                  <a:lstStyle/>
                  <a:p>
                    <a:r>
                      <a:rPr lang="en-US"/>
                      <a:t>SWD-75/81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FF8-4F38-B46B-F555D8639C59}"/>
                </c:ext>
              </c:extLst>
            </c:dLbl>
            <c:dLbl>
              <c:idx val="4"/>
              <c:layout>
                <c:manualLayout>
                  <c:x val="-3.9858592521608248E-2"/>
                  <c:y val="4.0892190480392845E-2"/>
                </c:manualLayout>
              </c:layout>
              <c:tx>
                <c:rich>
                  <a:bodyPr/>
                  <a:lstStyle/>
                  <a:p>
                    <a:r>
                      <a:rPr lang="en-US"/>
                      <a:t>AVI-75/81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FF8-4F38-B46B-F555D8639C59}"/>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'1975-1981'!$B$36:$B$40</c:f>
              <c:numCache>
                <c:formatCode>0.00</c:formatCode>
                <c:ptCount val="5"/>
                <c:pt idx="0">
                  <c:v>10.905828680902596</c:v>
                </c:pt>
                <c:pt idx="1">
                  <c:v>10.126082045548648</c:v>
                </c:pt>
                <c:pt idx="2">
                  <c:v>11.724379815907305</c:v>
                </c:pt>
                <c:pt idx="3">
                  <c:v>12.609514678028191</c:v>
                </c:pt>
                <c:pt idx="4">
                  <c:v>11.744352519418623</c:v>
                </c:pt>
              </c:numCache>
            </c:numRef>
          </c:xVal>
          <c:yVal>
            <c:numRef>
              <c:f>'1975-1981'!$C$36:$C$40</c:f>
              <c:numCache>
                <c:formatCode>0.00</c:formatCode>
                <c:ptCount val="5"/>
                <c:pt idx="0">
                  <c:v>5.6781453279032723</c:v>
                </c:pt>
                <c:pt idx="1">
                  <c:v>7.6956918161098065</c:v>
                </c:pt>
                <c:pt idx="2">
                  <c:v>6.8090968918264494</c:v>
                </c:pt>
                <c:pt idx="3">
                  <c:v>8.9758873155062258</c:v>
                </c:pt>
                <c:pt idx="4">
                  <c:v>7.9819950280184848</c:v>
                </c:pt>
              </c:numCache>
            </c:numRef>
          </c:yVal>
          <c:smooth val="0"/>
          <c:extLst>
            <c:ext xmlns:c16="http://schemas.microsoft.com/office/drawing/2014/chart" uri="{C3380CC4-5D6E-409C-BE32-E72D297353CC}">
              <c16:uniqueId val="{00000005-7FF8-4F38-B46B-F555D8639C59}"/>
            </c:ext>
          </c:extLst>
        </c:ser>
        <c:dLbls>
          <c:showLegendKey val="0"/>
          <c:showVal val="0"/>
          <c:showCatName val="0"/>
          <c:showSerName val="0"/>
          <c:showPercent val="0"/>
          <c:showBubbleSize val="0"/>
        </c:dLbls>
        <c:axId val="139493952"/>
        <c:axId val="139494528"/>
      </c:scatterChart>
      <c:valAx>
        <c:axId val="139493952"/>
        <c:scaling>
          <c:orientation val="minMax"/>
        </c:scaling>
        <c:delete val="0"/>
        <c:axPos val="b"/>
        <c:title>
          <c:tx>
            <c:rich>
              <a:bodyPr/>
              <a:lstStyle/>
              <a:p>
                <a:pPr>
                  <a:defRPr/>
                </a:pPr>
                <a:r>
                  <a:rPr lang="en-US"/>
                  <a:t>Rizika</a:t>
                </a:r>
                <a:r>
                  <a:rPr lang="lt-LT"/>
                  <a:t>, proc.</a:t>
                </a:r>
              </a:p>
            </c:rich>
          </c:tx>
          <c:layout>
            <c:manualLayout>
              <c:xMode val="edge"/>
              <c:yMode val="edge"/>
              <c:x val="0.50879282135187642"/>
              <c:y val="0.93589297122504256"/>
            </c:manualLayout>
          </c:layout>
          <c:overlay val="0"/>
        </c:title>
        <c:numFmt formatCode="0.00" sourceLinked="1"/>
        <c:majorTickMark val="none"/>
        <c:minorTickMark val="none"/>
        <c:tickLblPos val="nextTo"/>
        <c:crossAx val="139494528"/>
        <c:crosses val="autoZero"/>
        <c:crossBetween val="midCat"/>
      </c:valAx>
      <c:valAx>
        <c:axId val="13949452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395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'1975-1981'!$C$65</c:f>
              <c:strCache>
                <c:ptCount val="1"/>
                <c:pt idx="0">
                  <c:v>Grąža (proc.)</c:v>
                </c:pt>
              </c:strCache>
            </c:strRef>
          </c:tx>
          <c:spPr>
            <a:solidFill>
              <a:srgbClr val="00B07D"/>
            </a:solidFill>
          </c:spPr>
          <c:invertIfNegative val="0"/>
          <c:dPt>
            <c:idx val="0"/>
            <c:invertIfNegative val="0"/>
            <c:bubble3D val="1"/>
            <c:extLst>
              <c:ext xmlns:c16="http://schemas.microsoft.com/office/drawing/2014/chart" uri="{C3380CC4-5D6E-409C-BE32-E72D297353CC}">
                <c16:uniqueId val="{00000000-86E8-4141-8501-D7669662E059}"/>
              </c:ext>
            </c:extLst>
          </c:dPt>
          <c:dLbls>
            <c:dLbl>
              <c:idx val="0"/>
              <c:layout>
                <c:manualLayout>
                  <c:x val="-0.2020109596570405"/>
                  <c:y val="0.13512041808427744"/>
                </c:manualLayout>
              </c:layout>
              <c:tx>
                <c:rich>
                  <a:bodyPr/>
                  <a:lstStyle/>
                  <a:p>
                    <a:r>
                      <a:rPr lang="en-US"/>
                      <a:t>LMN-75/81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86E8-4141-8501-D7669662E059}"/>
                </c:ext>
              </c:extLst>
            </c:dLbl>
            <c:dLbl>
              <c:idx val="1"/>
              <c:layout>
                <c:manualLayout>
                  <c:x val="-8.4778297423223417E-2"/>
                  <c:y val="-0.22746239389965089"/>
                </c:manualLayout>
              </c:layout>
              <c:tx>
                <c:rich>
                  <a:bodyPr/>
                  <a:lstStyle/>
                  <a:p>
                    <a:r>
                      <a:rPr lang="en-US"/>
                      <a:t>INV-75/81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86E8-4141-8501-D7669662E059}"/>
                </c:ext>
              </c:extLst>
            </c:dLbl>
            <c:dLbl>
              <c:idx val="2"/>
              <c:layout>
                <c:manualLayout>
                  <c:x val="-9.9296673807272775E-3"/>
                  <c:y val="-6.6658636656608442E-2"/>
                </c:manualLayout>
              </c:layout>
              <c:tx>
                <c:rich>
                  <a:bodyPr/>
                  <a:lstStyle/>
                  <a:p>
                    <a:r>
                      <a:rPr lang="en-US"/>
                      <a:t>SBN-75/81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86E8-4141-8501-D7669662E059}"/>
                </c:ext>
              </c:extLst>
            </c:dLbl>
            <c:dLbl>
              <c:idx val="3"/>
              <c:layout>
                <c:manualLayout>
                  <c:x val="-1.2615092856023251E-3"/>
                  <c:y val="-5.0905721001375658E-2"/>
                </c:manualLayout>
              </c:layout>
              <c:tx>
                <c:rich>
                  <a:bodyPr/>
                  <a:lstStyle/>
                  <a:p>
                    <a:r>
                      <a:rPr lang="en-US"/>
                      <a:t>SWD-75/81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86E8-4141-8501-D7669662E059}"/>
                </c:ext>
              </c:extLst>
            </c:dLbl>
            <c:dLbl>
              <c:idx val="4"/>
              <c:layout>
                <c:manualLayout>
                  <c:x val="-0.14599187040200676"/>
                  <c:y val="-3.3539655155827623E-2"/>
                </c:manualLayout>
              </c:layout>
              <c:tx>
                <c:rich>
                  <a:bodyPr/>
                  <a:lstStyle/>
                  <a:p>
                    <a:r>
                      <a:rPr lang="en-US"/>
                      <a:t>AVI-75/81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86E8-4141-8501-D7669662E059}"/>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'1975-1981'!$B$66:$B$70</c:f>
              <c:numCache>
                <c:formatCode>0.00</c:formatCode>
                <c:ptCount val="5"/>
                <c:pt idx="0">
                  <c:v>27.85</c:v>
                </c:pt>
                <c:pt idx="1">
                  <c:v>19.507999999999999</c:v>
                </c:pt>
                <c:pt idx="2">
                  <c:v>62.798999999999999</c:v>
                </c:pt>
                <c:pt idx="3">
                  <c:v>98.543000000000006</c:v>
                </c:pt>
                <c:pt idx="4">
                  <c:v>39.988</c:v>
                </c:pt>
              </c:numCache>
            </c:numRef>
          </c:xVal>
          <c:yVal>
            <c:numRef>
              <c:f>'1975-1981'!$C$66:$C$70</c:f>
              <c:numCache>
                <c:formatCode>0.00</c:formatCode>
                <c:ptCount val="5"/>
                <c:pt idx="0">
                  <c:v>7.6956918161098065</c:v>
                </c:pt>
                <c:pt idx="1">
                  <c:v>5.6781453279032723</c:v>
                </c:pt>
                <c:pt idx="2">
                  <c:v>6.8090968918264494</c:v>
                </c:pt>
                <c:pt idx="3">
                  <c:v>8.9758873155062258</c:v>
                </c:pt>
                <c:pt idx="4">
                  <c:v>7.9819950280184848</c:v>
                </c:pt>
              </c:numCache>
            </c:numRef>
          </c:yVal>
          <c:bubbleSize>
            <c:numRef>
              <c:f>'1975-1981'!$D$66:$D$70</c:f>
              <c:numCache>
                <c:formatCode>0.00</c:formatCode>
                <c:ptCount val="5"/>
                <c:pt idx="0">
                  <c:v>255.68835309479999</c:v>
                </c:pt>
                <c:pt idx="1">
                  <c:v>132.63730889000001</c:v>
                </c:pt>
                <c:pt idx="2">
                  <c:v>505.11624323000001</c:v>
                </c:pt>
                <c:pt idx="3">
                  <c:v>658.27322794000008</c:v>
                </c:pt>
                <c:pt idx="4">
                  <c:v>237.47193615</c:v>
                </c:pt>
              </c:numCache>
            </c:numRef>
          </c:bubbleSize>
          <c:bubble3D val="1"/>
          <c:extLst>
            <c:ext xmlns:c16="http://schemas.microsoft.com/office/drawing/2014/chart" uri="{C3380CC4-5D6E-409C-BE32-E72D297353CC}">
              <c16:uniqueId val="{00000005-86E8-4141-8501-D7669662E059}"/>
            </c:ext>
          </c:extLst>
        </c:ser>
        <c:dLbls>
          <c:showLegendKey val="0"/>
          <c:showVal val="0"/>
          <c:showCatName val="0"/>
          <c:showSerName val="0"/>
          <c:showPercent val="0"/>
          <c:showBubbleSize val="0"/>
        </c:dLbls>
        <c:bubbleScale val="100"/>
        <c:showNegBubbles val="0"/>
        <c:axId val="139496256"/>
        <c:axId val="139496832"/>
      </c:bubbleChart>
      <c:valAx>
        <c:axId val="139496256"/>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496832"/>
        <c:crosses val="autoZero"/>
        <c:crossBetween val="midCat"/>
      </c:valAx>
      <c:valAx>
        <c:axId val="13949683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625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'1968-1974'!$C$35</c:f>
              <c:strCache>
                <c:ptCount val="1"/>
                <c:pt idx="0">
                  <c:v>Grąža</c:v>
                </c:pt>
              </c:strCache>
            </c:strRef>
          </c:tx>
          <c:spPr>
            <a:ln w="28575">
              <a:noFill/>
            </a:ln>
          </c:spPr>
          <c:marker>
            <c:symbol val="diamond"/>
            <c:size val="15"/>
            <c:spPr>
              <a:solidFill>
                <a:srgbClr val="00B07D"/>
              </a:solidFill>
            </c:spPr>
          </c:marker>
          <c:dLbls>
            <c:dLbl>
              <c:idx val="0"/>
              <c:layout>
                <c:manualLayout>
                  <c:x val="5.5590291863670937E-3"/>
                  <c:y val="-6.4506786627679805E-5"/>
                </c:manualLayout>
              </c:layout>
              <c:tx>
                <c:rich>
                  <a:bodyPr/>
                  <a:lstStyle/>
                  <a:p>
                    <a:r>
                      <a:rPr lang="en-US"/>
                      <a:t>LMN-68/74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1BB-4957-9FE0-05EEF0777BB7}"/>
                </c:ext>
              </c:extLst>
            </c:dLbl>
            <c:dLbl>
              <c:idx val="1"/>
              <c:layout>
                <c:manualLayout>
                  <c:x val="-3.332700540080006E-3"/>
                  <c:y val="6.558825638322897E-3"/>
                </c:manualLayout>
              </c:layout>
              <c:tx>
                <c:rich>
                  <a:bodyPr/>
                  <a:lstStyle/>
                  <a:p>
                    <a:r>
                      <a:rPr lang="en-US"/>
                      <a:t>INV-68/74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1BB-4957-9FE0-05EEF0777BB7}"/>
                </c:ext>
              </c:extLst>
            </c:dLbl>
            <c:dLbl>
              <c:idx val="2"/>
              <c:layout>
                <c:manualLayout>
                  <c:x val="4.5782393101680282E-4"/>
                  <c:y val="-1.4098443445530108E-2"/>
                </c:manualLayout>
              </c:layout>
              <c:tx>
                <c:rich>
                  <a:bodyPr/>
                  <a:lstStyle/>
                  <a:p>
                    <a:r>
                      <a:rPr lang="en-US"/>
                      <a:t>SBN-68/74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1BB-4957-9FE0-05EEF0777BB7}"/>
                </c:ext>
              </c:extLst>
            </c:dLbl>
            <c:dLbl>
              <c:idx val="3"/>
              <c:layout>
                <c:manualLayout>
                  <c:x val="-5.7760802433968937E-2"/>
                  <c:y val="-2.9279160622473158E-2"/>
                </c:manualLayout>
              </c:layout>
              <c:tx>
                <c:rich>
                  <a:bodyPr/>
                  <a:lstStyle/>
                  <a:p>
                    <a:r>
                      <a:rPr lang="en-US"/>
                      <a:t>SWD-68/74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1BB-4957-9FE0-05EEF0777BB7}"/>
                </c:ext>
              </c:extLst>
            </c:dLbl>
            <c:dLbl>
              <c:idx val="4"/>
              <c:layout>
                <c:manualLayout>
                  <c:x val="3.3613049563539516E-3"/>
                  <c:y val="6.9420657038940802E-5"/>
                </c:manualLayout>
              </c:layout>
              <c:tx>
                <c:rich>
                  <a:bodyPr/>
                  <a:lstStyle/>
                  <a:p>
                    <a:r>
                      <a:rPr lang="en-US"/>
                      <a:t>AVI-68/74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1BB-4957-9FE0-05EEF0777BB7}"/>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'1968-1974'!$B$36:$B$40</c:f>
              <c:numCache>
                <c:formatCode>0.00</c:formatCode>
                <c:ptCount val="5"/>
                <c:pt idx="0">
                  <c:v>10.135717964510134</c:v>
                </c:pt>
                <c:pt idx="1">
                  <c:v>8.4786354779863231</c:v>
                </c:pt>
                <c:pt idx="2">
                  <c:v>10.23274402280895</c:v>
                </c:pt>
                <c:pt idx="3">
                  <c:v>10.922328686519014</c:v>
                </c:pt>
                <c:pt idx="4">
                  <c:v>10.389296676185756</c:v>
                </c:pt>
              </c:numCache>
            </c:numRef>
          </c:xVal>
          <c:yVal>
            <c:numRef>
              <c:f>'1968-1974'!$C$36:$C$40</c:f>
              <c:numCache>
                <c:formatCode>0.00</c:formatCode>
                <c:ptCount val="5"/>
                <c:pt idx="0">
                  <c:v>4.525846431528624</c:v>
                </c:pt>
                <c:pt idx="1">
                  <c:v>5.589096636041968</c:v>
                </c:pt>
                <c:pt idx="2">
                  <c:v>5.3733379146198468</c:v>
                </c:pt>
                <c:pt idx="3">
                  <c:v>7.2765452859069768</c:v>
                </c:pt>
                <c:pt idx="4">
                  <c:v>6.0162550900284106</c:v>
                </c:pt>
              </c:numCache>
            </c:numRef>
          </c:yVal>
          <c:smooth val="0"/>
          <c:extLst>
            <c:ext xmlns:c16="http://schemas.microsoft.com/office/drawing/2014/chart" uri="{C3380CC4-5D6E-409C-BE32-E72D297353CC}">
              <c16:uniqueId val="{00000005-21BB-4957-9FE0-05EEF0777BB7}"/>
            </c:ext>
          </c:extLst>
        </c:ser>
        <c:dLbls>
          <c:showLegendKey val="0"/>
          <c:showVal val="0"/>
          <c:showCatName val="0"/>
          <c:showSerName val="0"/>
          <c:showPercent val="0"/>
          <c:showBubbleSize val="0"/>
        </c:dLbls>
        <c:axId val="139498560"/>
        <c:axId val="139499136"/>
      </c:scatterChart>
      <c:valAx>
        <c:axId val="139498560"/>
        <c:scaling>
          <c:orientation val="minMax"/>
        </c:scaling>
        <c:delete val="0"/>
        <c:axPos val="b"/>
        <c:title>
          <c:tx>
            <c:rich>
              <a:bodyPr/>
              <a:lstStyle/>
              <a:p>
                <a:pPr algn="ctr" rtl="0">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499136"/>
        <c:crosses val="autoZero"/>
        <c:crossBetween val="midCat"/>
      </c:valAx>
      <c:valAx>
        <c:axId val="13949913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856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'1968-1974'!$C$65</c:f>
              <c:strCache>
                <c:ptCount val="1"/>
                <c:pt idx="0">
                  <c:v>Grąža (proc.)</c:v>
                </c:pt>
              </c:strCache>
            </c:strRef>
          </c:tx>
          <c:spPr>
            <a:solidFill>
              <a:srgbClr val="00B07D"/>
            </a:solidFill>
          </c:spPr>
          <c:invertIfNegative val="0"/>
          <c:dLbls>
            <c:dLbl>
              <c:idx val="0"/>
              <c:layout>
                <c:manualLayout>
                  <c:x val="-0.16825219348681142"/>
                  <c:y val="-0.1061225954061395"/>
                </c:manualLayout>
              </c:layout>
              <c:tx>
                <c:rich>
                  <a:bodyPr/>
                  <a:lstStyle/>
                  <a:p>
                    <a:r>
                      <a:rPr lang="en-US"/>
                      <a:t>LMN-68/74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D98E-4B4A-8C0F-A76F2F968B7C}"/>
                </c:ext>
              </c:extLst>
            </c:dLbl>
            <c:dLbl>
              <c:idx val="1"/>
              <c:layout>
                <c:manualLayout>
                  <c:x val="-1.1381086814602861E-2"/>
                  <c:y val="0.11515876171633244"/>
                </c:manualLayout>
              </c:layout>
              <c:tx>
                <c:rich>
                  <a:bodyPr/>
                  <a:lstStyle/>
                  <a:p>
                    <a:r>
                      <a:rPr lang="en-US"/>
                      <a:t>INV-68/74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D98E-4B4A-8C0F-A76F2F968B7C}"/>
                </c:ext>
              </c:extLst>
            </c:dLbl>
            <c:dLbl>
              <c:idx val="2"/>
              <c:layout>
                <c:manualLayout>
                  <c:x val="-8.4672751827912675E-5"/>
                  <c:y val="-2.0793183283042221E-2"/>
                </c:manualLayout>
              </c:layout>
              <c:tx>
                <c:rich>
                  <a:bodyPr/>
                  <a:lstStyle/>
                  <a:p>
                    <a:r>
                      <a:rPr lang="en-US"/>
                      <a:t>SBN-68/74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D98E-4B4A-8C0F-A76F2F968B7C}"/>
                </c:ext>
              </c:extLst>
            </c:dLbl>
            <c:dLbl>
              <c:idx val="3"/>
              <c:tx>
                <c:rich>
                  <a:bodyPr/>
                  <a:lstStyle/>
                  <a:p>
                    <a:r>
                      <a:rPr lang="en-US"/>
                      <a:t>SWD-68/74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D98E-4B4A-8C0F-A76F2F968B7C}"/>
                </c:ext>
              </c:extLst>
            </c:dLbl>
            <c:dLbl>
              <c:idx val="4"/>
              <c:layout>
                <c:manualLayout>
                  <c:x val="-2.0222665859884428E-2"/>
                  <c:y val="6.6407915959865449E-2"/>
                </c:manualLayout>
              </c:layout>
              <c:tx>
                <c:rich>
                  <a:bodyPr/>
                  <a:lstStyle/>
                  <a:p>
                    <a:r>
                      <a:rPr lang="en-US"/>
                      <a:t>AVI-68/74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D98E-4B4A-8C0F-A76F2F968B7C}"/>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'1968-1974'!$B$66:$B$70</c:f>
              <c:numCache>
                <c:formatCode>0.00</c:formatCode>
                <c:ptCount val="5"/>
                <c:pt idx="0">
                  <c:v>23.225000000000001</c:v>
                </c:pt>
                <c:pt idx="1">
                  <c:v>18.135999999999999</c:v>
                </c:pt>
                <c:pt idx="2">
                  <c:v>53.381</c:v>
                </c:pt>
                <c:pt idx="3">
                  <c:v>95.870999999999995</c:v>
                </c:pt>
                <c:pt idx="4">
                  <c:v>39.466000000000001</c:v>
                </c:pt>
              </c:numCache>
            </c:numRef>
          </c:xVal>
          <c:yVal>
            <c:numRef>
              <c:f>'1968-1974'!$C$66:$C$70</c:f>
              <c:numCache>
                <c:formatCode>0.00</c:formatCode>
                <c:ptCount val="5"/>
                <c:pt idx="0">
                  <c:v>5.589096636041968</c:v>
                </c:pt>
                <c:pt idx="1">
                  <c:v>4.525846431528624</c:v>
                </c:pt>
                <c:pt idx="2">
                  <c:v>5.3733379146198468</c:v>
                </c:pt>
                <c:pt idx="3">
                  <c:v>7.2765452859069768</c:v>
                </c:pt>
                <c:pt idx="4">
                  <c:v>6.0162550900284106</c:v>
                </c:pt>
              </c:numCache>
            </c:numRef>
          </c:yVal>
          <c:bubbleSize>
            <c:numRef>
              <c:f>'1968-1974'!$D$66:$D$70</c:f>
              <c:numCache>
                <c:formatCode>0.00</c:formatCode>
                <c:ptCount val="5"/>
                <c:pt idx="0">
                  <c:v>206.05183324800001</c:v>
                </c:pt>
                <c:pt idx="1">
                  <c:v>127.33493951999999</c:v>
                </c:pt>
                <c:pt idx="2">
                  <c:v>441.73316404000002</c:v>
                </c:pt>
                <c:pt idx="3">
                  <c:v>653.53135449000001</c:v>
                </c:pt>
                <c:pt idx="4">
                  <c:v>247.72351412999998</c:v>
                </c:pt>
              </c:numCache>
            </c:numRef>
          </c:bubbleSize>
          <c:bubble3D val="1"/>
          <c:extLst>
            <c:ext xmlns:c16="http://schemas.microsoft.com/office/drawing/2014/chart" uri="{C3380CC4-5D6E-409C-BE32-E72D297353CC}">
              <c16:uniqueId val="{00000005-D98E-4B4A-8C0F-A76F2F968B7C}"/>
            </c:ext>
          </c:extLst>
        </c:ser>
        <c:dLbls>
          <c:showLegendKey val="0"/>
          <c:showVal val="0"/>
          <c:showCatName val="0"/>
          <c:showSerName val="0"/>
          <c:showPercent val="0"/>
          <c:showBubbleSize val="0"/>
        </c:dLbls>
        <c:bubbleScale val="100"/>
        <c:showNegBubbles val="0"/>
        <c:axId val="139500864"/>
        <c:axId val="159653888"/>
      </c:bubbleChart>
      <c:valAx>
        <c:axId val="13950086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3888"/>
        <c:crosses val="autoZero"/>
        <c:crossBetween val="midCat"/>
      </c:valAx>
      <c:valAx>
        <c:axId val="159653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50086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'1961-1967'!$C$35</c:f>
              <c:strCache>
                <c:ptCount val="1"/>
                <c:pt idx="0">
                  <c:v>Grąža</c:v>
                </c:pt>
              </c:strCache>
            </c:strRef>
          </c:tx>
          <c:spPr>
            <a:ln w="28575">
              <a:noFill/>
            </a:ln>
          </c:spPr>
          <c:marker>
            <c:symbol val="diamond"/>
            <c:size val="15"/>
            <c:spPr>
              <a:solidFill>
                <a:srgbClr val="00B07D"/>
              </a:solidFill>
            </c:spPr>
          </c:marker>
          <c:dLbls>
            <c:dLbl>
              <c:idx val="0"/>
              <c:layout>
                <c:manualLayout>
                  <c:x val="-0.10533425893506657"/>
                  <c:y val="3.1764229950886312E-3"/>
                </c:manualLayout>
              </c:layout>
              <c:tx>
                <c:rich>
                  <a:bodyPr/>
                  <a:lstStyle/>
                  <a:p>
                    <a:r>
                      <a:rPr lang="en-US"/>
                      <a:t>LMN-61/67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58AE-48EE-B7CC-A6410D89A4DD}"/>
                </c:ext>
              </c:extLst>
            </c:dLbl>
            <c:dLbl>
              <c:idx val="1"/>
              <c:layout>
                <c:manualLayout>
                  <c:x val="-0.10701570040566998"/>
                  <c:y val="-4.0699524382912617E-3"/>
                </c:manualLayout>
              </c:layout>
              <c:tx>
                <c:rich>
                  <a:bodyPr/>
                  <a:lstStyle/>
                  <a:p>
                    <a:r>
                      <a:rPr lang="en-US"/>
                      <a:t>INV-61/67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8AE-48EE-B7CC-A6410D89A4DD}"/>
                </c:ext>
              </c:extLst>
            </c:dLbl>
            <c:dLbl>
              <c:idx val="2"/>
              <c:layout>
                <c:manualLayout>
                  <c:x val="-0.11245349846027247"/>
                  <c:y val="-4.0699524382912392E-3"/>
                </c:manualLayout>
              </c:layout>
              <c:tx>
                <c:rich>
                  <a:bodyPr/>
                  <a:lstStyle/>
                  <a:p>
                    <a:r>
                      <a:rPr lang="en-US"/>
                      <a:t>SBN-61/67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8AE-48EE-B7CC-A6410D89A4DD}"/>
                </c:ext>
              </c:extLst>
            </c:dLbl>
            <c:dLbl>
              <c:idx val="3"/>
              <c:layout>
                <c:manualLayout>
                  <c:x val="-0.11219707743463267"/>
                  <c:y val="-4.0699524382912175E-3"/>
                </c:manualLayout>
              </c:layout>
              <c:tx>
                <c:rich>
                  <a:bodyPr/>
                  <a:lstStyle/>
                  <a:p>
                    <a:r>
                      <a:rPr lang="en-US"/>
                      <a:t>SWD-61/67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8AE-48EE-B7CC-A6410D89A4DD}"/>
                </c:ext>
              </c:extLst>
            </c:dLbl>
            <c:dLbl>
              <c:idx val="4"/>
              <c:layout>
                <c:manualLayout>
                  <c:x val="-0.11024412569512636"/>
                  <c:y val="-1.1316327871671066E-2"/>
                </c:manualLayout>
              </c:layout>
              <c:tx>
                <c:rich>
                  <a:bodyPr/>
                  <a:lstStyle/>
                  <a:p>
                    <a:r>
                      <a:rPr lang="en-US"/>
                      <a:t>AVI-61/67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8AE-48EE-B7CC-A6410D89A4DD}"/>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'1961-1967'!$B$36:$B$40</c:f>
              <c:numCache>
                <c:formatCode>0.00</c:formatCode>
                <c:ptCount val="5"/>
                <c:pt idx="0">
                  <c:v>8.2441942516104447</c:v>
                </c:pt>
                <c:pt idx="1">
                  <c:v>6.543290199809185</c:v>
                </c:pt>
                <c:pt idx="2">
                  <c:v>7.5189060535146766</c:v>
                </c:pt>
                <c:pt idx="3">
                  <c:v>7.7532156390170854</c:v>
                </c:pt>
                <c:pt idx="4">
                  <c:v>6.8044766374924741</c:v>
                </c:pt>
              </c:numCache>
            </c:numRef>
          </c:xVal>
          <c:yVal>
            <c:numRef>
              <c:f>'1961-1967'!$C$36:$C$40</c:f>
              <c:numCache>
                <c:formatCode>0.00</c:formatCode>
                <c:ptCount val="5"/>
                <c:pt idx="0">
                  <c:v>1.2812436560754037</c:v>
                </c:pt>
                <c:pt idx="1">
                  <c:v>2.5152040019012167</c:v>
                </c:pt>
                <c:pt idx="2">
                  <c:v>2.216325180786094</c:v>
                </c:pt>
                <c:pt idx="3">
                  <c:v>3.3728935072843802</c:v>
                </c:pt>
                <c:pt idx="4">
                  <c:v>2.0298704260492961</c:v>
                </c:pt>
              </c:numCache>
            </c:numRef>
          </c:yVal>
          <c:smooth val="0"/>
          <c:extLst>
            <c:ext xmlns:c16="http://schemas.microsoft.com/office/drawing/2014/chart" uri="{C3380CC4-5D6E-409C-BE32-E72D297353CC}">
              <c16:uniqueId val="{00000005-58AE-48EE-B7CC-A6410D89A4DD}"/>
            </c:ext>
          </c:extLst>
        </c:ser>
        <c:dLbls>
          <c:showLegendKey val="0"/>
          <c:showVal val="0"/>
          <c:showCatName val="0"/>
          <c:showSerName val="0"/>
          <c:showPercent val="0"/>
          <c:showBubbleSize val="0"/>
        </c:dLbls>
        <c:axId val="159655616"/>
        <c:axId val="159656192"/>
      </c:scatterChart>
      <c:valAx>
        <c:axId val="159655616"/>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56192"/>
        <c:crosses val="autoZero"/>
        <c:crossBetween val="midCat"/>
      </c:valAx>
      <c:valAx>
        <c:axId val="15965619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561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'1961-1967'!$C$65</c:f>
              <c:strCache>
                <c:ptCount val="1"/>
                <c:pt idx="0">
                  <c:v>Grąža (proc.)</c:v>
                </c:pt>
              </c:strCache>
            </c:strRef>
          </c:tx>
          <c:spPr>
            <a:solidFill>
              <a:srgbClr val="00B07D"/>
            </a:solidFill>
          </c:spPr>
          <c:invertIfNegative val="0"/>
          <c:dLbls>
            <c:dLbl>
              <c:idx val="0"/>
              <c:layout>
                <c:manualLayout>
                  <c:x val="-5.3961051881051391E-3"/>
                  <c:y val="-3.7287638968609989E-2"/>
                </c:manualLayout>
              </c:layout>
              <c:tx>
                <c:rich>
                  <a:bodyPr/>
                  <a:lstStyle/>
                  <a:p>
                    <a:r>
                      <a:rPr lang="en-US"/>
                      <a:t>LMN-61/67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CB46-428A-89DC-04A981D16938}"/>
                </c:ext>
              </c:extLst>
            </c:dLbl>
            <c:dLbl>
              <c:idx val="1"/>
              <c:layout>
                <c:manualLayout>
                  <c:x val="-2.1261145178420237E-3"/>
                  <c:y val="-1.1575239457304978E-2"/>
                </c:manualLayout>
              </c:layout>
              <c:tx>
                <c:rich>
                  <a:bodyPr/>
                  <a:lstStyle/>
                  <a:p>
                    <a:r>
                      <a:rPr lang="en-US"/>
                      <a:t>INV-61/67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CB46-428A-89DC-04A981D16938}"/>
                </c:ext>
              </c:extLst>
            </c:dLbl>
            <c:dLbl>
              <c:idx val="2"/>
              <c:layout>
                <c:manualLayout>
                  <c:x val="-2.0045854339244291E-2"/>
                  <c:y val="-8.703094586837945E-2"/>
                </c:manualLayout>
              </c:layout>
              <c:tx>
                <c:rich>
                  <a:bodyPr/>
                  <a:lstStyle/>
                  <a:p>
                    <a:r>
                      <a:rPr lang="en-US"/>
                      <a:t>SBN-61/67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CB46-428A-89DC-04A981D16938}"/>
                </c:ext>
              </c:extLst>
            </c:dLbl>
            <c:dLbl>
              <c:idx val="3"/>
              <c:tx>
                <c:rich>
                  <a:bodyPr/>
                  <a:lstStyle/>
                  <a:p>
                    <a:r>
                      <a:rPr lang="en-US"/>
                      <a:t>SWD-61/67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CB46-428A-89DC-04A981D16938}"/>
                </c:ext>
              </c:extLst>
            </c:dLbl>
            <c:dLbl>
              <c:idx val="4"/>
              <c:layout>
                <c:manualLayout>
                  <c:x val="-1.1827956688816612E-3"/>
                  <c:y val="3.0092587107650351E-2"/>
                </c:manualLayout>
              </c:layout>
              <c:tx>
                <c:rich>
                  <a:bodyPr/>
                  <a:lstStyle/>
                  <a:p>
                    <a:r>
                      <a:rPr lang="en-US"/>
                      <a:t>AVI-61/67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CB46-428A-89DC-04A981D16938}"/>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'1961-1967'!$B$66:$B$70</c:f>
              <c:numCache>
                <c:formatCode>0.00</c:formatCode>
                <c:ptCount val="5"/>
                <c:pt idx="0">
                  <c:v>16.475999999999999</c:v>
                </c:pt>
                <c:pt idx="1">
                  <c:v>17.483000000000001</c:v>
                </c:pt>
                <c:pt idx="2">
                  <c:v>46.74</c:v>
                </c:pt>
                <c:pt idx="3">
                  <c:v>84.076999999999998</c:v>
                </c:pt>
                <c:pt idx="4">
                  <c:v>37.094999999999999</c:v>
                </c:pt>
              </c:numCache>
            </c:numRef>
          </c:xVal>
          <c:yVal>
            <c:numRef>
              <c:f>'1961-1967'!$C$66:$C$70</c:f>
              <c:numCache>
                <c:formatCode>0.00</c:formatCode>
                <c:ptCount val="5"/>
                <c:pt idx="0">
                  <c:v>1.2812436560754037</c:v>
                </c:pt>
                <c:pt idx="1">
                  <c:v>2.5152040019012167</c:v>
                </c:pt>
                <c:pt idx="2">
                  <c:v>2.216325180786094</c:v>
                </c:pt>
                <c:pt idx="3">
                  <c:v>3.3728935072843802</c:v>
                </c:pt>
                <c:pt idx="4">
                  <c:v>2.0298704260492961</c:v>
                </c:pt>
              </c:numCache>
            </c:numRef>
          </c:yVal>
          <c:bubbleSize>
            <c:numRef>
              <c:f>'1961-1967'!$D$66:$D$70</c:f>
              <c:numCache>
                <c:formatCode>0.00</c:formatCode>
                <c:ptCount val="5"/>
                <c:pt idx="0">
                  <c:v>99.669389319999993</c:v>
                </c:pt>
                <c:pt idx="1">
                  <c:v>127.96628257430001</c:v>
                </c:pt>
                <c:pt idx="2">
                  <c:v>330.01760195999998</c:v>
                </c:pt>
                <c:pt idx="3">
                  <c:v>490.24865923999999</c:v>
                </c:pt>
                <c:pt idx="4">
                  <c:v>212.80373196000002</c:v>
                </c:pt>
              </c:numCache>
            </c:numRef>
          </c:bubbleSize>
          <c:bubble3D val="1"/>
          <c:extLst>
            <c:ext xmlns:c16="http://schemas.microsoft.com/office/drawing/2014/chart" uri="{C3380CC4-5D6E-409C-BE32-E72D297353CC}">
              <c16:uniqueId val="{00000005-CB46-428A-89DC-04A981D16938}"/>
            </c:ext>
          </c:extLst>
        </c:ser>
        <c:dLbls>
          <c:showLegendKey val="0"/>
          <c:showVal val="0"/>
          <c:showCatName val="0"/>
          <c:showSerName val="0"/>
          <c:showPercent val="0"/>
          <c:showBubbleSize val="0"/>
        </c:dLbls>
        <c:bubbleScale val="100"/>
        <c:showNegBubbles val="0"/>
        <c:axId val="159657920"/>
        <c:axId val="159658496"/>
      </c:bubbleChart>
      <c:valAx>
        <c:axId val="15965792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8496"/>
        <c:crosses val="autoZero"/>
        <c:crossBetween val="midCat"/>
      </c:valAx>
      <c:valAx>
        <c:axId val="15965849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792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'1954-1960'!$C$35</c:f>
              <c:strCache>
                <c:ptCount val="1"/>
                <c:pt idx="0">
                  <c:v>Grąža</c:v>
                </c:pt>
              </c:strCache>
            </c:strRef>
          </c:tx>
          <c:spPr>
            <a:ln w="28575">
              <a:noFill/>
            </a:ln>
          </c:spPr>
          <c:marker>
            <c:symbol val="diamond"/>
            <c:size val="15"/>
            <c:spPr>
              <a:solidFill>
                <a:srgbClr val="00B07D"/>
              </a:solidFill>
            </c:spPr>
          </c:marker>
          <c:dLbls>
            <c:dLbl>
              <c:idx val="0"/>
              <c:layout>
                <c:manualLayout>
                  <c:x val="-2.9344514029623712E-2"/>
                  <c:y val="-4.3207047695076856E-2"/>
                </c:manualLayout>
              </c:layout>
              <c:tx>
                <c:rich>
                  <a:bodyPr/>
                  <a:lstStyle/>
                  <a:p>
                    <a:r>
                      <a:rPr lang="en-US"/>
                      <a:t>LMN-54/60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AAA8-4342-BF15-FA4F092D892F}"/>
                </c:ext>
              </c:extLst>
            </c:dLbl>
            <c:dLbl>
              <c:idx val="1"/>
              <c:layout>
                <c:manualLayout>
                  <c:x val="-4.9921295471720833E-3"/>
                  <c:y val="-5.6500930102951477E-3"/>
                </c:manualLayout>
              </c:layout>
              <c:tx>
                <c:rich>
                  <a:bodyPr/>
                  <a:lstStyle/>
                  <a:p>
                    <a:r>
                      <a:rPr lang="en-US"/>
                      <a:t>INV-54/60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AA8-4342-BF15-FA4F092D892F}"/>
                </c:ext>
              </c:extLst>
            </c:dLbl>
            <c:dLbl>
              <c:idx val="2"/>
              <c:layout>
                <c:manualLayout>
                  <c:x val="-7.9398250913369633E-3"/>
                  <c:y val="1.0635244658365732E-2"/>
                </c:manualLayout>
              </c:layout>
              <c:tx>
                <c:rich>
                  <a:bodyPr/>
                  <a:lstStyle/>
                  <a:p>
                    <a:r>
                      <a:rPr lang="en-US"/>
                      <a:t>SBN-54/60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AA8-4342-BF15-FA4F092D892F}"/>
                </c:ext>
              </c:extLst>
            </c:dLbl>
            <c:dLbl>
              <c:idx val="3"/>
              <c:layout>
                <c:manualLayout>
                  <c:x val="-5.3656299965881914E-2"/>
                  <c:y val="5.2945328284581331E-2"/>
                </c:manualLayout>
              </c:layout>
              <c:tx>
                <c:rich>
                  <a:bodyPr/>
                  <a:lstStyle/>
                  <a:p>
                    <a:r>
                      <a:rPr lang="en-US"/>
                      <a:t>SWD-54/60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AA8-4342-BF15-FA4F092D892F}"/>
                </c:ext>
              </c:extLst>
            </c:dLbl>
            <c:dLbl>
              <c:idx val="4"/>
              <c:layout>
                <c:manualLayout>
                  <c:x val="-0.10270368950300572"/>
                  <c:y val="5.4706140456818354E-2"/>
                </c:manualLayout>
              </c:layout>
              <c:tx>
                <c:rich>
                  <a:bodyPr/>
                  <a:lstStyle/>
                  <a:p>
                    <a:r>
                      <a:rPr lang="en-US"/>
                      <a:t>AVI-54/60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AA8-4342-BF15-FA4F092D892F}"/>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'1954-1960'!$B$36:$B$40</c:f>
              <c:numCache>
                <c:formatCode>0.00</c:formatCode>
                <c:ptCount val="5"/>
                <c:pt idx="0">
                  <c:v>6.3820683917885619</c:v>
                </c:pt>
                <c:pt idx="1">
                  <c:v>4.9859361129482078</c:v>
                </c:pt>
                <c:pt idx="2">
                  <c:v>5.6311419064153796</c:v>
                </c:pt>
                <c:pt idx="3">
                  <c:v>5.1894731762154755</c:v>
                </c:pt>
                <c:pt idx="4">
                  <c:v>4.2249905869467845</c:v>
                </c:pt>
              </c:numCache>
            </c:numRef>
          </c:xVal>
          <c:yVal>
            <c:numRef>
              <c:f>'1954-1960'!$C$36:$C$40</c:f>
              <c:numCache>
                <c:formatCode>0.00</c:formatCode>
                <c:ptCount val="5"/>
                <c:pt idx="0">
                  <c:v>-1.2767607555109639</c:v>
                </c:pt>
                <c:pt idx="1">
                  <c:v>0.19567754157325812</c:v>
                </c:pt>
                <c:pt idx="2">
                  <c:v>-0.30235844849877402</c:v>
                </c:pt>
                <c:pt idx="3">
                  <c:v>-0.45487607121007523</c:v>
                </c:pt>
                <c:pt idx="4">
                  <c:v>0.18754392221285165</c:v>
                </c:pt>
              </c:numCache>
            </c:numRef>
          </c:yVal>
          <c:smooth val="0"/>
          <c:extLst>
            <c:ext xmlns:c16="http://schemas.microsoft.com/office/drawing/2014/chart" uri="{C3380CC4-5D6E-409C-BE32-E72D297353CC}">
              <c16:uniqueId val="{00000005-AAA8-4342-BF15-FA4F092D892F}"/>
            </c:ext>
          </c:extLst>
        </c:ser>
        <c:dLbls>
          <c:showLegendKey val="0"/>
          <c:showVal val="0"/>
          <c:showCatName val="0"/>
          <c:showSerName val="0"/>
          <c:showPercent val="0"/>
          <c:showBubbleSize val="0"/>
        </c:dLbls>
        <c:axId val="159660800"/>
        <c:axId val="159661376"/>
      </c:scatterChart>
      <c:valAx>
        <c:axId val="159660800"/>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61376"/>
        <c:crosses val="autoZero"/>
        <c:crossBetween val="midCat"/>
      </c:valAx>
      <c:valAx>
        <c:axId val="15966137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6080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'1954-1960'!$C$65</c:f>
              <c:strCache>
                <c:ptCount val="1"/>
                <c:pt idx="0">
                  <c:v>Grąža (proc.)</c:v>
                </c:pt>
              </c:strCache>
            </c:strRef>
          </c:tx>
          <c:spPr>
            <a:solidFill>
              <a:srgbClr val="00B07D"/>
            </a:solidFill>
          </c:spPr>
          <c:invertIfNegative val="0"/>
          <c:dLbls>
            <c:dLbl>
              <c:idx val="0"/>
              <c:layout>
                <c:manualLayout>
                  <c:x val="-8.3594238569701506E-3"/>
                  <c:y val="-6.3376434309559804E-2"/>
                </c:manualLayout>
              </c:layout>
              <c:tx>
                <c:rich>
                  <a:bodyPr/>
                  <a:lstStyle/>
                  <a:p>
                    <a:r>
                      <a:rPr lang="en-US"/>
                      <a:t>LMN-54/60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3310-4483-85E5-4E2A302E454F}"/>
                </c:ext>
              </c:extLst>
            </c:dLbl>
            <c:dLbl>
              <c:idx val="1"/>
              <c:layout>
                <c:manualLayout>
                  <c:x val="-2.8442143740902404E-3"/>
                  <c:y val="3.0998377430247092E-2"/>
                </c:manualLayout>
              </c:layout>
              <c:tx>
                <c:rich>
                  <a:bodyPr/>
                  <a:lstStyle/>
                  <a:p>
                    <a:r>
                      <a:rPr lang="en-US"/>
                      <a:t>INV-54/60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3310-4483-85E5-4E2A302E454F}"/>
                </c:ext>
              </c:extLst>
            </c:dLbl>
            <c:dLbl>
              <c:idx val="2"/>
              <c:layout>
                <c:manualLayout>
                  <c:x val="5.7735953030075963E-4"/>
                  <c:y val="-6.0260796726080085E-3"/>
                </c:manualLayout>
              </c:layout>
              <c:tx>
                <c:rich>
                  <a:bodyPr/>
                  <a:lstStyle/>
                  <a:p>
                    <a:r>
                      <a:rPr lang="en-US"/>
                      <a:t>SBN-54/60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3310-4483-85E5-4E2A302E454F}"/>
                </c:ext>
              </c:extLst>
            </c:dLbl>
            <c:dLbl>
              <c:idx val="3"/>
              <c:layout>
                <c:manualLayout>
                  <c:x val="-8.0155413134133172E-3"/>
                  <c:y val="7.1844005630894242E-2"/>
                </c:manualLayout>
              </c:layout>
              <c:tx>
                <c:rich>
                  <a:bodyPr/>
                  <a:lstStyle/>
                  <a:p>
                    <a:r>
                      <a:rPr lang="en-US"/>
                      <a:t>SWD-54/60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3310-4483-85E5-4E2A302E454F}"/>
                </c:ext>
              </c:extLst>
            </c:dLbl>
            <c:dLbl>
              <c:idx val="4"/>
              <c:layout>
                <c:manualLayout>
                  <c:x val="-1.5565186398590449E-2"/>
                  <c:y val="7.4947050033509599E-2"/>
                </c:manualLayout>
              </c:layout>
              <c:tx>
                <c:rich>
                  <a:bodyPr/>
                  <a:lstStyle/>
                  <a:p>
                    <a:r>
                      <a:rPr lang="en-US"/>
                      <a:t>AVI-54/60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3310-4483-85E5-4E2A302E454F}"/>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'1954-1960'!$B$66:$B$70</c:f>
              <c:numCache>
                <c:formatCode>0.00</c:formatCode>
                <c:ptCount val="5"/>
                <c:pt idx="0">
                  <c:v>3.3159999999999998</c:v>
                </c:pt>
                <c:pt idx="1">
                  <c:v>2.7040000000000002</c:v>
                </c:pt>
                <c:pt idx="2">
                  <c:v>8.4860000000000007</c:v>
                </c:pt>
                <c:pt idx="3">
                  <c:v>12.154999999999999</c:v>
                </c:pt>
                <c:pt idx="4">
                  <c:v>7.2770000000000001</c:v>
                </c:pt>
              </c:numCache>
            </c:numRef>
          </c:xVal>
          <c:yVal>
            <c:numRef>
              <c:f>'1954-1960'!$C$66:$C$70</c:f>
              <c:numCache>
                <c:formatCode>0.00</c:formatCode>
                <c:ptCount val="5"/>
                <c:pt idx="0">
                  <c:v>-1.2767607555109639</c:v>
                </c:pt>
                <c:pt idx="1">
                  <c:v>0.19567754157325812</c:v>
                </c:pt>
                <c:pt idx="2">
                  <c:v>-0.30235844849877402</c:v>
                </c:pt>
                <c:pt idx="3">
                  <c:v>-0.45487607121007523</c:v>
                </c:pt>
                <c:pt idx="4">
                  <c:v>0.18754392221285165</c:v>
                </c:pt>
              </c:numCache>
            </c:numRef>
          </c:yVal>
          <c:bubbleSize>
            <c:numRef>
              <c:f>'1954-1960'!$D$66:$D$70</c:f>
              <c:numCache>
                <c:formatCode>0.00</c:formatCode>
                <c:ptCount val="5"/>
                <c:pt idx="0">
                  <c:v>17.966132179999999</c:v>
                </c:pt>
                <c:pt idx="1">
                  <c:v>17.295014675999997</c:v>
                </c:pt>
                <c:pt idx="2">
                  <c:v>54.67931162</c:v>
                </c:pt>
                <c:pt idx="3">
                  <c:v>77.4060013</c:v>
                </c:pt>
                <c:pt idx="4">
                  <c:v>41.270464780000005</c:v>
                </c:pt>
              </c:numCache>
            </c:numRef>
          </c:bubbleSize>
          <c:bubble3D val="1"/>
          <c:extLst>
            <c:ext xmlns:c16="http://schemas.microsoft.com/office/drawing/2014/chart" uri="{C3380CC4-5D6E-409C-BE32-E72D297353CC}">
              <c16:uniqueId val="{00000005-3310-4483-85E5-4E2A302E454F}"/>
            </c:ext>
          </c:extLst>
        </c:ser>
        <c:dLbls>
          <c:showLegendKey val="0"/>
          <c:showVal val="0"/>
          <c:showCatName val="0"/>
          <c:showSerName val="0"/>
          <c:showPercent val="0"/>
          <c:showBubbleSize val="0"/>
        </c:dLbls>
        <c:bubbleScale val="100"/>
        <c:showNegBubbles val="0"/>
        <c:axId val="136880704"/>
        <c:axId val="136881280"/>
      </c:bubbleChart>
      <c:valAx>
        <c:axId val="13688070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1280"/>
        <c:crosses val="autoZero"/>
        <c:crossBetween val="midCat"/>
      </c:valAx>
      <c:valAx>
        <c:axId val="13688128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070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TIF!$C$35</c:f>
              <c:strCache>
                <c:ptCount val="1"/>
                <c:pt idx="0">
                  <c:v>Grąža</c:v>
                </c:pt>
              </c:strCache>
            </c:strRef>
          </c:tx>
          <c:spPr>
            <a:ln w="28575">
              <a:noFill/>
            </a:ln>
          </c:spPr>
          <c:marker>
            <c:symbol val="diamond"/>
            <c:size val="15"/>
            <c:spPr>
              <a:solidFill>
                <a:srgbClr val="00B07D"/>
              </a:solidFill>
            </c:spPr>
          </c:marker>
          <c:dLbls>
            <c:dLbl>
              <c:idx val="0"/>
              <c:layout>
                <c:manualLayout>
                  <c:x val="-2.1129178478363777E-3"/>
                  <c:y val="-2.5310961749979632E-3"/>
                </c:manualLayout>
              </c:layout>
              <c:tx>
                <c:rich>
                  <a:bodyPr/>
                  <a:lstStyle/>
                  <a:p>
                    <a:r>
                      <a:rPr lang="en-US"/>
                      <a:t>LMN-TIPF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E5E1-4D3B-9813-EF7F39486E9A}"/>
                </c:ext>
              </c:extLst>
            </c:dLbl>
            <c:dLbl>
              <c:idx val="1"/>
              <c:layout>
                <c:manualLayout>
                  <c:x val="-6.2150787001411637E-5"/>
                  <c:y val="-2.4841183605085103E-2"/>
                </c:manualLayout>
              </c:layout>
              <c:tx>
                <c:rich>
                  <a:bodyPr/>
                  <a:lstStyle/>
                  <a:p>
                    <a:r>
                      <a:rPr lang="en-US"/>
                      <a:t>INV-TIPF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5E1-4D3B-9813-EF7F39486E9A}"/>
                </c:ext>
              </c:extLst>
            </c:dLbl>
            <c:dLbl>
              <c:idx val="2"/>
              <c:layout>
                <c:manualLayout>
                  <c:x val="-1.0014110840027876E-3"/>
                  <c:y val="-1.6399061128407104E-2"/>
                </c:manualLayout>
              </c:layout>
              <c:tx>
                <c:rich>
                  <a:bodyPr/>
                  <a:lstStyle/>
                  <a:p>
                    <a:r>
                      <a:rPr lang="en-US"/>
                      <a:t>SBN-TIPF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5E1-4D3B-9813-EF7F39486E9A}"/>
                </c:ext>
              </c:extLst>
            </c:dLbl>
            <c:dLbl>
              <c:idx val="3"/>
              <c:layout>
                <c:manualLayout>
                  <c:x val="-1.6035947597381143E-2"/>
                  <c:y val="-4.179618057054655E-2"/>
                </c:manualLayout>
              </c:layout>
              <c:tx>
                <c:rich>
                  <a:bodyPr/>
                  <a:lstStyle/>
                  <a:p>
                    <a:r>
                      <a:rPr lang="en-US"/>
                      <a:t>SWD-TIPF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5E1-4D3B-9813-EF7F39486E9A}"/>
                </c:ext>
              </c:extLst>
            </c:dLbl>
            <c:dLbl>
              <c:idx val="4"/>
              <c:layout>
                <c:manualLayout>
                  <c:x val="-0.11556161761807666"/>
                  <c:y val="-2.2706561932806651E-4"/>
                </c:manualLayout>
              </c:layout>
              <c:tx>
                <c:rich>
                  <a:bodyPr/>
                  <a:lstStyle/>
                  <a:p>
                    <a:r>
                      <a:rPr lang="en-US"/>
                      <a:t>AVI-TIPF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5E1-4D3B-9813-EF7F39486E9A}"/>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TIF!$B$36:$B$40</c:f>
              <c:numCache>
                <c:formatCode>0.00</c:formatCode>
                <c:ptCount val="5"/>
                <c:pt idx="0">
                  <c:v>4.6735311577836764</c:v>
                </c:pt>
                <c:pt idx="1">
                  <c:v>4.3913568230274045</c:v>
                </c:pt>
                <c:pt idx="2">
                  <c:v>4.9432855707281176</c:v>
                </c:pt>
                <c:pt idx="3">
                  <c:v>5.2969705831025617</c:v>
                </c:pt>
                <c:pt idx="4">
                  <c:v>3.9770742131084633</c:v>
                </c:pt>
              </c:numCache>
            </c:numRef>
          </c:xVal>
          <c:yVal>
            <c:numRef>
              <c:f>TIF!$C$36:$C$40</c:f>
              <c:numCache>
                <c:formatCode>0.00</c:formatCode>
                <c:ptCount val="5"/>
                <c:pt idx="0">
                  <c:v>-0.95471222531506861</c:v>
                </c:pt>
                <c:pt idx="1">
                  <c:v>0.25048728444545532</c:v>
                </c:pt>
                <c:pt idx="2">
                  <c:v>-0.24590263184445238</c:v>
                </c:pt>
                <c:pt idx="3">
                  <c:v>2.7282649589377428E-2</c:v>
                </c:pt>
                <c:pt idx="4">
                  <c:v>-1.3276460747667862</c:v>
                </c:pt>
              </c:numCache>
            </c:numRef>
          </c:yVal>
          <c:smooth val="0"/>
          <c:extLst>
            <c:ext xmlns:c16="http://schemas.microsoft.com/office/drawing/2014/chart" uri="{C3380CC4-5D6E-409C-BE32-E72D297353CC}">
              <c16:uniqueId val="{00000005-E5E1-4D3B-9813-EF7F39486E9A}"/>
            </c:ext>
          </c:extLst>
        </c:ser>
        <c:dLbls>
          <c:showLegendKey val="0"/>
          <c:showVal val="0"/>
          <c:showCatName val="0"/>
          <c:showSerName val="0"/>
          <c:showPercent val="0"/>
          <c:showBubbleSize val="0"/>
        </c:dLbls>
        <c:axId val="136883008"/>
        <c:axId val="136883584"/>
      </c:scatterChart>
      <c:valAx>
        <c:axId val="136883008"/>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6883584"/>
        <c:crosses val="autoZero"/>
        <c:crossBetween val="midCat"/>
      </c:valAx>
      <c:valAx>
        <c:axId val="13688358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300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TIF!$C$65</c:f>
              <c:strCache>
                <c:ptCount val="1"/>
                <c:pt idx="0">
                  <c:v>Grąža (proc.)</c:v>
                </c:pt>
              </c:strCache>
            </c:strRef>
          </c:tx>
          <c:spPr>
            <a:solidFill>
              <a:srgbClr val="00B07D"/>
            </a:solidFill>
          </c:spPr>
          <c:invertIfNegative val="0"/>
          <c:dLbls>
            <c:dLbl>
              <c:idx val="0"/>
              <c:layout>
                <c:manualLayout>
                  <c:x val="-6.6784305470121274E-3"/>
                  <c:y val="-1.7847447240536794E-2"/>
                </c:manualLayout>
              </c:layout>
              <c:tx>
                <c:rich>
                  <a:bodyPr/>
                  <a:lstStyle/>
                  <a:p>
                    <a:r>
                      <a:rPr lang="en-US"/>
                      <a:t>LMN-TIPF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121C-460D-B8F3-9A44B1F95391}"/>
                </c:ext>
              </c:extLst>
            </c:dLbl>
            <c:dLbl>
              <c:idx val="1"/>
              <c:layout>
                <c:manualLayout>
                  <c:x val="-0.14222618574960053"/>
                  <c:y val="-2.0833300258617793E-2"/>
                </c:manualLayout>
              </c:layout>
              <c:tx>
                <c:rich>
                  <a:bodyPr/>
                  <a:lstStyle/>
                  <a:p>
                    <a:r>
                      <a:rPr lang="en-US"/>
                      <a:t>INV-TIPF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121C-460D-B8F3-9A44B1F95391}"/>
                </c:ext>
              </c:extLst>
            </c:dLbl>
            <c:dLbl>
              <c:idx val="2"/>
              <c:layout>
                <c:manualLayout>
                  <c:x val="-9.8918733259468899E-3"/>
                  <c:y val="-5.1711672624064786E-2"/>
                </c:manualLayout>
              </c:layout>
              <c:tx>
                <c:rich>
                  <a:bodyPr/>
                  <a:lstStyle/>
                  <a:p>
                    <a:r>
                      <a:rPr lang="en-US"/>
                      <a:t>SBN-TIPF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121C-460D-B8F3-9A44B1F95391}"/>
                </c:ext>
              </c:extLst>
            </c:dLbl>
            <c:dLbl>
              <c:idx val="3"/>
              <c:layout>
                <c:manualLayout>
                  <c:x val="-1.5833945536777628E-2"/>
                  <c:y val="-9.6291309149264301E-2"/>
                </c:manualLayout>
              </c:layout>
              <c:tx>
                <c:rich>
                  <a:bodyPr/>
                  <a:lstStyle/>
                  <a:p>
                    <a:r>
                      <a:rPr lang="en-US"/>
                      <a:t>SWD-TIPF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121C-460D-B8F3-9A44B1F95391}"/>
                </c:ext>
              </c:extLst>
            </c:dLbl>
            <c:dLbl>
              <c:idx val="4"/>
              <c:layout>
                <c:manualLayout>
                  <c:x val="-0.15221527769423787"/>
                  <c:y val="3.4618203894590541E-2"/>
                </c:manualLayout>
              </c:layout>
              <c:tx>
                <c:rich>
                  <a:bodyPr/>
                  <a:lstStyle/>
                  <a:p>
                    <a:r>
                      <a:rPr lang="en-US"/>
                      <a:t>AVI-TIPF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121C-460D-B8F3-9A44B1F95391}"/>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TIF!$B$66:$B$70</c:f>
              <c:numCache>
                <c:formatCode>0.00</c:formatCode>
                <c:ptCount val="5"/>
                <c:pt idx="0">
                  <c:v>2.363</c:v>
                </c:pt>
                <c:pt idx="1">
                  <c:v>1.9910000000000001</c:v>
                </c:pt>
                <c:pt idx="2">
                  <c:v>5.63</c:v>
                </c:pt>
                <c:pt idx="3">
                  <c:v>6.8849999999999998</c:v>
                </c:pt>
                <c:pt idx="4">
                  <c:v>5.891</c:v>
                </c:pt>
              </c:numCache>
            </c:numRef>
          </c:xVal>
          <c:yVal>
            <c:numRef>
              <c:f>TIF!$C$66:$C$70</c:f>
              <c:numCache>
                <c:formatCode>0.00</c:formatCode>
                <c:ptCount val="5"/>
                <c:pt idx="0">
                  <c:v>-0.95471222531506861</c:v>
                </c:pt>
                <c:pt idx="1">
                  <c:v>0.25048728444545532</c:v>
                </c:pt>
                <c:pt idx="2">
                  <c:v>-0.24590263184445238</c:v>
                </c:pt>
                <c:pt idx="3">
                  <c:v>2.7282649589377428E-2</c:v>
                </c:pt>
                <c:pt idx="4">
                  <c:v>-1.3276460747667862</c:v>
                </c:pt>
              </c:numCache>
            </c:numRef>
          </c:yVal>
          <c:bubbleSize>
            <c:numRef>
              <c:f>TIF!$D$66:$D$70</c:f>
              <c:numCache>
                <c:formatCode>0.00</c:formatCode>
                <c:ptCount val="5"/>
                <c:pt idx="0">
                  <c:v>8.6755345100000003</c:v>
                </c:pt>
                <c:pt idx="1">
                  <c:v>10.4704210249</c:v>
                </c:pt>
                <c:pt idx="2">
                  <c:v>40.61919177</c:v>
                </c:pt>
                <c:pt idx="3">
                  <c:v>52.474123609999999</c:v>
                </c:pt>
                <c:pt idx="4">
                  <c:v>23.489563969999999</c:v>
                </c:pt>
              </c:numCache>
            </c:numRef>
          </c:bubbleSize>
          <c:bubble3D val="1"/>
          <c:extLst>
            <c:ext xmlns:c16="http://schemas.microsoft.com/office/drawing/2014/chart" uri="{C3380CC4-5D6E-409C-BE32-E72D297353CC}">
              <c16:uniqueId val="{00000005-121C-460D-B8F3-9A44B1F95391}"/>
            </c:ext>
          </c:extLst>
        </c:ser>
        <c:dLbls>
          <c:showLegendKey val="0"/>
          <c:showVal val="0"/>
          <c:showCatName val="0"/>
          <c:showSerName val="0"/>
          <c:showPercent val="0"/>
          <c:showBubbleSize val="0"/>
        </c:dLbls>
        <c:bubbleScale val="100"/>
        <c:showNegBubbles val="0"/>
        <c:axId val="136885312"/>
        <c:axId val="136885888"/>
      </c:bubbleChart>
      <c:valAx>
        <c:axId val="136885312"/>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5888"/>
        <c:crosses val="autoZero"/>
        <c:crossBetween val="midCat"/>
      </c:valAx>
      <c:valAx>
        <c:axId val="136885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53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lt-LT" sz="1200"/>
              <a:t>Tikslinės pensijų fondų dalyvių grupės pensijų fondų strategijos (pagal dalyvio amžių)</a:t>
            </a:r>
          </a:p>
        </c:rich>
      </c:tx>
      <c:layout>
        <c:manualLayout>
          <c:xMode val="edge"/>
          <c:yMode val="edge"/>
          <c:x val="0.21176706957519731"/>
          <c:y val="3.6539892739590449E-2"/>
        </c:manualLayout>
      </c:layout>
      <c:overlay val="0"/>
    </c:title>
    <c:autoTitleDeleted val="0"/>
    <c:plotArea>
      <c:layout>
        <c:manualLayout>
          <c:layoutTarget val="inner"/>
          <c:xMode val="edge"/>
          <c:yMode val="edge"/>
          <c:x val="6.3050787009059375E-2"/>
          <c:y val="0.14585938758756148"/>
          <c:w val="0.71226106107151876"/>
          <c:h val="0.81001721909906077"/>
        </c:manualLayout>
      </c:layout>
      <c:lineChart>
        <c:grouping val="standard"/>
        <c:varyColors val="0"/>
        <c:ser>
          <c:idx val="1"/>
          <c:order val="0"/>
          <c:tx>
            <c:strRef>
              <c:f>Strategijų_palyginimas!$B$2</c:f>
              <c:strCache>
                <c:ptCount val="1"/>
                <c:pt idx="0">
                  <c:v>UAB „SEB investicijų valdymas“</c:v>
                </c:pt>
              </c:strCache>
            </c:strRef>
          </c:tx>
          <c:spPr>
            <a:ln w="44450">
              <a:solidFill>
                <a:srgbClr val="00B07D"/>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Strategijų_palyginimas!$B$3:$B$51</c:f>
              <c:numCache>
                <c:formatCode>0</c:formatCode>
                <c:ptCount val="49"/>
                <c:pt idx="0">
                  <c:v>98</c:v>
                </c:pt>
                <c:pt idx="1">
                  <c:v>98</c:v>
                </c:pt>
                <c:pt idx="2">
                  <c:v>98</c:v>
                </c:pt>
                <c:pt idx="3">
                  <c:v>98</c:v>
                </c:pt>
                <c:pt idx="4">
                  <c:v>98</c:v>
                </c:pt>
                <c:pt idx="5">
                  <c:v>98</c:v>
                </c:pt>
                <c:pt idx="6">
                  <c:v>98</c:v>
                </c:pt>
                <c:pt idx="7">
                  <c:v>98</c:v>
                </c:pt>
                <c:pt idx="8">
                  <c:v>98</c:v>
                </c:pt>
                <c:pt idx="9">
                  <c:v>98</c:v>
                </c:pt>
                <c:pt idx="10">
                  <c:v>98</c:v>
                </c:pt>
                <c:pt idx="11">
                  <c:v>98</c:v>
                </c:pt>
                <c:pt idx="12">
                  <c:v>98</c:v>
                </c:pt>
                <c:pt idx="13">
                  <c:v>98</c:v>
                </c:pt>
                <c:pt idx="14">
                  <c:v>98</c:v>
                </c:pt>
                <c:pt idx="15">
                  <c:v>98</c:v>
                </c:pt>
                <c:pt idx="16">
                  <c:v>98</c:v>
                </c:pt>
                <c:pt idx="17">
                  <c:v>98</c:v>
                </c:pt>
                <c:pt idx="18">
                  <c:v>98</c:v>
                </c:pt>
                <c:pt idx="19">
                  <c:v>98</c:v>
                </c:pt>
                <c:pt idx="20">
                  <c:v>98</c:v>
                </c:pt>
                <c:pt idx="21">
                  <c:v>98</c:v>
                </c:pt>
                <c:pt idx="22">
                  <c:v>98</c:v>
                </c:pt>
                <c:pt idx="23">
                  <c:v>98</c:v>
                </c:pt>
                <c:pt idx="24">
                  <c:v>98</c:v>
                </c:pt>
                <c:pt idx="25">
                  <c:v>98</c:v>
                </c:pt>
                <c:pt idx="26">
                  <c:v>98</c:v>
                </c:pt>
                <c:pt idx="27">
                  <c:v>98</c:v>
                </c:pt>
                <c:pt idx="28">
                  <c:v>92.9</c:v>
                </c:pt>
                <c:pt idx="29">
                  <c:v>87.9</c:v>
                </c:pt>
                <c:pt idx="30">
                  <c:v>82.899999999999991</c:v>
                </c:pt>
                <c:pt idx="31">
                  <c:v>78</c:v>
                </c:pt>
                <c:pt idx="32">
                  <c:v>73.099999999999994</c:v>
                </c:pt>
                <c:pt idx="33">
                  <c:v>68.099999999999994</c:v>
                </c:pt>
                <c:pt idx="34">
                  <c:v>63.3</c:v>
                </c:pt>
                <c:pt idx="35">
                  <c:v>58.5</c:v>
                </c:pt>
                <c:pt idx="36">
                  <c:v>53.800000000000004</c:v>
                </c:pt>
                <c:pt idx="37">
                  <c:v>49.1</c:v>
                </c:pt>
                <c:pt idx="38">
                  <c:v>44.4</c:v>
                </c:pt>
                <c:pt idx="39">
                  <c:v>39.800000000000004</c:v>
                </c:pt>
                <c:pt idx="40">
                  <c:v>35.299999999999997</c:v>
                </c:pt>
                <c:pt idx="41">
                  <c:v>30.8</c:v>
                </c:pt>
                <c:pt idx="42">
                  <c:v>26.6</c:v>
                </c:pt>
                <c:pt idx="43">
                  <c:v>22.400000000000002</c:v>
                </c:pt>
                <c:pt idx="44">
                  <c:v>18.5</c:v>
                </c:pt>
                <c:pt idx="45">
                  <c:v>18.5</c:v>
                </c:pt>
                <c:pt idx="46">
                  <c:v>18.5</c:v>
                </c:pt>
                <c:pt idx="47">
                  <c:v>18.5</c:v>
                </c:pt>
                <c:pt idx="48">
                  <c:v>18.5</c:v>
                </c:pt>
              </c:numCache>
            </c:numRef>
          </c:val>
          <c:smooth val="0"/>
          <c:extLst>
            <c:ext xmlns:c16="http://schemas.microsoft.com/office/drawing/2014/chart" uri="{C3380CC4-5D6E-409C-BE32-E72D297353CC}">
              <c16:uniqueId val="{00000000-2631-47E3-B625-16B88E6046B3}"/>
            </c:ext>
          </c:extLst>
        </c:ser>
        <c:ser>
          <c:idx val="2"/>
          <c:order val="1"/>
          <c:tx>
            <c:strRef>
              <c:f>Strategijų_palyginimas!$C$2</c:f>
              <c:strCache>
                <c:ptCount val="1"/>
                <c:pt idx="0">
                  <c:v>UAB "SB Asset Management"</c:v>
                </c:pt>
              </c:strCache>
            </c:strRef>
          </c:tx>
          <c:spPr>
            <a:ln w="44450">
              <a:solidFill>
                <a:schemeClr val="accent5">
                  <a:lumMod val="75000"/>
                </a:schemeClr>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Strategijų_palyginimas!$C$3:$C$51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91.88</c:v>
                </c:pt>
                <c:pt idx="29">
                  <c:v>86.77</c:v>
                </c:pt>
                <c:pt idx="30">
                  <c:v>81.64</c:v>
                </c:pt>
                <c:pt idx="31">
                  <c:v>76.530000000000015</c:v>
                </c:pt>
                <c:pt idx="32">
                  <c:v>71.41</c:v>
                </c:pt>
                <c:pt idx="33">
                  <c:v>66.3</c:v>
                </c:pt>
                <c:pt idx="34">
                  <c:v>61.18</c:v>
                </c:pt>
                <c:pt idx="35">
                  <c:v>56.06</c:v>
                </c:pt>
                <c:pt idx="36">
                  <c:v>50.94</c:v>
                </c:pt>
                <c:pt idx="37">
                  <c:v>45.82</c:v>
                </c:pt>
                <c:pt idx="38">
                  <c:v>40.71</c:v>
                </c:pt>
                <c:pt idx="39">
                  <c:v>35.589999999999996</c:v>
                </c:pt>
                <c:pt idx="40">
                  <c:v>30.470000000000002</c:v>
                </c:pt>
                <c:pt idx="41">
                  <c:v>25.35</c:v>
                </c:pt>
                <c:pt idx="42">
                  <c:v>20.239999999999998</c:v>
                </c:pt>
                <c:pt idx="43">
                  <c:v>15.120000000000001</c:v>
                </c:pt>
                <c:pt idx="44">
                  <c:v>10</c:v>
                </c:pt>
                <c:pt idx="45">
                  <c:v>10</c:v>
                </c:pt>
                <c:pt idx="46">
                  <c:v>10</c:v>
                </c:pt>
                <c:pt idx="47">
                  <c:v>10</c:v>
                </c:pt>
                <c:pt idx="48">
                  <c:v>10</c:v>
                </c:pt>
              </c:numCache>
            </c:numRef>
          </c:val>
          <c:smooth val="0"/>
          <c:extLst>
            <c:ext xmlns:c16="http://schemas.microsoft.com/office/drawing/2014/chart" uri="{C3380CC4-5D6E-409C-BE32-E72D297353CC}">
              <c16:uniqueId val="{00000001-2631-47E3-B625-16B88E6046B3}"/>
            </c:ext>
          </c:extLst>
        </c:ser>
        <c:ser>
          <c:idx val="3"/>
          <c:order val="2"/>
          <c:tx>
            <c:strRef>
              <c:f>Strategijų_palyginimas!$D$2</c:f>
              <c:strCache>
                <c:ptCount val="1"/>
                <c:pt idx="0">
                  <c:v>UAB „Swedbank investicijų valdymas“</c:v>
                </c:pt>
              </c:strCache>
            </c:strRef>
          </c:tx>
          <c:spPr>
            <a:ln w="44450">
              <a:solidFill>
                <a:srgbClr val="C00000"/>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Strategijų_palyginimas!$D$3:$D$51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95</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2-2631-47E3-B625-16B88E6046B3}"/>
            </c:ext>
          </c:extLst>
        </c:ser>
        <c:ser>
          <c:idx val="4"/>
          <c:order val="3"/>
          <c:tx>
            <c:strRef>
              <c:f>Strategijų_palyginimas!$E$2</c:f>
              <c:strCache>
                <c:ptCount val="1"/>
                <c:pt idx="0">
                  <c:v>Luminor investicijų valdymas UAB </c:v>
                </c:pt>
              </c:strCache>
            </c:strRef>
          </c:tx>
          <c:spPr>
            <a:ln w="44450">
              <a:solidFill>
                <a:srgbClr val="903F98"/>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Strategijų_palyginimas!$E$3:$E$51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10</c:v>
                </c:pt>
                <c:pt idx="46">
                  <c:v>10</c:v>
                </c:pt>
                <c:pt idx="47">
                  <c:v>10</c:v>
                </c:pt>
                <c:pt idx="48">
                  <c:v>10</c:v>
                </c:pt>
              </c:numCache>
            </c:numRef>
          </c:val>
          <c:smooth val="0"/>
          <c:extLst>
            <c:ext xmlns:c16="http://schemas.microsoft.com/office/drawing/2014/chart" uri="{C3380CC4-5D6E-409C-BE32-E72D297353CC}">
              <c16:uniqueId val="{00000003-2631-47E3-B625-16B88E6046B3}"/>
            </c:ext>
          </c:extLst>
        </c:ser>
        <c:ser>
          <c:idx val="5"/>
          <c:order val="4"/>
          <c:tx>
            <c:strRef>
              <c:f>Strategijų_palyginimas!$F$2</c:f>
              <c:strCache>
                <c:ptCount val="1"/>
                <c:pt idx="0">
                  <c:v>Allianz Lietuva gyvybės draudimas UAB</c:v>
                </c:pt>
              </c:strCache>
            </c:strRef>
          </c:tx>
          <c:spPr>
            <a:ln w="44450">
              <a:solidFill>
                <a:srgbClr val="FCAF17"/>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Strategijų_palyginimas!$F$3:$F$51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4-2631-47E3-B625-16B88E6046B3}"/>
            </c:ext>
          </c:extLst>
        </c:ser>
        <c:ser>
          <c:idx val="0"/>
          <c:order val="5"/>
          <c:tx>
            <c:strRef>
              <c:f>Strategijų_palyginimas!$G$2</c:f>
              <c:strCache>
                <c:ptCount val="1"/>
                <c:pt idx="0">
                  <c:v>Goindex, UAB</c:v>
                </c:pt>
              </c:strCache>
            </c:strRef>
          </c:tx>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Strategijų_palyginimas!$G$3:$G$51</c:f>
              <c:numCache>
                <c:formatCode>0</c:formatCode>
                <c:ptCount val="49"/>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90</c:v>
                </c:pt>
                <c:pt idx="36">
                  <c:v>80</c:v>
                </c:pt>
                <c:pt idx="37">
                  <c:v>70</c:v>
                </c:pt>
                <c:pt idx="38">
                  <c:v>60</c:v>
                </c:pt>
                <c:pt idx="39">
                  <c:v>50</c:v>
                </c:pt>
                <c:pt idx="40">
                  <c:v>40</c:v>
                </c:pt>
                <c:pt idx="41">
                  <c:v>30</c:v>
                </c:pt>
                <c:pt idx="42">
                  <c:v>20</c:v>
                </c:pt>
                <c:pt idx="43">
                  <c:v>10</c:v>
                </c:pt>
                <c:pt idx="44">
                  <c:v>0</c:v>
                </c:pt>
                <c:pt idx="45">
                  <c:v>0</c:v>
                </c:pt>
                <c:pt idx="46">
                  <c:v>0</c:v>
                </c:pt>
                <c:pt idx="47">
                  <c:v>0</c:v>
                </c:pt>
                <c:pt idx="48">
                  <c:v>0</c:v>
                </c:pt>
              </c:numCache>
            </c:numRef>
          </c:val>
          <c:smooth val="0"/>
          <c:extLst>
            <c:ext xmlns:c16="http://schemas.microsoft.com/office/drawing/2014/chart" uri="{C3380CC4-5D6E-409C-BE32-E72D297353CC}">
              <c16:uniqueId val="{00000001-4E1A-48DD-A783-BCE09CAD7F32}"/>
            </c:ext>
          </c:extLst>
        </c:ser>
        <c:dLbls>
          <c:showLegendKey val="0"/>
          <c:showVal val="0"/>
          <c:showCatName val="0"/>
          <c:showSerName val="0"/>
          <c:showPercent val="0"/>
          <c:showBubbleSize val="0"/>
        </c:dLbls>
        <c:smooth val="0"/>
        <c:axId val="160721408"/>
        <c:axId val="136887616"/>
      </c:lineChart>
      <c:catAx>
        <c:axId val="160721408"/>
        <c:scaling>
          <c:orientation val="minMax"/>
        </c:scaling>
        <c:delete val="0"/>
        <c:axPos val="b"/>
        <c:numFmt formatCode="0" sourceLinked="1"/>
        <c:majorTickMark val="none"/>
        <c:minorTickMark val="none"/>
        <c:tickLblPos val="nextTo"/>
        <c:crossAx val="136887616"/>
        <c:crosses val="autoZero"/>
        <c:auto val="1"/>
        <c:lblAlgn val="ctr"/>
        <c:lblOffset val="100"/>
        <c:noMultiLvlLbl val="0"/>
      </c:catAx>
      <c:valAx>
        <c:axId val="136887616"/>
        <c:scaling>
          <c:orientation val="minMax"/>
        </c:scaling>
        <c:delete val="0"/>
        <c:axPos val="l"/>
        <c:majorGridlines/>
        <c:title>
          <c:tx>
            <c:rich>
              <a:bodyPr/>
              <a:lstStyle/>
              <a:p>
                <a:pPr>
                  <a:defRPr/>
                </a:pPr>
                <a:r>
                  <a:rPr lang="lt-LT"/>
                  <a:t>Rizikingų turto klasių dalis</a:t>
                </a:r>
              </a:p>
            </c:rich>
          </c:tx>
          <c:layout>
            <c:manualLayout>
              <c:xMode val="edge"/>
              <c:yMode val="edge"/>
              <c:x val="7.6252713500843134E-3"/>
              <c:y val="0.41857618547085085"/>
            </c:manualLayout>
          </c:layout>
          <c:overlay val="0"/>
        </c:title>
        <c:numFmt formatCode="0" sourceLinked="1"/>
        <c:majorTickMark val="none"/>
        <c:minorTickMark val="none"/>
        <c:tickLblPos val="nextTo"/>
        <c:crossAx val="160721408"/>
        <c:crosses val="autoZero"/>
        <c:crossBetween val="between"/>
      </c:valAx>
      <c:spPr>
        <a:ln w="57150"/>
      </c:spPr>
    </c:plotArea>
    <c:legend>
      <c:legendPos val="r"/>
      <c:overlay val="0"/>
    </c:legend>
    <c:plotVisOnly val="1"/>
    <c:dispBlanksAs val="gap"/>
    <c:showDLblsOverMax val="0"/>
  </c:chart>
  <c:txPr>
    <a:bodyPr/>
    <a:lstStyle/>
    <a:p>
      <a:pPr>
        <a:defRPr>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0</xdr:colOff>
      <xdr:row>27</xdr:row>
      <xdr:rowOff>112814</xdr:rowOff>
    </xdr:from>
    <xdr:to>
      <xdr:col>3</xdr:col>
      <xdr:colOff>1066107</xdr:colOff>
      <xdr:row>54</xdr:row>
      <xdr:rowOff>137407</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122707</xdr:rowOff>
    </xdr:from>
    <xdr:to>
      <xdr:col>4</xdr:col>
      <xdr:colOff>27709</xdr:colOff>
      <xdr:row>86</xdr:row>
      <xdr:rowOff>69268</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27</xdr:row>
      <xdr:rowOff>109845</xdr:rowOff>
    </xdr:from>
    <xdr:to>
      <xdr:col>4</xdr:col>
      <xdr:colOff>1025236</xdr:colOff>
      <xdr:row>55</xdr:row>
      <xdr:rowOff>55416</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152400</xdr:rowOff>
    </xdr:from>
    <xdr:to>
      <xdr:col>4</xdr:col>
      <xdr:colOff>1094509</xdr:colOff>
      <xdr:row>86</xdr:row>
      <xdr:rowOff>67294</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27</xdr:row>
      <xdr:rowOff>91044</xdr:rowOff>
    </xdr:from>
    <xdr:to>
      <xdr:col>5</xdr:col>
      <xdr:colOff>0</xdr:colOff>
      <xdr:row>54</xdr:row>
      <xdr:rowOff>111827</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64321</xdr:rowOff>
    </xdr:from>
    <xdr:to>
      <xdr:col>5</xdr:col>
      <xdr:colOff>41564</xdr:colOff>
      <xdr:row>86</xdr:row>
      <xdr:rowOff>8903</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27</xdr:row>
      <xdr:rowOff>77190</xdr:rowOff>
    </xdr:from>
    <xdr:to>
      <xdr:col>4</xdr:col>
      <xdr:colOff>1025236</xdr:colOff>
      <xdr:row>54</xdr:row>
      <xdr:rowOff>97973</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125678</xdr:rowOff>
    </xdr:from>
    <xdr:to>
      <xdr:col>4</xdr:col>
      <xdr:colOff>1020288</xdr:colOff>
      <xdr:row>86</xdr:row>
      <xdr:rowOff>72239</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27</xdr:row>
      <xdr:rowOff>168235</xdr:rowOff>
    </xdr:from>
    <xdr:to>
      <xdr:col>4</xdr:col>
      <xdr:colOff>1025236</xdr:colOff>
      <xdr:row>54</xdr:row>
      <xdr:rowOff>189018</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84115</xdr:rowOff>
    </xdr:from>
    <xdr:to>
      <xdr:col>4</xdr:col>
      <xdr:colOff>1094509</xdr:colOff>
      <xdr:row>86</xdr:row>
      <xdr:rowOff>30676</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27</xdr:row>
      <xdr:rowOff>90055</xdr:rowOff>
    </xdr:from>
    <xdr:to>
      <xdr:col>4</xdr:col>
      <xdr:colOff>1025236</xdr:colOff>
      <xdr:row>54</xdr:row>
      <xdr:rowOff>110838</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103909</xdr:rowOff>
    </xdr:from>
    <xdr:to>
      <xdr:col>4</xdr:col>
      <xdr:colOff>1094509</xdr:colOff>
      <xdr:row>86</xdr:row>
      <xdr:rowOff>50470</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27</xdr:row>
      <xdr:rowOff>151409</xdr:rowOff>
    </xdr:from>
    <xdr:to>
      <xdr:col>4</xdr:col>
      <xdr:colOff>1025236</xdr:colOff>
      <xdr:row>54</xdr:row>
      <xdr:rowOff>172192</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147449</xdr:rowOff>
    </xdr:from>
    <xdr:to>
      <xdr:col>4</xdr:col>
      <xdr:colOff>1094509</xdr:colOff>
      <xdr:row>86</xdr:row>
      <xdr:rowOff>94010</xdr:rowOff>
    </xdr:to>
    <xdr:graphicFrame macro="">
      <xdr:nvGraphicFramePr>
        <xdr:cNvPr id="3" name="Chart 2">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27</xdr:row>
      <xdr:rowOff>74222</xdr:rowOff>
    </xdr:from>
    <xdr:to>
      <xdr:col>4</xdr:col>
      <xdr:colOff>1025236</xdr:colOff>
      <xdr:row>54</xdr:row>
      <xdr:rowOff>95005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39584</xdr:rowOff>
    </xdr:from>
    <xdr:to>
      <xdr:col>4</xdr:col>
      <xdr:colOff>1094509</xdr:colOff>
      <xdr:row>85</xdr:row>
      <xdr:rowOff>178129</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108856</xdr:colOff>
      <xdr:row>2</xdr:row>
      <xdr:rowOff>38099</xdr:rowOff>
    </xdr:from>
    <xdr:to>
      <xdr:col>29</xdr:col>
      <xdr:colOff>21772</xdr:colOff>
      <xdr:row>44</xdr:row>
      <xdr:rowOff>21771</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4.9989318521683403E-2"/>
  </sheetPr>
  <dimension ref="A1:Z85"/>
  <sheetViews>
    <sheetView showGridLines="0" tabSelected="1" zoomScale="70" zoomScaleNormal="70" workbookViewId="0">
      <pane xSplit="3" ySplit="2" topLeftCell="D37" activePane="bottomRight" state="frozen"/>
      <selection pane="topRight" activeCell="D1" sqref="D1"/>
      <selection pane="bottomLeft" activeCell="A3" sqref="A3"/>
      <selection pane="bottomRight"/>
    </sheetView>
  </sheetViews>
  <sheetFormatPr defaultRowHeight="14.5" x14ac:dyDescent="0.35"/>
  <cols>
    <col min="1" max="1" width="46.453125" style="7" customWidth="1"/>
    <col min="2" max="2" width="16.453125" style="7" customWidth="1"/>
    <col min="3" max="3" width="70.453125" style="7" customWidth="1"/>
    <col min="4" max="4" width="12.81640625" customWidth="1"/>
    <col min="5" max="5" width="13.54296875" customWidth="1"/>
    <col min="6" max="6" width="14.81640625" customWidth="1"/>
    <col min="7" max="7" width="15.453125" customWidth="1"/>
    <col min="8" max="8" width="1.81640625" customWidth="1"/>
    <col min="9" max="9" width="13" customWidth="1"/>
    <col min="10" max="10" width="17.54296875" customWidth="1"/>
    <col min="11" max="11" width="17.81640625" customWidth="1"/>
    <col min="12" max="12" width="16.453125" customWidth="1"/>
    <col min="13" max="13" width="17.26953125" customWidth="1"/>
    <col min="14" max="14" width="17.453125" customWidth="1"/>
    <col min="15" max="15" width="1.81640625" customWidth="1"/>
    <col min="16" max="17" width="17.1796875" customWidth="1"/>
    <col min="18" max="18" width="1.81640625" customWidth="1"/>
    <col min="19" max="19" width="14.453125" bestFit="1" customWidth="1"/>
    <col min="20" max="20" width="18.453125" bestFit="1" customWidth="1"/>
    <col min="21" max="21" width="15.54296875" bestFit="1" customWidth="1"/>
  </cols>
  <sheetData>
    <row r="1" spans="1:23" ht="20.149999999999999" customHeight="1" x14ac:dyDescent="0.35">
      <c r="A1" s="90">
        <v>45382</v>
      </c>
      <c r="B1" s="26"/>
      <c r="C1" s="27"/>
      <c r="D1" s="102" t="s">
        <v>90</v>
      </c>
      <c r="E1" s="31" t="s">
        <v>75</v>
      </c>
      <c r="F1" s="102" t="s">
        <v>100</v>
      </c>
      <c r="G1" s="102" t="s">
        <v>71</v>
      </c>
      <c r="H1" s="28"/>
      <c r="I1" s="100" t="s">
        <v>72</v>
      </c>
      <c r="J1" s="106"/>
      <c r="K1" s="106"/>
      <c r="L1" s="106"/>
      <c r="M1" s="106"/>
      <c r="N1" s="87"/>
      <c r="O1" s="29"/>
      <c r="P1" s="104" t="s">
        <v>97</v>
      </c>
      <c r="Q1" s="105"/>
      <c r="S1" s="100" t="s">
        <v>166</v>
      </c>
      <c r="T1" s="101"/>
      <c r="U1" s="101"/>
    </row>
    <row r="2" spans="1:23" ht="81" x14ac:dyDescent="0.35">
      <c r="A2" s="24" t="s">
        <v>42</v>
      </c>
      <c r="B2" s="24" t="s">
        <v>43</v>
      </c>
      <c r="C2" s="24" t="s">
        <v>44</v>
      </c>
      <c r="D2" s="103"/>
      <c r="E2" s="24" t="s">
        <v>99</v>
      </c>
      <c r="F2" s="103"/>
      <c r="G2" s="103"/>
      <c r="H2" s="28"/>
      <c r="I2" s="63" t="s">
        <v>92</v>
      </c>
      <c r="J2" s="24" t="s">
        <v>156</v>
      </c>
      <c r="K2" s="24" t="s">
        <v>157</v>
      </c>
      <c r="L2" s="24" t="s">
        <v>94</v>
      </c>
      <c r="M2" s="24" t="s">
        <v>158</v>
      </c>
      <c r="N2" s="24" t="s">
        <v>159</v>
      </c>
      <c r="O2" s="30"/>
      <c r="P2" s="24" t="s">
        <v>111</v>
      </c>
      <c r="Q2" s="24" t="s">
        <v>112</v>
      </c>
      <c r="S2" s="24" t="s">
        <v>149</v>
      </c>
      <c r="T2" s="24" t="s">
        <v>150</v>
      </c>
      <c r="U2" s="24" t="s">
        <v>151</v>
      </c>
      <c r="V2" s="48"/>
    </row>
    <row r="3" spans="1:23" s="47" customFormat="1" ht="18.649999999999999" customHeight="1" x14ac:dyDescent="0.35">
      <c r="A3" s="107" t="s">
        <v>45</v>
      </c>
      <c r="B3" s="107"/>
      <c r="C3" s="107"/>
      <c r="D3" s="44"/>
      <c r="E3" s="44"/>
      <c r="F3" s="45"/>
      <c r="G3" s="46" t="s">
        <v>98</v>
      </c>
      <c r="H3" s="44"/>
      <c r="I3" s="68">
        <v>9.011015938801803</v>
      </c>
      <c r="J3" s="68">
        <v>7.9482267423305357</v>
      </c>
      <c r="K3" s="68">
        <v>14.566219906373364</v>
      </c>
      <c r="L3" s="68">
        <v>10.301575807812204</v>
      </c>
      <c r="M3" s="68">
        <v>8.8862376554221338</v>
      </c>
      <c r="N3" s="68">
        <v>16.217609336145433</v>
      </c>
      <c r="O3" s="44"/>
      <c r="P3" s="44"/>
      <c r="Q3" s="44"/>
      <c r="S3"/>
      <c r="T3"/>
      <c r="U3"/>
    </row>
    <row r="4" spans="1:23" x14ac:dyDescent="0.35">
      <c r="A4" s="32" t="s">
        <v>36</v>
      </c>
      <c r="B4" s="32" t="s">
        <v>4</v>
      </c>
      <c r="C4" s="32" t="s">
        <v>46</v>
      </c>
      <c r="D4" s="34" t="s">
        <v>161</v>
      </c>
      <c r="E4" s="34">
        <v>90</v>
      </c>
      <c r="F4" s="33">
        <v>17.964447420000003</v>
      </c>
      <c r="G4" s="35">
        <v>14666</v>
      </c>
      <c r="H4" s="22"/>
      <c r="I4" s="36">
        <v>9.355172860287464</v>
      </c>
      <c r="J4" s="36">
        <v>5.3357527140219574</v>
      </c>
      <c r="K4" s="36">
        <v>13.503406746673075</v>
      </c>
      <c r="L4" s="36">
        <v>9.3137390839213907</v>
      </c>
      <c r="M4" s="36">
        <v>7.3169505008144675</v>
      </c>
      <c r="N4" s="36">
        <v>14.888144971921591</v>
      </c>
      <c r="O4" s="23"/>
      <c r="P4" s="36">
        <v>11.018596259322475</v>
      </c>
      <c r="Q4" s="36">
        <v>11.916672170909234</v>
      </c>
      <c r="S4" s="84">
        <v>0.49</v>
      </c>
      <c r="T4" s="84">
        <v>0.70000000000000007</v>
      </c>
      <c r="U4" s="84" t="s">
        <v>91</v>
      </c>
      <c r="V4" s="58"/>
      <c r="W4" s="58"/>
    </row>
    <row r="5" spans="1:23" s="1" customFormat="1" x14ac:dyDescent="0.35">
      <c r="A5" s="32" t="s">
        <v>163</v>
      </c>
      <c r="B5" s="32" t="s">
        <v>2</v>
      </c>
      <c r="C5" s="32" t="s">
        <v>124</v>
      </c>
      <c r="D5" s="34" t="s">
        <v>161</v>
      </c>
      <c r="E5" s="34">
        <v>97</v>
      </c>
      <c r="F5" s="33">
        <v>39.1409569319</v>
      </c>
      <c r="G5" s="35">
        <v>19859</v>
      </c>
      <c r="H5" s="95"/>
      <c r="I5" s="36">
        <v>8.4422421802415428</v>
      </c>
      <c r="J5" s="36">
        <v>7.5337095391440956</v>
      </c>
      <c r="K5" s="36">
        <v>14.692617883763859</v>
      </c>
      <c r="L5" s="36">
        <v>10.532328404333624</v>
      </c>
      <c r="M5" s="36">
        <v>8.4953354337137021</v>
      </c>
      <c r="N5" s="36">
        <v>16.782548632854489</v>
      </c>
      <c r="O5" s="96"/>
      <c r="P5" s="36">
        <v>10.539487162640606</v>
      </c>
      <c r="Q5" s="36">
        <v>12.892925393682644</v>
      </c>
      <c r="S5" s="33">
        <v>0.5</v>
      </c>
      <c r="T5" s="33">
        <v>1.2</v>
      </c>
      <c r="U5" s="33">
        <v>1.2</v>
      </c>
      <c r="V5" s="97"/>
      <c r="W5" s="97"/>
    </row>
    <row r="6" spans="1:23" s="1" customFormat="1" x14ac:dyDescent="0.35">
      <c r="A6" s="32" t="s">
        <v>88</v>
      </c>
      <c r="B6" s="32" t="s">
        <v>1</v>
      </c>
      <c r="C6" s="32" t="s">
        <v>47</v>
      </c>
      <c r="D6" s="34" t="s">
        <v>161</v>
      </c>
      <c r="E6" s="34">
        <v>98</v>
      </c>
      <c r="F6" s="33">
        <v>48.911383799999996</v>
      </c>
      <c r="G6" s="35">
        <v>21723</v>
      </c>
      <c r="H6" s="95"/>
      <c r="I6" s="36">
        <v>8.4727968875440105</v>
      </c>
      <c r="J6" s="36">
        <v>7.0704201293413593</v>
      </c>
      <c r="K6" s="36">
        <v>14.459194529598696</v>
      </c>
      <c r="L6" s="36">
        <v>10.762943011395665</v>
      </c>
      <c r="M6" s="36">
        <v>9.9631109762150274</v>
      </c>
      <c r="N6" s="36">
        <v>17.556549487619932</v>
      </c>
      <c r="O6" s="96"/>
      <c r="P6" s="36">
        <v>11.848150467661139</v>
      </c>
      <c r="Q6" s="36">
        <v>13.470593989952571</v>
      </c>
      <c r="S6" s="33">
        <v>0.5</v>
      </c>
      <c r="T6" s="84" t="s">
        <v>91</v>
      </c>
      <c r="U6" s="33">
        <v>0.89</v>
      </c>
      <c r="V6" s="97"/>
      <c r="W6" s="97"/>
    </row>
    <row r="7" spans="1:23" x14ac:dyDescent="0.35">
      <c r="A7" s="32" t="s">
        <v>89</v>
      </c>
      <c r="B7" s="32" t="s">
        <v>3</v>
      </c>
      <c r="C7" s="32" t="s">
        <v>102</v>
      </c>
      <c r="D7" s="34" t="s">
        <v>161</v>
      </c>
      <c r="E7" s="34">
        <v>97</v>
      </c>
      <c r="F7" s="33">
        <v>114.85712114</v>
      </c>
      <c r="G7" s="35">
        <v>49488</v>
      </c>
      <c r="H7" s="22"/>
      <c r="I7" s="36">
        <v>8.6797911818353271</v>
      </c>
      <c r="J7" s="36">
        <v>8.768320852888877</v>
      </c>
      <c r="K7" s="36">
        <v>14.711747425395384</v>
      </c>
      <c r="L7" s="36">
        <v>10.189151608214342</v>
      </c>
      <c r="M7" s="36">
        <v>8.8112656363534825</v>
      </c>
      <c r="N7" s="36">
        <v>15.907325595811027</v>
      </c>
      <c r="O7" s="23"/>
      <c r="P7" s="36">
        <v>13.122367657697396</v>
      </c>
      <c r="Q7" s="36">
        <v>13.255328450610021</v>
      </c>
      <c r="S7" s="84">
        <v>0.5</v>
      </c>
      <c r="T7" s="84" t="s">
        <v>91</v>
      </c>
      <c r="U7" s="84">
        <v>0.84130000000000005</v>
      </c>
      <c r="V7" s="58"/>
      <c r="W7" s="58"/>
    </row>
    <row r="8" spans="1:23" s="1" customFormat="1" x14ac:dyDescent="0.35">
      <c r="A8" s="32" t="s">
        <v>116</v>
      </c>
      <c r="B8" s="32" t="s">
        <v>5</v>
      </c>
      <c r="C8" s="32" t="s">
        <v>117</v>
      </c>
      <c r="D8" s="34" t="s">
        <v>161</v>
      </c>
      <c r="E8" s="34">
        <v>90</v>
      </c>
      <c r="F8" s="33">
        <v>39.88667324</v>
      </c>
      <c r="G8" s="35">
        <v>20316</v>
      </c>
      <c r="H8" s="95"/>
      <c r="I8" s="36">
        <v>10.714975223630852</v>
      </c>
      <c r="J8" s="36">
        <v>8.2465053124941115</v>
      </c>
      <c r="K8" s="36">
        <v>14.633044249371618</v>
      </c>
      <c r="L8" s="36">
        <v>10.278025961833336</v>
      </c>
      <c r="M8" s="36">
        <v>8.8719815048207362</v>
      </c>
      <c r="N8" s="36">
        <v>15.513607517607152</v>
      </c>
      <c r="O8" s="96"/>
      <c r="P8" s="36">
        <v>11.869462023414048</v>
      </c>
      <c r="Q8" s="36">
        <v>13.043972179970162</v>
      </c>
      <c r="S8" s="33">
        <v>0.5</v>
      </c>
      <c r="T8" s="33">
        <v>1.1100000000000001</v>
      </c>
      <c r="U8" s="84" t="s">
        <v>91</v>
      </c>
      <c r="V8" s="97"/>
      <c r="W8" s="97"/>
    </row>
    <row r="9" spans="1:23" x14ac:dyDescent="0.35">
      <c r="A9" s="32" t="s">
        <v>154</v>
      </c>
      <c r="B9" s="32" t="s">
        <v>132</v>
      </c>
      <c r="C9" s="32" t="s">
        <v>146</v>
      </c>
      <c r="D9" s="34" t="s">
        <v>162</v>
      </c>
      <c r="E9" s="34">
        <v>100</v>
      </c>
      <c r="F9" s="33">
        <v>10.3685397721</v>
      </c>
      <c r="G9" s="35">
        <v>5820</v>
      </c>
      <c r="H9" s="22"/>
      <c r="I9" s="36">
        <v>10.214951493247115</v>
      </c>
      <c r="J9" s="36" t="s">
        <v>164</v>
      </c>
      <c r="K9" s="36" t="s">
        <v>164</v>
      </c>
      <c r="L9" s="36">
        <v>10.19330504479019</v>
      </c>
      <c r="M9" s="36" t="s">
        <v>164</v>
      </c>
      <c r="N9" s="36" t="s">
        <v>164</v>
      </c>
      <c r="O9" s="23"/>
      <c r="P9" s="36" t="s">
        <v>164</v>
      </c>
      <c r="Q9" s="36" t="s">
        <v>164</v>
      </c>
      <c r="S9" s="84">
        <v>0.44</v>
      </c>
      <c r="T9" s="94">
        <v>0.56999999999999995</v>
      </c>
      <c r="U9" s="84" t="s">
        <v>91</v>
      </c>
      <c r="V9" s="58"/>
      <c r="W9" s="58"/>
    </row>
    <row r="10" spans="1:23" s="47" customFormat="1" ht="18.649999999999999" customHeight="1" x14ac:dyDescent="0.35">
      <c r="A10" s="107" t="s">
        <v>48</v>
      </c>
      <c r="B10" s="107"/>
      <c r="C10" s="107"/>
      <c r="D10" s="44"/>
      <c r="E10" s="44"/>
      <c r="F10" s="45"/>
      <c r="G10" s="46" t="s">
        <v>98</v>
      </c>
      <c r="H10" s="44"/>
      <c r="I10" s="68">
        <v>8.610481553583293</v>
      </c>
      <c r="J10" s="68">
        <v>7.9523500910891585</v>
      </c>
      <c r="K10" s="68">
        <v>14.696810013998613</v>
      </c>
      <c r="L10" s="68">
        <v>10.316087447928282</v>
      </c>
      <c r="M10" s="68">
        <v>8.9039090929024667</v>
      </c>
      <c r="N10" s="68">
        <v>16.272016086786937</v>
      </c>
      <c r="O10" s="44"/>
      <c r="P10" s="44"/>
      <c r="Q10" s="44"/>
      <c r="S10" s="92"/>
      <c r="T10" s="92"/>
      <c r="U10" s="92"/>
      <c r="V10" s="58"/>
      <c r="W10" s="58"/>
    </row>
    <row r="11" spans="1:23" x14ac:dyDescent="0.35">
      <c r="A11" s="32" t="s">
        <v>36</v>
      </c>
      <c r="B11" s="32" t="s">
        <v>9</v>
      </c>
      <c r="C11" s="32" t="s">
        <v>49</v>
      </c>
      <c r="D11" s="34" t="s">
        <v>161</v>
      </c>
      <c r="E11" s="34">
        <v>90</v>
      </c>
      <c r="F11" s="33">
        <v>60.414196880000006</v>
      </c>
      <c r="G11" s="35">
        <v>18922</v>
      </c>
      <c r="H11" s="22"/>
      <c r="I11" s="36">
        <v>9.4199596380444071</v>
      </c>
      <c r="J11" s="36">
        <v>5.3723645651584606</v>
      </c>
      <c r="K11" s="36">
        <v>13.377642410728496</v>
      </c>
      <c r="L11" s="36">
        <v>9.3137390839213907</v>
      </c>
      <c r="M11" s="36">
        <v>7.3169505008144675</v>
      </c>
      <c r="N11" s="36">
        <v>14.888144971921591</v>
      </c>
      <c r="O11" s="23"/>
      <c r="P11" s="36">
        <v>10.943006976476946</v>
      </c>
      <c r="Q11" s="36">
        <v>11.916672170909234</v>
      </c>
      <c r="S11" s="84">
        <v>0.49</v>
      </c>
      <c r="T11" s="84">
        <v>0.71000000000000008</v>
      </c>
      <c r="U11" s="84" t="s">
        <v>91</v>
      </c>
      <c r="V11" s="58"/>
      <c r="W11" s="58"/>
    </row>
    <row r="12" spans="1:23" s="1" customFormat="1" x14ac:dyDescent="0.35">
      <c r="A12" s="32" t="s">
        <v>163</v>
      </c>
      <c r="B12" s="32" t="s">
        <v>7</v>
      </c>
      <c r="C12" s="32" t="s">
        <v>125</v>
      </c>
      <c r="D12" s="34" t="s">
        <v>161</v>
      </c>
      <c r="E12" s="34">
        <v>97</v>
      </c>
      <c r="F12" s="33">
        <v>146.24353772009999</v>
      </c>
      <c r="G12" s="35">
        <v>36626</v>
      </c>
      <c r="H12" s="95"/>
      <c r="I12" s="36">
        <v>8.1441263573543754</v>
      </c>
      <c r="J12" s="36">
        <v>7.6409375453010853</v>
      </c>
      <c r="K12" s="36">
        <v>14.833329786702842</v>
      </c>
      <c r="L12" s="36">
        <v>10.532328404333624</v>
      </c>
      <c r="M12" s="36">
        <v>8.4953354337137021</v>
      </c>
      <c r="N12" s="36">
        <v>16.782548632854489</v>
      </c>
      <c r="O12" s="96"/>
      <c r="P12" s="36">
        <v>10.24063635288304</v>
      </c>
      <c r="Q12" s="36">
        <v>12.892925393682644</v>
      </c>
      <c r="S12" s="33">
        <v>0.5</v>
      </c>
      <c r="T12" s="33">
        <v>1.37</v>
      </c>
      <c r="U12" s="33">
        <v>1.37</v>
      </c>
      <c r="V12" s="97"/>
      <c r="W12" s="97"/>
    </row>
    <row r="13" spans="1:23" s="1" customFormat="1" x14ac:dyDescent="0.35">
      <c r="A13" s="32" t="s">
        <v>88</v>
      </c>
      <c r="B13" s="32" t="s">
        <v>6</v>
      </c>
      <c r="C13" s="32" t="s">
        <v>50</v>
      </c>
      <c r="D13" s="34" t="s">
        <v>161</v>
      </c>
      <c r="E13" s="34">
        <v>98</v>
      </c>
      <c r="F13" s="33">
        <v>184.13743133000003</v>
      </c>
      <c r="G13" s="35">
        <v>46062</v>
      </c>
      <c r="H13" s="95"/>
      <c r="I13" s="36">
        <v>8.2862640432002976</v>
      </c>
      <c r="J13" s="36">
        <v>6.8928546918258338</v>
      </c>
      <c r="K13" s="36">
        <v>14.40202416865981</v>
      </c>
      <c r="L13" s="36">
        <v>10.762943011395665</v>
      </c>
      <c r="M13" s="36">
        <v>9.9631109762150274</v>
      </c>
      <c r="N13" s="36">
        <v>17.556549487619932</v>
      </c>
      <c r="O13" s="96"/>
      <c r="P13" s="36">
        <v>11.799116467732654</v>
      </c>
      <c r="Q13" s="36">
        <v>13.470593989952571</v>
      </c>
      <c r="S13" s="33">
        <v>0.5</v>
      </c>
      <c r="T13" s="84" t="s">
        <v>91</v>
      </c>
      <c r="U13" s="33">
        <v>0.88</v>
      </c>
      <c r="V13" s="97"/>
      <c r="W13" s="97"/>
    </row>
    <row r="14" spans="1:23" x14ac:dyDescent="0.35">
      <c r="A14" s="32" t="s">
        <v>89</v>
      </c>
      <c r="B14" s="32" t="s">
        <v>8</v>
      </c>
      <c r="C14" s="32" t="s">
        <v>103</v>
      </c>
      <c r="D14" s="34" t="s">
        <v>161</v>
      </c>
      <c r="E14" s="34">
        <v>97</v>
      </c>
      <c r="F14" s="33">
        <v>385.96673786000002</v>
      </c>
      <c r="G14" s="35">
        <v>95911</v>
      </c>
      <c r="H14" s="22"/>
      <c r="I14" s="36">
        <v>8.3343684014408161</v>
      </c>
      <c r="J14" s="36">
        <v>8.8546465449245169</v>
      </c>
      <c r="K14" s="36">
        <v>14.952957024353065</v>
      </c>
      <c r="L14" s="36">
        <v>10.189151608214342</v>
      </c>
      <c r="M14" s="36">
        <v>8.8112656363534825</v>
      </c>
      <c r="N14" s="36">
        <v>15.907325595811027</v>
      </c>
      <c r="O14" s="23"/>
      <c r="P14" s="36">
        <v>12.776215764763684</v>
      </c>
      <c r="Q14" s="36">
        <v>13.255328450610021</v>
      </c>
      <c r="S14" s="84">
        <v>0.5</v>
      </c>
      <c r="T14" s="84" t="s">
        <v>91</v>
      </c>
      <c r="U14" s="84">
        <v>0.82230000000000003</v>
      </c>
      <c r="V14" s="58"/>
      <c r="W14" s="58"/>
    </row>
    <row r="15" spans="1:23" s="1" customFormat="1" x14ac:dyDescent="0.35">
      <c r="A15" s="32" t="s">
        <v>116</v>
      </c>
      <c r="B15" s="32" t="s">
        <v>10</v>
      </c>
      <c r="C15" s="32" t="s">
        <v>118</v>
      </c>
      <c r="D15" s="34" t="s">
        <v>161</v>
      </c>
      <c r="E15" s="34">
        <v>90</v>
      </c>
      <c r="F15" s="33">
        <v>114.48829687999999</v>
      </c>
      <c r="G15" s="35">
        <v>33894</v>
      </c>
      <c r="H15" s="95"/>
      <c r="I15" s="36">
        <v>10.038709677419355</v>
      </c>
      <c r="J15" s="36">
        <v>8.3737570791325702</v>
      </c>
      <c r="K15" s="36">
        <v>14.829122220045111</v>
      </c>
      <c r="L15" s="36">
        <v>10.278025961833336</v>
      </c>
      <c r="M15" s="36">
        <v>8.8719815048207362</v>
      </c>
      <c r="N15" s="36">
        <v>15.513607517607152</v>
      </c>
      <c r="O15" s="96"/>
      <c r="P15" s="36">
        <v>11.732258253150867</v>
      </c>
      <c r="Q15" s="36">
        <v>13.043972179970162</v>
      </c>
      <c r="S15" s="33">
        <v>0.5</v>
      </c>
      <c r="T15" s="33">
        <v>0.94</v>
      </c>
      <c r="U15" s="84" t="s">
        <v>91</v>
      </c>
      <c r="V15" s="97"/>
      <c r="W15" s="97"/>
    </row>
    <row r="16" spans="1:23" x14ac:dyDescent="0.35">
      <c r="A16" s="32" t="s">
        <v>131</v>
      </c>
      <c r="B16" s="32" t="s">
        <v>133</v>
      </c>
      <c r="C16" s="32" t="s">
        <v>145</v>
      </c>
      <c r="D16" s="34" t="s">
        <v>162</v>
      </c>
      <c r="E16" s="34">
        <v>100</v>
      </c>
      <c r="F16" s="33">
        <v>13.813249131100001</v>
      </c>
      <c r="G16" s="35">
        <v>4333</v>
      </c>
      <c r="H16" s="22"/>
      <c r="I16" s="36">
        <v>10.207001812458261</v>
      </c>
      <c r="J16" s="36" t="s">
        <v>164</v>
      </c>
      <c r="K16" s="36" t="s">
        <v>164</v>
      </c>
      <c r="L16" s="36">
        <v>10.19330504479019</v>
      </c>
      <c r="M16" s="36" t="s">
        <v>164</v>
      </c>
      <c r="N16" s="36" t="s">
        <v>164</v>
      </c>
      <c r="O16" s="23"/>
      <c r="P16" s="36" t="s">
        <v>164</v>
      </c>
      <c r="Q16" s="36" t="s">
        <v>164</v>
      </c>
      <c r="S16" s="84">
        <v>0.44</v>
      </c>
      <c r="T16" s="84">
        <v>0.56000000000000005</v>
      </c>
      <c r="U16" s="84" t="s">
        <v>91</v>
      </c>
      <c r="V16" s="58"/>
      <c r="W16" s="58"/>
    </row>
    <row r="17" spans="1:26" s="47" customFormat="1" ht="18.649999999999999" customHeight="1" x14ac:dyDescent="0.35">
      <c r="A17" s="107" t="s">
        <v>51</v>
      </c>
      <c r="B17" s="107"/>
      <c r="C17" s="107"/>
      <c r="D17" s="44"/>
      <c r="E17" s="44"/>
      <c r="F17" s="45"/>
      <c r="G17" s="46" t="s">
        <v>98</v>
      </c>
      <c r="H17" s="44"/>
      <c r="I17" s="68">
        <v>8.5770439369386615</v>
      </c>
      <c r="J17" s="68">
        <v>7.8543104254318106</v>
      </c>
      <c r="K17" s="68">
        <v>14.725251325731666</v>
      </c>
      <c r="L17" s="68">
        <v>10.343092689268929</v>
      </c>
      <c r="M17" s="68">
        <v>8.9575176053356103</v>
      </c>
      <c r="N17" s="68">
        <v>16.363271342393059</v>
      </c>
      <c r="O17" s="44"/>
      <c r="P17" s="44"/>
      <c r="Q17" s="44"/>
      <c r="S17" s="92"/>
      <c r="T17" s="92"/>
      <c r="U17" s="92"/>
      <c r="V17" s="58"/>
      <c r="W17" s="58"/>
    </row>
    <row r="18" spans="1:26" x14ac:dyDescent="0.35">
      <c r="A18" s="32" t="s">
        <v>36</v>
      </c>
      <c r="B18" s="32" t="s">
        <v>14</v>
      </c>
      <c r="C18" s="32" t="s">
        <v>52</v>
      </c>
      <c r="D18" s="34" t="s">
        <v>161</v>
      </c>
      <c r="E18" s="34">
        <v>90</v>
      </c>
      <c r="F18" s="33">
        <v>117.31881745</v>
      </c>
      <c r="G18" s="35">
        <v>26132</v>
      </c>
      <c r="H18" s="22"/>
      <c r="I18" s="36">
        <v>9.4285340656466552</v>
      </c>
      <c r="J18" s="36">
        <v>5.5212435677058469</v>
      </c>
      <c r="K18" s="36">
        <v>13.322931916670179</v>
      </c>
      <c r="L18" s="36">
        <v>9.3137390839213907</v>
      </c>
      <c r="M18" s="36">
        <v>7.3169505008144675</v>
      </c>
      <c r="N18" s="36">
        <v>14.888144971921591</v>
      </c>
      <c r="O18" s="23"/>
      <c r="P18" s="36">
        <v>10.883093793679285</v>
      </c>
      <c r="Q18" s="36">
        <v>11.916672170909234</v>
      </c>
      <c r="S18" s="84">
        <v>0.49</v>
      </c>
      <c r="T18" s="84">
        <v>0.72</v>
      </c>
      <c r="U18" s="84" t="s">
        <v>91</v>
      </c>
      <c r="V18" s="58"/>
      <c r="W18" s="58"/>
    </row>
    <row r="19" spans="1:26" s="1" customFormat="1" x14ac:dyDescent="0.35">
      <c r="A19" s="32" t="s">
        <v>163</v>
      </c>
      <c r="B19" s="32" t="s">
        <v>12</v>
      </c>
      <c r="C19" s="32" t="s">
        <v>126</v>
      </c>
      <c r="D19" s="34" t="s">
        <v>161</v>
      </c>
      <c r="E19" s="34">
        <v>97</v>
      </c>
      <c r="F19" s="33">
        <v>253.8462096536</v>
      </c>
      <c r="G19" s="35">
        <v>44292</v>
      </c>
      <c r="H19" s="95"/>
      <c r="I19" s="36">
        <v>8.057749259624881</v>
      </c>
      <c r="J19" s="36">
        <v>7.735064115358159</v>
      </c>
      <c r="K19" s="36">
        <v>14.867413264460772</v>
      </c>
      <c r="L19" s="36">
        <v>10.532328404333624</v>
      </c>
      <c r="M19" s="36">
        <v>8.4953354337137021</v>
      </c>
      <c r="N19" s="36">
        <v>16.782548632854489</v>
      </c>
      <c r="O19" s="96"/>
      <c r="P19" s="36">
        <v>10.174667248543075</v>
      </c>
      <c r="Q19" s="36">
        <v>12.892925393682644</v>
      </c>
      <c r="S19" s="33">
        <v>0.5</v>
      </c>
      <c r="T19" s="33">
        <v>1.38</v>
      </c>
      <c r="U19" s="33">
        <v>1.38</v>
      </c>
      <c r="V19" s="97"/>
      <c r="W19" s="97"/>
    </row>
    <row r="20" spans="1:26" s="1" customFormat="1" x14ac:dyDescent="0.35">
      <c r="A20" s="32" t="s">
        <v>88</v>
      </c>
      <c r="B20" s="32" t="s">
        <v>11</v>
      </c>
      <c r="C20" s="32" t="s">
        <v>53</v>
      </c>
      <c r="D20" s="34" t="s">
        <v>161</v>
      </c>
      <c r="E20" s="34">
        <v>98</v>
      </c>
      <c r="F20" s="33">
        <v>404.37063704000002</v>
      </c>
      <c r="G20" s="35">
        <v>73986</v>
      </c>
      <c r="H20" s="95"/>
      <c r="I20" s="36">
        <v>8.2377735077171046</v>
      </c>
      <c r="J20" s="36">
        <v>6.8457941517000132</v>
      </c>
      <c r="K20" s="36">
        <v>14.402980377335851</v>
      </c>
      <c r="L20" s="36">
        <v>10.762943011395665</v>
      </c>
      <c r="M20" s="36">
        <v>9.9631109762150274</v>
      </c>
      <c r="N20" s="36">
        <v>17.556549487619932</v>
      </c>
      <c r="O20" s="96"/>
      <c r="P20" s="36">
        <v>11.741186147852439</v>
      </c>
      <c r="Q20" s="36">
        <v>13.470593989952571</v>
      </c>
      <c r="S20" s="33">
        <v>0.5</v>
      </c>
      <c r="T20" s="84" t="s">
        <v>91</v>
      </c>
      <c r="U20" s="33">
        <v>0.88</v>
      </c>
      <c r="V20" s="97"/>
      <c r="W20" s="97"/>
    </row>
    <row r="21" spans="1:26" x14ac:dyDescent="0.35">
      <c r="A21" s="32" t="s">
        <v>89</v>
      </c>
      <c r="B21" s="32" t="s">
        <v>13</v>
      </c>
      <c r="C21" s="32" t="s">
        <v>104</v>
      </c>
      <c r="D21" s="34" t="s">
        <v>161</v>
      </c>
      <c r="E21" s="34">
        <v>97</v>
      </c>
      <c r="F21" s="33">
        <v>547.78485548000003</v>
      </c>
      <c r="G21" s="35">
        <v>113847</v>
      </c>
      <c r="H21" s="22"/>
      <c r="I21" s="36">
        <v>8.2984486579660288</v>
      </c>
      <c r="J21" s="36">
        <v>9.0033483021246354</v>
      </c>
      <c r="K21" s="36">
        <v>15.18448047306129</v>
      </c>
      <c r="L21" s="36">
        <v>10.189151608214342</v>
      </c>
      <c r="M21" s="36">
        <v>8.8112656363534825</v>
      </c>
      <c r="N21" s="36">
        <v>15.907325595811027</v>
      </c>
      <c r="O21" s="23"/>
      <c r="P21" s="36">
        <v>12.734842279375705</v>
      </c>
      <c r="Q21" s="36">
        <v>13.255328450610021</v>
      </c>
      <c r="S21" s="84">
        <v>0.5</v>
      </c>
      <c r="T21" s="84" t="s">
        <v>91</v>
      </c>
      <c r="U21" s="84">
        <v>0.82509999999999994</v>
      </c>
      <c r="V21" s="58"/>
      <c r="W21" s="58"/>
    </row>
    <row r="22" spans="1:26" s="1" customFormat="1" x14ac:dyDescent="0.35">
      <c r="A22" s="32" t="s">
        <v>116</v>
      </c>
      <c r="B22" s="32" t="s">
        <v>15</v>
      </c>
      <c r="C22" s="32" t="s">
        <v>119</v>
      </c>
      <c r="D22" s="34" t="s">
        <v>161</v>
      </c>
      <c r="E22" s="34">
        <v>90</v>
      </c>
      <c r="F22" s="33">
        <v>195.53420259999999</v>
      </c>
      <c r="G22" s="35">
        <v>47768</v>
      </c>
      <c r="H22" s="95"/>
      <c r="I22" s="36">
        <v>10.105181648060913</v>
      </c>
      <c r="J22" s="36">
        <v>8.2755752904078115</v>
      </c>
      <c r="K22" s="36">
        <v>14.762018919121612</v>
      </c>
      <c r="L22" s="36">
        <v>10.278025961833336</v>
      </c>
      <c r="M22" s="36">
        <v>8.8719815048207362</v>
      </c>
      <c r="N22" s="36">
        <v>15.513607517607152</v>
      </c>
      <c r="O22" s="96"/>
      <c r="P22" s="36">
        <v>11.691744548644721</v>
      </c>
      <c r="Q22" s="36">
        <v>13.043972179970162</v>
      </c>
      <c r="S22" s="33">
        <v>0.5</v>
      </c>
      <c r="T22" s="33">
        <v>0.98</v>
      </c>
      <c r="U22" s="84" t="s">
        <v>91</v>
      </c>
      <c r="V22" s="97"/>
      <c r="W22" s="97"/>
    </row>
    <row r="23" spans="1:26" x14ac:dyDescent="0.35">
      <c r="A23" s="32" t="s">
        <v>131</v>
      </c>
      <c r="B23" s="32" t="s">
        <v>134</v>
      </c>
      <c r="C23" s="32" t="s">
        <v>144</v>
      </c>
      <c r="D23" s="34" t="s">
        <v>162</v>
      </c>
      <c r="E23" s="34">
        <v>100</v>
      </c>
      <c r="F23" s="33">
        <v>14.132638807999999</v>
      </c>
      <c r="G23" s="35">
        <v>3162</v>
      </c>
      <c r="H23" s="22"/>
      <c r="I23" s="36">
        <v>10.199052132701425</v>
      </c>
      <c r="J23" s="36" t="s">
        <v>164</v>
      </c>
      <c r="K23" s="36" t="s">
        <v>164</v>
      </c>
      <c r="L23" s="36">
        <v>10.19330504479019</v>
      </c>
      <c r="M23" s="36" t="s">
        <v>164</v>
      </c>
      <c r="N23" s="36" t="s">
        <v>164</v>
      </c>
      <c r="O23" s="23"/>
      <c r="P23" s="36" t="s">
        <v>164</v>
      </c>
      <c r="Q23" s="36" t="s">
        <v>164</v>
      </c>
      <c r="S23" s="84">
        <v>0.44</v>
      </c>
      <c r="T23" s="84">
        <v>0.56000000000000005</v>
      </c>
      <c r="U23" s="84" t="s">
        <v>91</v>
      </c>
      <c r="V23" s="58"/>
      <c r="W23" s="58"/>
    </row>
    <row r="24" spans="1:26" s="47" customFormat="1" ht="18.649999999999999" customHeight="1" x14ac:dyDescent="0.35">
      <c r="A24" s="107" t="s">
        <v>54</v>
      </c>
      <c r="B24" s="107"/>
      <c r="C24" s="107"/>
      <c r="D24" s="44"/>
      <c r="E24" s="44"/>
      <c r="F24" s="45"/>
      <c r="G24" s="46" t="s">
        <v>98</v>
      </c>
      <c r="H24" s="44"/>
      <c r="I24" s="68">
        <v>8.4923243454722446</v>
      </c>
      <c r="J24" s="68">
        <v>7.8048318669255954</v>
      </c>
      <c r="K24" s="68">
        <v>14.6827109381643</v>
      </c>
      <c r="L24" s="68">
        <v>10.347139422138625</v>
      </c>
      <c r="M24" s="68">
        <v>8.9885568806047065</v>
      </c>
      <c r="N24" s="68">
        <v>16.370226835297128</v>
      </c>
      <c r="O24" s="44"/>
      <c r="P24" s="44"/>
      <c r="Q24" s="44"/>
      <c r="S24" s="92"/>
      <c r="T24" s="92"/>
      <c r="U24" s="92"/>
      <c r="V24" s="58"/>
      <c r="W24" s="58"/>
      <c r="X24" s="73"/>
      <c r="Y24" s="73"/>
    </row>
    <row r="25" spans="1:26" x14ac:dyDescent="0.35">
      <c r="A25" s="32" t="s">
        <v>36</v>
      </c>
      <c r="B25" s="32" t="s">
        <v>19</v>
      </c>
      <c r="C25" s="32" t="s">
        <v>55</v>
      </c>
      <c r="D25" s="34" t="s">
        <v>161</v>
      </c>
      <c r="E25" s="34">
        <v>90</v>
      </c>
      <c r="F25" s="33">
        <v>132.63730889000001</v>
      </c>
      <c r="G25" s="35">
        <v>19508</v>
      </c>
      <c r="H25" s="22"/>
      <c r="I25" s="36">
        <v>9.4129158512720181</v>
      </c>
      <c r="J25" s="36">
        <v>5.6781453279032723</v>
      </c>
      <c r="K25" s="36">
        <v>13.469467815137115</v>
      </c>
      <c r="L25" s="36">
        <v>9.3137390839213907</v>
      </c>
      <c r="M25" s="36">
        <v>7.3169505008144675</v>
      </c>
      <c r="N25" s="36">
        <v>14.888144971921591</v>
      </c>
      <c r="O25" s="23"/>
      <c r="P25" s="36">
        <v>10.905828680902596</v>
      </c>
      <c r="Q25" s="36">
        <v>11.916672170909234</v>
      </c>
      <c r="S25" s="84">
        <v>0.49</v>
      </c>
      <c r="T25" s="84">
        <v>0.72</v>
      </c>
      <c r="U25" s="84" t="s">
        <v>91</v>
      </c>
      <c r="V25" s="58"/>
      <c r="W25" s="58"/>
      <c r="X25" s="48"/>
      <c r="Y25" s="48"/>
      <c r="Z25" s="47"/>
    </row>
    <row r="26" spans="1:26" s="1" customFormat="1" x14ac:dyDescent="0.35">
      <c r="A26" s="32" t="s">
        <v>163</v>
      </c>
      <c r="B26" s="32" t="s">
        <v>17</v>
      </c>
      <c r="C26" s="32" t="s">
        <v>127</v>
      </c>
      <c r="D26" s="34" t="s">
        <v>161</v>
      </c>
      <c r="E26" s="34">
        <v>97</v>
      </c>
      <c r="F26" s="33">
        <v>255.68835309479999</v>
      </c>
      <c r="G26" s="35">
        <v>27850</v>
      </c>
      <c r="H26" s="95"/>
      <c r="I26" s="36">
        <v>7.9167178479302214</v>
      </c>
      <c r="J26" s="36">
        <v>7.6956918161098065</v>
      </c>
      <c r="K26" s="36">
        <v>14.815518681824113</v>
      </c>
      <c r="L26" s="36">
        <v>10.532328404333624</v>
      </c>
      <c r="M26" s="36">
        <v>8.4953354337137021</v>
      </c>
      <c r="N26" s="36">
        <v>16.782548632854489</v>
      </c>
      <c r="O26" s="96"/>
      <c r="P26" s="36">
        <v>10.126082045548648</v>
      </c>
      <c r="Q26" s="36">
        <v>12.892925393682644</v>
      </c>
      <c r="S26" s="33">
        <v>0.5</v>
      </c>
      <c r="T26" s="33">
        <v>1.39</v>
      </c>
      <c r="U26" s="33">
        <v>1.39</v>
      </c>
      <c r="V26" s="97"/>
      <c r="W26" s="97"/>
      <c r="X26" s="98"/>
      <c r="Y26" s="98"/>
      <c r="Z26" s="99"/>
    </row>
    <row r="27" spans="1:26" s="1" customFormat="1" x14ac:dyDescent="0.35">
      <c r="A27" s="32" t="s">
        <v>88</v>
      </c>
      <c r="B27" s="32" t="s">
        <v>16</v>
      </c>
      <c r="C27" s="32" t="s">
        <v>56</v>
      </c>
      <c r="D27" s="34" t="s">
        <v>161</v>
      </c>
      <c r="E27" s="34">
        <v>98</v>
      </c>
      <c r="F27" s="33">
        <v>505.11624323000001</v>
      </c>
      <c r="G27" s="35">
        <v>62799</v>
      </c>
      <c r="H27" s="95"/>
      <c r="I27" s="36">
        <v>8.1809899787427689</v>
      </c>
      <c r="J27" s="36">
        <v>6.8090968918264494</v>
      </c>
      <c r="K27" s="36">
        <v>14.373633812959795</v>
      </c>
      <c r="L27" s="36">
        <v>10.763139565263247</v>
      </c>
      <c r="M27" s="36">
        <v>9.9630213086171473</v>
      </c>
      <c r="N27" s="36">
        <v>17.556670584892942</v>
      </c>
      <c r="O27" s="96"/>
      <c r="P27" s="36">
        <v>11.724379815907305</v>
      </c>
      <c r="Q27" s="36">
        <v>13.470690300510423</v>
      </c>
      <c r="S27" s="33">
        <v>0.5</v>
      </c>
      <c r="T27" s="84" t="s">
        <v>91</v>
      </c>
      <c r="U27" s="33">
        <v>0.87</v>
      </c>
      <c r="V27" s="97"/>
      <c r="W27" s="97"/>
    </row>
    <row r="28" spans="1:26" x14ac:dyDescent="0.35">
      <c r="A28" s="32" t="s">
        <v>89</v>
      </c>
      <c r="B28" s="32" t="s">
        <v>18</v>
      </c>
      <c r="C28" s="32" t="s">
        <v>105</v>
      </c>
      <c r="D28" s="34" t="s">
        <v>161</v>
      </c>
      <c r="E28" s="34">
        <v>97</v>
      </c>
      <c r="F28" s="33">
        <v>658.27322794000008</v>
      </c>
      <c r="G28" s="35">
        <v>98543</v>
      </c>
      <c r="H28" s="22"/>
      <c r="I28" s="36">
        <v>8.2402320844392243</v>
      </c>
      <c r="J28" s="36">
        <v>8.9758873155062258</v>
      </c>
      <c r="K28" s="36">
        <v>15.17345987784009</v>
      </c>
      <c r="L28" s="36">
        <v>10.189151608214342</v>
      </c>
      <c r="M28" s="36">
        <v>8.8112656363534825</v>
      </c>
      <c r="N28" s="36">
        <v>15.907325595811027</v>
      </c>
      <c r="O28" s="23"/>
      <c r="P28" s="36">
        <v>12.609514678028191</v>
      </c>
      <c r="Q28" s="36">
        <v>13.255328450610021</v>
      </c>
      <c r="S28" s="84">
        <v>0.5</v>
      </c>
      <c r="T28" s="84" t="s">
        <v>91</v>
      </c>
      <c r="U28" s="84">
        <v>0.83079999999999998</v>
      </c>
      <c r="V28" s="58"/>
      <c r="W28" s="58"/>
    </row>
    <row r="29" spans="1:26" s="1" customFormat="1" x14ac:dyDescent="0.35">
      <c r="A29" s="32" t="s">
        <v>116</v>
      </c>
      <c r="B29" s="32" t="s">
        <v>20</v>
      </c>
      <c r="C29" s="32" t="s">
        <v>120</v>
      </c>
      <c r="D29" s="34" t="s">
        <v>161</v>
      </c>
      <c r="E29" s="34">
        <v>90</v>
      </c>
      <c r="F29" s="33">
        <v>237.47193615</v>
      </c>
      <c r="G29" s="35">
        <v>39988</v>
      </c>
      <c r="H29" s="95"/>
      <c r="I29" s="36">
        <v>9.8617271067049206</v>
      </c>
      <c r="J29" s="36">
        <v>7.9819950280184848</v>
      </c>
      <c r="K29" s="36">
        <v>14.514425357510952</v>
      </c>
      <c r="L29" s="36">
        <v>10.278025961833336</v>
      </c>
      <c r="M29" s="36">
        <v>8.8719815048207362</v>
      </c>
      <c r="N29" s="36">
        <v>15.513607517607152</v>
      </c>
      <c r="O29" s="96"/>
      <c r="P29" s="36">
        <v>11.744352519418623</v>
      </c>
      <c r="Q29" s="36">
        <v>13.043972179970162</v>
      </c>
      <c r="S29" s="33">
        <v>0.5</v>
      </c>
      <c r="T29" s="33">
        <v>0.99</v>
      </c>
      <c r="U29" s="84" t="s">
        <v>91</v>
      </c>
      <c r="V29" s="97"/>
      <c r="W29" s="97"/>
    </row>
    <row r="30" spans="1:26" x14ac:dyDescent="0.35">
      <c r="A30" s="32" t="s">
        <v>131</v>
      </c>
      <c r="B30" s="32" t="s">
        <v>135</v>
      </c>
      <c r="C30" s="32" t="s">
        <v>143</v>
      </c>
      <c r="D30" s="34" t="s">
        <v>162</v>
      </c>
      <c r="E30" s="34">
        <v>100</v>
      </c>
      <c r="F30" s="33">
        <v>13.299993022000001</v>
      </c>
      <c r="G30" s="35">
        <v>1168</v>
      </c>
      <c r="H30" s="22"/>
      <c r="I30" s="36">
        <v>10.227814317033657</v>
      </c>
      <c r="J30" s="36" t="s">
        <v>164</v>
      </c>
      <c r="K30" s="36" t="s">
        <v>164</v>
      </c>
      <c r="L30" s="36">
        <v>10.19330504479019</v>
      </c>
      <c r="M30" s="36" t="s">
        <v>164</v>
      </c>
      <c r="N30" s="36" t="s">
        <v>164</v>
      </c>
      <c r="O30" s="23"/>
      <c r="P30" s="36" t="s">
        <v>164</v>
      </c>
      <c r="Q30" s="36" t="s">
        <v>164</v>
      </c>
      <c r="S30" s="84">
        <v>0.45</v>
      </c>
      <c r="T30" s="84">
        <v>0.56999999999999995</v>
      </c>
      <c r="U30" s="84" t="s">
        <v>91</v>
      </c>
      <c r="V30" s="58"/>
      <c r="W30" s="58"/>
    </row>
    <row r="31" spans="1:26" s="47" customFormat="1" ht="18.649999999999999" customHeight="1" x14ac:dyDescent="0.35">
      <c r="A31" s="107" t="s">
        <v>57</v>
      </c>
      <c r="B31" s="107"/>
      <c r="C31" s="107"/>
      <c r="D31" s="44"/>
      <c r="E31" s="44"/>
      <c r="F31" s="45"/>
      <c r="G31" s="46" t="s">
        <v>98</v>
      </c>
      <c r="H31" s="44"/>
      <c r="I31" s="68">
        <v>6.4744883649681739</v>
      </c>
      <c r="J31" s="68">
        <v>6.1724513302038329</v>
      </c>
      <c r="K31" s="68">
        <v>12.755031565818461</v>
      </c>
      <c r="L31" s="68">
        <v>7.41242109651603</v>
      </c>
      <c r="M31" s="68">
        <v>6.5195628324685062</v>
      </c>
      <c r="N31" s="68">
        <v>13.640129031469407</v>
      </c>
      <c r="O31" s="44"/>
      <c r="P31" s="44"/>
      <c r="Q31" s="44"/>
      <c r="S31" s="92"/>
      <c r="T31" s="92"/>
      <c r="U31" s="92"/>
      <c r="V31" s="58"/>
      <c r="W31" s="58"/>
    </row>
    <row r="32" spans="1:26" x14ac:dyDescent="0.35">
      <c r="A32" s="32" t="s">
        <v>36</v>
      </c>
      <c r="B32" s="32" t="s">
        <v>24</v>
      </c>
      <c r="C32" s="32" t="s">
        <v>58</v>
      </c>
      <c r="D32" s="34" t="s">
        <v>161</v>
      </c>
      <c r="E32" s="34">
        <v>70</v>
      </c>
      <c r="F32" s="33">
        <v>127.33493951999999</v>
      </c>
      <c r="G32" s="35">
        <v>18136</v>
      </c>
      <c r="H32" s="22"/>
      <c r="I32" s="36">
        <v>7.4022623536415866</v>
      </c>
      <c r="J32" s="36">
        <v>4.525846431528624</v>
      </c>
      <c r="K32" s="36">
        <v>12.441957479891986</v>
      </c>
      <c r="L32" s="36">
        <v>7.1692940804052085</v>
      </c>
      <c r="M32" s="36">
        <v>5.6637983605854592</v>
      </c>
      <c r="N32" s="36">
        <v>13.551549725574063</v>
      </c>
      <c r="O32" s="23"/>
      <c r="P32" s="36">
        <v>10.135717964510134</v>
      </c>
      <c r="Q32" s="36">
        <v>11.193314977902483</v>
      </c>
      <c r="S32" s="84">
        <v>0.49</v>
      </c>
      <c r="T32" s="84">
        <v>0.72</v>
      </c>
      <c r="U32" s="84" t="s">
        <v>91</v>
      </c>
      <c r="V32" s="58"/>
      <c r="W32" s="58"/>
    </row>
    <row r="33" spans="1:23" s="1" customFormat="1" x14ac:dyDescent="0.35">
      <c r="A33" s="32" t="s">
        <v>163</v>
      </c>
      <c r="B33" s="32" t="s">
        <v>22</v>
      </c>
      <c r="C33" s="32" t="s">
        <v>128</v>
      </c>
      <c r="D33" s="34" t="s">
        <v>161</v>
      </c>
      <c r="E33" s="57">
        <v>67.58</v>
      </c>
      <c r="F33" s="33">
        <v>206.05183324800001</v>
      </c>
      <c r="G33" s="35">
        <v>23225</v>
      </c>
      <c r="H33" s="95"/>
      <c r="I33" s="36">
        <v>5.6007345225603355</v>
      </c>
      <c r="J33" s="36">
        <v>5.589096636041968</v>
      </c>
      <c r="K33" s="36">
        <v>12.035906286879673</v>
      </c>
      <c r="L33" s="36">
        <v>7.3755918956503574</v>
      </c>
      <c r="M33" s="36">
        <v>5.1068913393758963</v>
      </c>
      <c r="N33" s="36">
        <v>12.883910916660879</v>
      </c>
      <c r="O33" s="96"/>
      <c r="P33" s="36">
        <v>8.4786354779863231</v>
      </c>
      <c r="Q33" s="36">
        <v>11.327649279882369</v>
      </c>
      <c r="S33" s="33">
        <v>0.5</v>
      </c>
      <c r="T33" s="33">
        <v>1.23</v>
      </c>
      <c r="U33" s="33">
        <v>1.23</v>
      </c>
      <c r="V33" s="97"/>
      <c r="W33" s="97"/>
    </row>
    <row r="34" spans="1:23" s="1" customFormat="1" x14ac:dyDescent="0.35">
      <c r="A34" s="32" t="s">
        <v>88</v>
      </c>
      <c r="B34" s="32" t="s">
        <v>21</v>
      </c>
      <c r="C34" s="32" t="s">
        <v>59</v>
      </c>
      <c r="D34" s="34" t="s">
        <v>161</v>
      </c>
      <c r="E34" s="34">
        <v>68.099999999999994</v>
      </c>
      <c r="F34" s="33">
        <v>441.73316404000002</v>
      </c>
      <c r="G34" s="35">
        <v>53381</v>
      </c>
      <c r="H34" s="95"/>
      <c r="I34" s="36">
        <v>6.0819544984488161</v>
      </c>
      <c r="J34" s="36">
        <v>5.3733379146198468</v>
      </c>
      <c r="K34" s="36">
        <v>12.416588913149763</v>
      </c>
      <c r="L34" s="36">
        <v>7.590157760185634</v>
      </c>
      <c r="M34" s="36">
        <v>7.4217017940442886</v>
      </c>
      <c r="N34" s="36">
        <v>14.46662347323684</v>
      </c>
      <c r="O34" s="96"/>
      <c r="P34" s="36">
        <v>10.23274402280895</v>
      </c>
      <c r="Q34" s="36">
        <v>11.659737546680724</v>
      </c>
      <c r="S34" s="33">
        <v>0.5</v>
      </c>
      <c r="T34" s="84" t="s">
        <v>91</v>
      </c>
      <c r="U34" s="33">
        <v>0.79</v>
      </c>
      <c r="V34" s="97"/>
      <c r="W34" s="97"/>
    </row>
    <row r="35" spans="1:23" x14ac:dyDescent="0.35">
      <c r="A35" s="32" t="s">
        <v>89</v>
      </c>
      <c r="B35" s="32" t="s">
        <v>23</v>
      </c>
      <c r="C35" s="32" t="s">
        <v>106</v>
      </c>
      <c r="D35" s="34" t="s">
        <v>161</v>
      </c>
      <c r="E35" s="34">
        <v>70</v>
      </c>
      <c r="F35" s="33">
        <v>653.53135449000001</v>
      </c>
      <c r="G35" s="35">
        <v>95871</v>
      </c>
      <c r="H35" s="22"/>
      <c r="I35" s="36">
        <v>6.3253973319716605</v>
      </c>
      <c r="J35" s="36">
        <v>7.2765452859069768</v>
      </c>
      <c r="K35" s="36">
        <v>13.607162913795756</v>
      </c>
      <c r="L35" s="36">
        <v>7.1908911803492348</v>
      </c>
      <c r="M35" s="36">
        <v>6.385349257718631</v>
      </c>
      <c r="N35" s="36">
        <v>13.720486453659841</v>
      </c>
      <c r="O35" s="23"/>
      <c r="P35" s="36">
        <v>10.922328686519014</v>
      </c>
      <c r="Q35" s="36">
        <v>11.900738743298765</v>
      </c>
      <c r="S35" s="84">
        <v>0.5</v>
      </c>
      <c r="T35" s="84" t="s">
        <v>91</v>
      </c>
      <c r="U35" s="84">
        <v>0.78720000000000001</v>
      </c>
      <c r="V35" s="58"/>
      <c r="W35" s="58"/>
    </row>
    <row r="36" spans="1:23" s="1" customFormat="1" x14ac:dyDescent="0.35">
      <c r="A36" s="32" t="s">
        <v>116</v>
      </c>
      <c r="B36" s="32" t="s">
        <v>25</v>
      </c>
      <c r="C36" s="32" t="s">
        <v>121</v>
      </c>
      <c r="D36" s="34" t="s">
        <v>161</v>
      </c>
      <c r="E36" s="34">
        <v>70</v>
      </c>
      <c r="F36" s="33">
        <v>247.72351412999998</v>
      </c>
      <c r="G36" s="35">
        <v>39466</v>
      </c>
      <c r="H36" s="95"/>
      <c r="I36" s="36">
        <v>7.7101980407357829</v>
      </c>
      <c r="J36" s="36">
        <v>6.0162550900284106</v>
      </c>
      <c r="K36" s="36">
        <v>11.869565124932269</v>
      </c>
      <c r="L36" s="36">
        <v>7.8355212450002432</v>
      </c>
      <c r="M36" s="36">
        <v>6.8798853069400812</v>
      </c>
      <c r="N36" s="36">
        <v>12.628893859789958</v>
      </c>
      <c r="O36" s="96"/>
      <c r="P36" s="36">
        <v>10.389296676185756</v>
      </c>
      <c r="Q36" s="36">
        <v>11.325991100700346</v>
      </c>
      <c r="S36" s="33">
        <v>0.5</v>
      </c>
      <c r="T36" s="33">
        <v>0.87</v>
      </c>
      <c r="U36" s="84" t="s">
        <v>91</v>
      </c>
      <c r="V36" s="97"/>
      <c r="W36" s="97"/>
    </row>
    <row r="37" spans="1:23" x14ac:dyDescent="0.35">
      <c r="A37" s="32" t="s">
        <v>131</v>
      </c>
      <c r="B37" s="32" t="s">
        <v>136</v>
      </c>
      <c r="C37" s="32" t="s">
        <v>142</v>
      </c>
      <c r="D37" s="34" t="s">
        <v>162</v>
      </c>
      <c r="E37" s="34">
        <v>100</v>
      </c>
      <c r="F37" s="33">
        <v>7.2070002797999999</v>
      </c>
      <c r="G37" s="35">
        <v>758</v>
      </c>
      <c r="H37" s="22"/>
      <c r="I37" s="36">
        <v>10.167714884695989</v>
      </c>
      <c r="J37" s="36" t="s">
        <v>164</v>
      </c>
      <c r="K37" s="36" t="s">
        <v>164</v>
      </c>
      <c r="L37" s="36">
        <v>10.19330504479019</v>
      </c>
      <c r="M37" s="36" t="s">
        <v>164</v>
      </c>
      <c r="N37" s="36" t="s">
        <v>164</v>
      </c>
      <c r="O37" s="23"/>
      <c r="P37" s="36" t="s">
        <v>164</v>
      </c>
      <c r="Q37" s="36" t="s">
        <v>164</v>
      </c>
      <c r="S37" s="84">
        <v>0.45</v>
      </c>
      <c r="T37" s="84">
        <v>0.56999999999999995</v>
      </c>
      <c r="U37" s="84" t="s">
        <v>91</v>
      </c>
      <c r="V37" s="58"/>
      <c r="W37" s="58"/>
    </row>
    <row r="38" spans="1:23" s="47" customFormat="1" ht="18.649999999999999" customHeight="1" x14ac:dyDescent="0.35">
      <c r="A38" s="107" t="s">
        <v>60</v>
      </c>
      <c r="B38" s="107"/>
      <c r="C38" s="107"/>
      <c r="D38" s="44"/>
      <c r="E38" s="44"/>
      <c r="F38" s="45"/>
      <c r="G38" s="46" t="s">
        <v>98</v>
      </c>
      <c r="H38" s="44"/>
      <c r="I38" s="68">
        <v>3.7874461444060215</v>
      </c>
      <c r="J38" s="68">
        <v>2.5910162954335205</v>
      </c>
      <c r="K38" s="68">
        <v>7.270811192178277</v>
      </c>
      <c r="L38" s="68">
        <v>3.6306909304939659</v>
      </c>
      <c r="M38" s="68">
        <v>2.0674013312370723</v>
      </c>
      <c r="N38" s="68">
        <v>7.0667675473958003</v>
      </c>
      <c r="O38" s="44"/>
      <c r="P38" s="44"/>
      <c r="Q38" s="44"/>
      <c r="S38" s="92"/>
      <c r="T38" s="92"/>
      <c r="U38" s="92"/>
      <c r="V38" s="58"/>
      <c r="W38" s="58"/>
    </row>
    <row r="39" spans="1:23" x14ac:dyDescent="0.35">
      <c r="A39" s="32" t="s">
        <v>36</v>
      </c>
      <c r="B39" s="32" t="s">
        <v>27</v>
      </c>
      <c r="C39" s="32" t="s">
        <v>61</v>
      </c>
      <c r="D39" s="34" t="s">
        <v>161</v>
      </c>
      <c r="E39" s="34">
        <v>35</v>
      </c>
      <c r="F39" s="33">
        <v>99.669389319999993</v>
      </c>
      <c r="G39" s="35">
        <v>16476</v>
      </c>
      <c r="H39" s="22"/>
      <c r="I39" s="36">
        <v>3.9173182627544989</v>
      </c>
      <c r="J39" s="36">
        <v>1.2812436560754037</v>
      </c>
      <c r="K39" s="36">
        <v>7.1555792221918546</v>
      </c>
      <c r="L39" s="36">
        <v>3.7745681897878747</v>
      </c>
      <c r="M39" s="36">
        <v>2.2013064067656352</v>
      </c>
      <c r="N39" s="36">
        <v>7.6847714033068337</v>
      </c>
      <c r="O39" s="23"/>
      <c r="P39" s="36">
        <v>8.2441942516104447</v>
      </c>
      <c r="Q39" s="36">
        <v>8.7639625024927241</v>
      </c>
      <c r="S39" s="84">
        <v>0.49</v>
      </c>
      <c r="T39" s="84">
        <v>0.71000000000000008</v>
      </c>
      <c r="U39" s="84" t="s">
        <v>91</v>
      </c>
      <c r="V39" s="58"/>
      <c r="W39" s="58"/>
    </row>
    <row r="40" spans="1:23" s="1" customFormat="1" x14ac:dyDescent="0.35">
      <c r="A40" s="32" t="s">
        <v>163</v>
      </c>
      <c r="B40" s="32" t="s">
        <v>29</v>
      </c>
      <c r="C40" s="32" t="s">
        <v>129</v>
      </c>
      <c r="D40" s="34" t="s">
        <v>161</v>
      </c>
      <c r="E40" s="57">
        <v>31.75</v>
      </c>
      <c r="F40" s="33">
        <v>127.96628257430001</v>
      </c>
      <c r="G40" s="35">
        <v>17483</v>
      </c>
      <c r="H40" s="95"/>
      <c r="I40" s="36">
        <v>3.4071550255536431</v>
      </c>
      <c r="J40" s="36">
        <v>2.5152040019012167</v>
      </c>
      <c r="K40" s="36">
        <v>7.2288751528194473</v>
      </c>
      <c r="L40" s="36">
        <v>3.772976407076345</v>
      </c>
      <c r="M40" s="36">
        <v>0.27148396142804287</v>
      </c>
      <c r="N40" s="36">
        <v>6.0313681967163912</v>
      </c>
      <c r="O40" s="96"/>
      <c r="P40" s="36">
        <v>6.543290199809185</v>
      </c>
      <c r="Q40" s="36">
        <v>9.1948908096542361</v>
      </c>
      <c r="S40" s="33">
        <v>0.5</v>
      </c>
      <c r="T40" s="33">
        <v>0.86</v>
      </c>
      <c r="U40" s="33">
        <v>0.86</v>
      </c>
      <c r="V40" s="97"/>
      <c r="W40" s="97"/>
    </row>
    <row r="41" spans="1:23" s="1" customFormat="1" x14ac:dyDescent="0.35">
      <c r="A41" s="32" t="s">
        <v>88</v>
      </c>
      <c r="B41" s="32" t="s">
        <v>28</v>
      </c>
      <c r="C41" s="32" t="s">
        <v>62</v>
      </c>
      <c r="D41" s="34" t="s">
        <v>161</v>
      </c>
      <c r="E41" s="34">
        <v>35.299999999999997</v>
      </c>
      <c r="F41" s="33">
        <v>330.01760195999998</v>
      </c>
      <c r="G41" s="35">
        <v>46740</v>
      </c>
      <c r="H41" s="95"/>
      <c r="I41" s="36">
        <v>3.637204284503337</v>
      </c>
      <c r="J41" s="36">
        <v>2.216325180786094</v>
      </c>
      <c r="K41" s="36">
        <v>7.3394633208642812</v>
      </c>
      <c r="L41" s="36">
        <v>3.8565897536459781</v>
      </c>
      <c r="M41" s="36">
        <v>3.2347263773341961</v>
      </c>
      <c r="N41" s="36">
        <v>8.3280450249654248</v>
      </c>
      <c r="O41" s="96"/>
      <c r="P41" s="36">
        <v>7.5189060535146766</v>
      </c>
      <c r="Q41" s="36">
        <v>8.5809557533404419</v>
      </c>
      <c r="S41" s="33">
        <v>0.5</v>
      </c>
      <c r="T41" s="84" t="s">
        <v>91</v>
      </c>
      <c r="U41" s="33">
        <v>0.7</v>
      </c>
      <c r="V41" s="97"/>
      <c r="W41" s="97"/>
    </row>
    <row r="42" spans="1:23" x14ac:dyDescent="0.35">
      <c r="A42" s="32" t="s">
        <v>89</v>
      </c>
      <c r="B42" s="32" t="s">
        <v>26</v>
      </c>
      <c r="C42" s="32" t="s">
        <v>107</v>
      </c>
      <c r="D42" s="34" t="s">
        <v>161</v>
      </c>
      <c r="E42" s="34">
        <v>35</v>
      </c>
      <c r="F42" s="33">
        <v>490.24865923999999</v>
      </c>
      <c r="G42" s="35">
        <v>84077</v>
      </c>
      <c r="H42" s="22"/>
      <c r="I42" s="36">
        <v>3.6986817325800558</v>
      </c>
      <c r="J42" s="36">
        <v>3.3728935072843802</v>
      </c>
      <c r="K42" s="36">
        <v>8.0866857563612236</v>
      </c>
      <c r="L42" s="36">
        <v>3.3993064791716154</v>
      </c>
      <c r="M42" s="36">
        <v>1.3815619745920715</v>
      </c>
      <c r="N42" s="36">
        <v>6.8890347647417194</v>
      </c>
      <c r="O42" s="23"/>
      <c r="P42" s="36">
        <v>7.7532156390170854</v>
      </c>
      <c r="Q42" s="36">
        <v>9.3558994233442281</v>
      </c>
      <c r="S42" s="84">
        <v>0.5</v>
      </c>
      <c r="T42" s="84" t="s">
        <v>91</v>
      </c>
      <c r="U42" s="84">
        <v>0.59660000000000002</v>
      </c>
      <c r="V42" s="58"/>
      <c r="W42" s="58"/>
    </row>
    <row r="43" spans="1:23" s="1" customFormat="1" x14ac:dyDescent="0.35">
      <c r="A43" s="32" t="s">
        <v>116</v>
      </c>
      <c r="B43" s="32" t="s">
        <v>30</v>
      </c>
      <c r="C43" s="32" t="s">
        <v>122</v>
      </c>
      <c r="D43" s="34" t="s">
        <v>161</v>
      </c>
      <c r="E43" s="34">
        <v>35</v>
      </c>
      <c r="F43" s="33">
        <v>212.80373196000002</v>
      </c>
      <c r="G43" s="35">
        <v>37095</v>
      </c>
      <c r="H43" s="95"/>
      <c r="I43" s="36">
        <v>4.3863348797975599</v>
      </c>
      <c r="J43" s="36">
        <v>2.0298704260492961</v>
      </c>
      <c r="K43" s="36">
        <v>5.3639540182069956</v>
      </c>
      <c r="L43" s="36">
        <v>3.6604715503908203</v>
      </c>
      <c r="M43" s="36">
        <v>2.8543454492104825</v>
      </c>
      <c r="N43" s="36">
        <v>5.8533942253864213</v>
      </c>
      <c r="O43" s="96"/>
      <c r="P43" s="36">
        <v>6.8044766374924741</v>
      </c>
      <c r="Q43" s="36">
        <v>6.9208848578003117</v>
      </c>
      <c r="S43" s="33">
        <v>0.5</v>
      </c>
      <c r="T43" s="33">
        <v>0.7</v>
      </c>
      <c r="U43" s="84" t="s">
        <v>91</v>
      </c>
      <c r="V43" s="97"/>
      <c r="W43" s="97"/>
    </row>
    <row r="44" spans="1:23" x14ac:dyDescent="0.35">
      <c r="A44" s="32" t="s">
        <v>131</v>
      </c>
      <c r="B44" s="32" t="s">
        <v>137</v>
      </c>
      <c r="C44" s="32" t="s">
        <v>141</v>
      </c>
      <c r="D44" s="34" t="s">
        <v>162</v>
      </c>
      <c r="E44" s="34">
        <v>40</v>
      </c>
      <c r="F44" s="33">
        <v>2.6189978369000002</v>
      </c>
      <c r="G44" s="35">
        <v>301</v>
      </c>
      <c r="H44" s="22"/>
      <c r="I44" s="36">
        <v>4.3118835133865607</v>
      </c>
      <c r="J44" s="36" t="s">
        <v>164</v>
      </c>
      <c r="K44" s="36" t="s">
        <v>164</v>
      </c>
      <c r="L44" s="36">
        <v>4.3824328120610545</v>
      </c>
      <c r="M44" s="36" t="s">
        <v>164</v>
      </c>
      <c r="N44" s="36" t="s">
        <v>164</v>
      </c>
      <c r="O44" s="23"/>
      <c r="P44" s="36" t="s">
        <v>164</v>
      </c>
      <c r="Q44" s="36" t="s">
        <v>164</v>
      </c>
      <c r="S44" s="84">
        <v>0.45</v>
      </c>
      <c r="T44" s="84">
        <v>0.6</v>
      </c>
      <c r="U44" s="84" t="s">
        <v>91</v>
      </c>
      <c r="V44" s="58"/>
      <c r="W44" s="58"/>
    </row>
    <row r="45" spans="1:23" s="47" customFormat="1" ht="18.649999999999999" customHeight="1" x14ac:dyDescent="0.35">
      <c r="A45" s="108" t="s">
        <v>63</v>
      </c>
      <c r="B45" s="108"/>
      <c r="C45" s="108"/>
      <c r="D45" s="44"/>
      <c r="E45" s="44"/>
      <c r="F45" s="45"/>
      <c r="G45" s="46" t="s">
        <v>98</v>
      </c>
      <c r="H45" s="44"/>
      <c r="I45" s="68">
        <v>2.060443352866359</v>
      </c>
      <c r="J45" s="68">
        <v>-0.3046592285222488</v>
      </c>
      <c r="K45" s="68">
        <v>2.3214776760970524</v>
      </c>
      <c r="L45" s="68">
        <v>1.5344658751155413</v>
      </c>
      <c r="M45" s="68">
        <v>-1.098718178567722</v>
      </c>
      <c r="N45" s="68">
        <v>1.6638587744899962</v>
      </c>
      <c r="O45" s="44"/>
      <c r="P45" s="44"/>
      <c r="Q45" s="44"/>
      <c r="S45" s="92"/>
      <c r="T45" s="92"/>
      <c r="U45" s="92"/>
      <c r="V45" s="58"/>
      <c r="W45" s="58"/>
    </row>
    <row r="46" spans="1:23" x14ac:dyDescent="0.35">
      <c r="A46" s="32" t="s">
        <v>36</v>
      </c>
      <c r="B46" s="32" t="s">
        <v>32</v>
      </c>
      <c r="C46" s="32" t="s">
        <v>64</v>
      </c>
      <c r="D46" s="34" t="s">
        <v>161</v>
      </c>
      <c r="E46" s="34">
        <v>10</v>
      </c>
      <c r="F46" s="33">
        <v>17.966132179999999</v>
      </c>
      <c r="G46" s="35">
        <v>3316</v>
      </c>
      <c r="H46" s="22"/>
      <c r="I46" s="36">
        <v>1.6427104722792629</v>
      </c>
      <c r="J46" s="36">
        <v>-1.2767607555109639</v>
      </c>
      <c r="K46" s="36">
        <v>1.9890449893815942</v>
      </c>
      <c r="L46" s="36">
        <v>1.2237400232306239</v>
      </c>
      <c r="M46" s="36">
        <v>-0.92290259592614499</v>
      </c>
      <c r="N46" s="36">
        <v>2.2222930320686229</v>
      </c>
      <c r="O46" s="23"/>
      <c r="P46" s="36">
        <v>6.3820683917885619</v>
      </c>
      <c r="Q46" s="36">
        <v>6.8903115603580982</v>
      </c>
      <c r="S46" s="84">
        <v>0.49</v>
      </c>
      <c r="T46" s="84">
        <v>0.71000000000000008</v>
      </c>
      <c r="U46" s="84" t="s">
        <v>91</v>
      </c>
      <c r="V46" s="58"/>
      <c r="W46" s="58"/>
    </row>
    <row r="47" spans="1:23" s="1" customFormat="1" x14ac:dyDescent="0.35">
      <c r="A47" s="32" t="s">
        <v>163</v>
      </c>
      <c r="B47" s="32" t="s">
        <v>35</v>
      </c>
      <c r="C47" s="32" t="s">
        <v>130</v>
      </c>
      <c r="D47" s="34" t="s">
        <v>161</v>
      </c>
      <c r="E47" s="57">
        <v>10</v>
      </c>
      <c r="F47" s="33">
        <v>17.295014675999997</v>
      </c>
      <c r="G47" s="35">
        <v>2704</v>
      </c>
      <c r="H47" s="95"/>
      <c r="I47" s="36">
        <v>2.0752984389347917</v>
      </c>
      <c r="J47" s="36">
        <v>0.19567754157325812</v>
      </c>
      <c r="K47" s="36">
        <v>2.3366500168682469</v>
      </c>
      <c r="L47" s="36">
        <v>1.9708745799029037</v>
      </c>
      <c r="M47" s="36">
        <v>-2.2440788336752893</v>
      </c>
      <c r="N47" s="36">
        <v>0.52306265348065484</v>
      </c>
      <c r="O47" s="96"/>
      <c r="P47" s="36">
        <v>4.9859361129482078</v>
      </c>
      <c r="Q47" s="36">
        <v>7.0020174037696004</v>
      </c>
      <c r="S47" s="33">
        <v>0.5</v>
      </c>
      <c r="T47" s="33">
        <v>0.54</v>
      </c>
      <c r="U47" s="33">
        <v>0.54</v>
      </c>
      <c r="V47" s="97"/>
      <c r="W47" s="97"/>
    </row>
    <row r="48" spans="1:23" s="1" customFormat="1" x14ac:dyDescent="0.35">
      <c r="A48" s="32" t="s">
        <v>88</v>
      </c>
      <c r="B48" s="32" t="s">
        <v>33</v>
      </c>
      <c r="C48" s="32" t="s">
        <v>65</v>
      </c>
      <c r="D48" s="34" t="s">
        <v>161</v>
      </c>
      <c r="E48" s="34">
        <v>18.5</v>
      </c>
      <c r="F48" s="33">
        <v>54.67931162</v>
      </c>
      <c r="G48" s="35">
        <v>8486</v>
      </c>
      <c r="H48" s="95"/>
      <c r="I48" s="36">
        <v>2.4003664681630843</v>
      </c>
      <c r="J48" s="36">
        <v>-0.30235844849877402</v>
      </c>
      <c r="K48" s="36">
        <v>2.3683494880393008</v>
      </c>
      <c r="L48" s="36">
        <v>2.0120269753129083</v>
      </c>
      <c r="M48" s="36">
        <v>0.22090373005148045</v>
      </c>
      <c r="N48" s="36">
        <v>2.8007298084767873</v>
      </c>
      <c r="O48" s="96"/>
      <c r="P48" s="36">
        <v>5.6311419064153796</v>
      </c>
      <c r="Q48" s="36">
        <v>6.5202836527840295</v>
      </c>
      <c r="S48" s="33">
        <v>0.5</v>
      </c>
      <c r="T48" s="33">
        <v>0.68</v>
      </c>
      <c r="U48" s="84" t="s">
        <v>91</v>
      </c>
      <c r="V48" s="97"/>
      <c r="W48" s="97"/>
    </row>
    <row r="49" spans="1:23" x14ac:dyDescent="0.35">
      <c r="A49" s="32" t="s">
        <v>89</v>
      </c>
      <c r="B49" s="32" t="s">
        <v>31</v>
      </c>
      <c r="C49" s="32" t="s">
        <v>66</v>
      </c>
      <c r="D49" s="34" t="s">
        <v>161</v>
      </c>
      <c r="E49" s="34">
        <v>15</v>
      </c>
      <c r="F49" s="33">
        <v>77.4060013</v>
      </c>
      <c r="G49" s="35">
        <v>12155</v>
      </c>
      <c r="H49" s="22"/>
      <c r="I49" s="36">
        <v>1.7585638395310355</v>
      </c>
      <c r="J49" s="36">
        <v>-0.45487607121007523</v>
      </c>
      <c r="K49" s="36">
        <v>2.4189751251640468</v>
      </c>
      <c r="L49" s="36">
        <v>1.2803352705196724</v>
      </c>
      <c r="M49" s="36">
        <v>-2.6778005586454379</v>
      </c>
      <c r="N49" s="36">
        <v>0.67218895469172146</v>
      </c>
      <c r="O49" s="23"/>
      <c r="P49" s="36">
        <v>5.1894731762154755</v>
      </c>
      <c r="Q49" s="36">
        <v>7.8054796562391671</v>
      </c>
      <c r="S49" s="84">
        <v>0.5</v>
      </c>
      <c r="T49" s="84" t="s">
        <v>91</v>
      </c>
      <c r="U49" s="84">
        <v>0.52249999999999996</v>
      </c>
      <c r="V49" s="58"/>
      <c r="W49" s="58"/>
    </row>
    <row r="50" spans="1:23" s="1" customFormat="1" x14ac:dyDescent="0.35">
      <c r="A50" s="32" t="s">
        <v>116</v>
      </c>
      <c r="B50" s="32" t="s">
        <v>34</v>
      </c>
      <c r="C50" s="32" t="s">
        <v>123</v>
      </c>
      <c r="D50" s="34" t="s">
        <v>161</v>
      </c>
      <c r="E50" s="34">
        <v>15</v>
      </c>
      <c r="F50" s="33">
        <v>41.270464780000005</v>
      </c>
      <c r="G50" s="35">
        <v>7277</v>
      </c>
      <c r="H50" s="95"/>
      <c r="I50" s="36">
        <v>2.3598001110494149</v>
      </c>
      <c r="J50" s="36">
        <v>0.18754392221285165</v>
      </c>
      <c r="K50" s="36">
        <v>2.21487159909044</v>
      </c>
      <c r="L50" s="36">
        <v>1.3307698039008997</v>
      </c>
      <c r="M50" s="36">
        <v>0.51804913677944153</v>
      </c>
      <c r="N50" s="36">
        <v>2.2525376740505587</v>
      </c>
      <c r="O50" s="96"/>
      <c r="P50" s="36">
        <v>4.2249905869467845</v>
      </c>
      <c r="Q50" s="36">
        <v>3.9725045732203847</v>
      </c>
      <c r="S50" s="33">
        <v>0.5</v>
      </c>
      <c r="T50" s="33">
        <v>0.6</v>
      </c>
      <c r="U50" s="84" t="s">
        <v>91</v>
      </c>
    </row>
    <row r="51" spans="1:23" x14ac:dyDescent="0.35">
      <c r="A51" s="32" t="s">
        <v>131</v>
      </c>
      <c r="B51" s="32" t="s">
        <v>138</v>
      </c>
      <c r="C51" s="32" t="s">
        <v>140</v>
      </c>
      <c r="D51" s="34" t="s">
        <v>162</v>
      </c>
      <c r="E51" s="34">
        <v>0</v>
      </c>
      <c r="F51" s="33">
        <v>0.14459590429999999</v>
      </c>
      <c r="G51" s="35">
        <v>19</v>
      </c>
      <c r="H51" s="22"/>
      <c r="I51" s="36">
        <v>-0.19372336303757898</v>
      </c>
      <c r="J51" s="36" t="s">
        <v>164</v>
      </c>
      <c r="K51" s="36" t="s">
        <v>164</v>
      </c>
      <c r="L51" s="36">
        <v>2.8675205505646062E-2</v>
      </c>
      <c r="M51" s="36" t="s">
        <v>164</v>
      </c>
      <c r="N51" s="36" t="s">
        <v>164</v>
      </c>
      <c r="O51" s="23"/>
      <c r="P51" s="36" t="s">
        <v>164</v>
      </c>
      <c r="Q51" s="36" t="s">
        <v>164</v>
      </c>
      <c r="S51" s="84">
        <v>0.45</v>
      </c>
      <c r="T51" s="84">
        <v>0.59</v>
      </c>
      <c r="U51" s="84" t="s">
        <v>91</v>
      </c>
    </row>
    <row r="52" spans="1:23" s="47" customFormat="1" ht="18.649999999999999" customHeight="1" x14ac:dyDescent="0.35">
      <c r="A52" s="107" t="s">
        <v>67</v>
      </c>
      <c r="B52" s="107"/>
      <c r="C52" s="107"/>
      <c r="D52" s="44"/>
      <c r="E52" s="44"/>
      <c r="F52" s="45"/>
      <c r="G52" s="46" t="s">
        <v>98</v>
      </c>
      <c r="H52" s="44"/>
      <c r="I52" s="68">
        <v>1.7945126804002889</v>
      </c>
      <c r="J52" s="68">
        <v>-0.33450881680553707</v>
      </c>
      <c r="K52" s="68">
        <v>1.901692084208209</v>
      </c>
      <c r="L52" s="68">
        <v>1.2337393145903337</v>
      </c>
      <c r="M52" s="68">
        <v>-1.3006149261371724</v>
      </c>
      <c r="N52" s="68">
        <v>1.0316834378786672</v>
      </c>
      <c r="O52" s="44"/>
      <c r="P52" s="44"/>
      <c r="Q52" s="44"/>
      <c r="S52" s="92"/>
      <c r="T52" s="92"/>
      <c r="U52" s="92"/>
    </row>
    <row r="53" spans="1:23" x14ac:dyDescent="0.35">
      <c r="A53" s="32" t="s">
        <v>36</v>
      </c>
      <c r="B53" s="32" t="s">
        <v>40</v>
      </c>
      <c r="C53" s="32" t="s">
        <v>110</v>
      </c>
      <c r="D53" s="34" t="s">
        <v>161</v>
      </c>
      <c r="E53" s="57">
        <v>10</v>
      </c>
      <c r="F53" s="33">
        <v>8.6755345100000003</v>
      </c>
      <c r="G53" s="35">
        <v>2363</v>
      </c>
      <c r="H53" s="22"/>
      <c r="I53" s="36">
        <v>1.1894484412469986</v>
      </c>
      <c r="J53" s="36">
        <v>-0.95471222531506861</v>
      </c>
      <c r="K53" s="36">
        <v>1.0483332289540126</v>
      </c>
      <c r="L53" s="36">
        <v>0.71026715709365806</v>
      </c>
      <c r="M53" s="36">
        <v>-0.38885865802686936</v>
      </c>
      <c r="N53" s="36">
        <v>1.3740093872165238</v>
      </c>
      <c r="O53" s="23"/>
      <c r="P53" s="36">
        <v>4.6735311577836764</v>
      </c>
      <c r="Q53" s="36">
        <v>4.8465881799853845</v>
      </c>
      <c r="S53" s="84">
        <v>0.19</v>
      </c>
      <c r="T53" s="84">
        <v>0.35000000000000003</v>
      </c>
      <c r="U53" s="84" t="s">
        <v>91</v>
      </c>
    </row>
    <row r="54" spans="1:23" s="1" customFormat="1" x14ac:dyDescent="0.35">
      <c r="A54" s="32" t="s">
        <v>163</v>
      </c>
      <c r="B54" s="32" t="s">
        <v>38</v>
      </c>
      <c r="C54" s="32" t="s">
        <v>68</v>
      </c>
      <c r="D54" s="34" t="s">
        <v>161</v>
      </c>
      <c r="E54" s="57">
        <v>17</v>
      </c>
      <c r="F54" s="33">
        <v>10.4704210249</v>
      </c>
      <c r="G54" s="35">
        <v>1991</v>
      </c>
      <c r="H54" s="95"/>
      <c r="I54" s="36">
        <v>2.1108416419653331</v>
      </c>
      <c r="J54" s="36">
        <v>0.25048728444545532</v>
      </c>
      <c r="K54" s="36">
        <v>2.7499497802666806</v>
      </c>
      <c r="L54" s="36">
        <v>1.9983522502538209</v>
      </c>
      <c r="M54" s="36">
        <v>-0.40236420872609147</v>
      </c>
      <c r="N54" s="36">
        <v>2.6197581684388016</v>
      </c>
      <c r="O54" s="96"/>
      <c r="P54" s="36">
        <v>4.3913568230274045</v>
      </c>
      <c r="Q54" s="36">
        <v>4.6389796005277582</v>
      </c>
      <c r="S54" s="33">
        <v>0.2</v>
      </c>
      <c r="T54" s="33">
        <v>0.3</v>
      </c>
      <c r="U54" s="33">
        <v>0.3</v>
      </c>
    </row>
    <row r="55" spans="1:23" s="1" customFormat="1" x14ac:dyDescent="0.35">
      <c r="A55" s="32" t="s">
        <v>88</v>
      </c>
      <c r="B55" s="32" t="s">
        <v>37</v>
      </c>
      <c r="C55" s="32" t="s">
        <v>69</v>
      </c>
      <c r="D55" s="34" t="s">
        <v>161</v>
      </c>
      <c r="E55" s="57">
        <v>15</v>
      </c>
      <c r="F55" s="33">
        <v>40.61919177</v>
      </c>
      <c r="G55" s="35">
        <v>5630</v>
      </c>
      <c r="H55" s="95"/>
      <c r="I55" s="36">
        <v>1.8741258741258759</v>
      </c>
      <c r="J55" s="36">
        <v>-0.24590263184445238</v>
      </c>
      <c r="K55" s="36">
        <v>2.1341684359550861</v>
      </c>
      <c r="L55" s="36">
        <v>1.3654304737009904</v>
      </c>
      <c r="M55" s="36">
        <v>-0.57989567365299699</v>
      </c>
      <c r="N55" s="36">
        <v>1.8225586261438664</v>
      </c>
      <c r="O55" s="96"/>
      <c r="P55" s="36">
        <v>4.9432855707281176</v>
      </c>
      <c r="Q55" s="36">
        <v>5.9970478346794698</v>
      </c>
      <c r="S55" s="33">
        <v>0.2</v>
      </c>
      <c r="T55" s="33">
        <v>0.32</v>
      </c>
      <c r="U55" s="84" t="s">
        <v>91</v>
      </c>
    </row>
    <row r="56" spans="1:23" x14ac:dyDescent="0.35">
      <c r="A56" s="32" t="s">
        <v>89</v>
      </c>
      <c r="B56" s="32" t="s">
        <v>39</v>
      </c>
      <c r="C56" s="32" t="s">
        <v>70</v>
      </c>
      <c r="D56" s="34" t="s">
        <v>161</v>
      </c>
      <c r="E56" s="57">
        <v>15</v>
      </c>
      <c r="F56" s="33">
        <v>52.474123609999999</v>
      </c>
      <c r="G56" s="35">
        <v>6885</v>
      </c>
      <c r="H56" s="22"/>
      <c r="I56" s="36">
        <v>1.7290799815071756</v>
      </c>
      <c r="J56" s="36">
        <v>2.7282649589377428E-2</v>
      </c>
      <c r="K56" s="36">
        <v>2.3648795556395319</v>
      </c>
      <c r="L56" s="36">
        <v>1.2802046765066244</v>
      </c>
      <c r="M56" s="36">
        <v>-2.6778478766189551</v>
      </c>
      <c r="N56" s="36">
        <v>9.5802040271442124E-2</v>
      </c>
      <c r="O56" s="23"/>
      <c r="P56" s="36">
        <v>5.2969705831025617</v>
      </c>
      <c r="Q56" s="36">
        <v>7.8055058525768439</v>
      </c>
      <c r="S56" s="84">
        <v>0.2</v>
      </c>
      <c r="T56" s="84" t="s">
        <v>91</v>
      </c>
      <c r="U56" s="84">
        <v>0.22639999999999999</v>
      </c>
    </row>
    <row r="57" spans="1:23" s="1" customFormat="1" x14ac:dyDescent="0.35">
      <c r="A57" s="32" t="s">
        <v>116</v>
      </c>
      <c r="B57" s="32" t="s">
        <v>41</v>
      </c>
      <c r="C57" s="32" t="s">
        <v>148</v>
      </c>
      <c r="D57" s="34" t="s">
        <v>161</v>
      </c>
      <c r="E57" s="57">
        <v>10</v>
      </c>
      <c r="F57" s="33">
        <v>23.489563969999999</v>
      </c>
      <c r="G57" s="35">
        <v>5891</v>
      </c>
      <c r="H57" s="95"/>
      <c r="I57" s="36">
        <v>1.9175926836463741</v>
      </c>
      <c r="J57" s="36">
        <v>-1.3276460747667862</v>
      </c>
      <c r="K57" s="36">
        <v>0.40202060430125641</v>
      </c>
      <c r="L57" s="36">
        <v>0.75472505125306899</v>
      </c>
      <c r="M57" s="36">
        <v>-0.20740508957978188</v>
      </c>
      <c r="N57" s="36">
        <v>0.92044993714646139</v>
      </c>
      <c r="O57" s="96"/>
      <c r="P57" s="36">
        <v>3.9770742131084633</v>
      </c>
      <c r="Q57" s="36">
        <v>3.4997270887927479</v>
      </c>
      <c r="S57" s="33">
        <v>0.2</v>
      </c>
      <c r="T57" s="33">
        <v>0.33</v>
      </c>
      <c r="U57" s="84" t="s">
        <v>91</v>
      </c>
    </row>
    <row r="58" spans="1:23" x14ac:dyDescent="0.35">
      <c r="A58" s="32" t="s">
        <v>131</v>
      </c>
      <c r="B58" s="32" t="s">
        <v>139</v>
      </c>
      <c r="C58" s="32" t="s">
        <v>147</v>
      </c>
      <c r="D58" s="34" t="s">
        <v>162</v>
      </c>
      <c r="E58" s="34">
        <v>0</v>
      </c>
      <c r="F58" s="33">
        <v>0.36708741449999999</v>
      </c>
      <c r="G58" s="35">
        <v>26</v>
      </c>
      <c r="H58" s="22"/>
      <c r="I58" s="36">
        <v>-0.26014066865788221</v>
      </c>
      <c r="J58" s="36" t="s">
        <v>164</v>
      </c>
      <c r="K58" s="36" t="s">
        <v>164</v>
      </c>
      <c r="L58" s="36">
        <v>-0.15436565364207455</v>
      </c>
      <c r="M58" s="36" t="s">
        <v>164</v>
      </c>
      <c r="N58" s="36" t="s">
        <v>164</v>
      </c>
      <c r="O58" s="23"/>
      <c r="P58" s="36" t="s">
        <v>164</v>
      </c>
      <c r="Q58" s="36" t="s">
        <v>164</v>
      </c>
      <c r="S58" s="84">
        <v>0.18</v>
      </c>
      <c r="T58" s="84">
        <v>0.34</v>
      </c>
      <c r="U58" s="84" t="s">
        <v>91</v>
      </c>
    </row>
    <row r="59" spans="1:23" x14ac:dyDescent="0.35">
      <c r="D59" s="8"/>
      <c r="E59" s="20"/>
      <c r="F59" s="21"/>
      <c r="G59" s="9"/>
      <c r="H59" s="7"/>
      <c r="I59" s="10"/>
      <c r="J59" s="10"/>
      <c r="K59" s="10"/>
      <c r="L59" s="11"/>
      <c r="M59" s="11"/>
      <c r="N59" s="11"/>
      <c r="O59" s="12"/>
      <c r="P59" s="13"/>
      <c r="Q59" s="14"/>
      <c r="R59" s="1"/>
      <c r="S59" s="14"/>
      <c r="T59" s="14"/>
      <c r="U59" s="14"/>
    </row>
    <row r="60" spans="1:23" s="43" customFormat="1" x14ac:dyDescent="0.35">
      <c r="A60" s="37"/>
      <c r="B60" s="37"/>
      <c r="C60" s="37"/>
      <c r="D60" s="37"/>
      <c r="E60" s="38"/>
      <c r="F60" s="39"/>
      <c r="G60" s="40" t="s">
        <v>109</v>
      </c>
      <c r="H60" s="41"/>
      <c r="I60" s="41">
        <v>7.0547760892594331</v>
      </c>
      <c r="J60" s="41">
        <v>6.2227589915177486</v>
      </c>
      <c r="K60" s="41">
        <v>12.407804526793406</v>
      </c>
      <c r="L60" s="41">
        <v>8.2277772193383623</v>
      </c>
      <c r="M60" s="41">
        <v>6.8008601412437573</v>
      </c>
      <c r="N60" s="41">
        <v>13.734881969727322</v>
      </c>
      <c r="O60" s="41"/>
      <c r="P60" s="41"/>
      <c r="Q60" s="41"/>
      <c r="R60" s="42"/>
      <c r="S60" s="41"/>
      <c r="T60" s="41"/>
      <c r="U60" s="41"/>
    </row>
    <row r="61" spans="1:23" x14ac:dyDescent="0.35">
      <c r="A61" s="15"/>
      <c r="B61" s="15"/>
      <c r="C61" s="15"/>
      <c r="D61" s="15"/>
      <c r="E61" s="15"/>
      <c r="F61" s="15"/>
      <c r="G61" s="15"/>
      <c r="H61" s="15"/>
      <c r="I61" s="15"/>
      <c r="J61" s="15"/>
      <c r="K61" s="15"/>
      <c r="L61" s="15"/>
      <c r="M61" s="15"/>
      <c r="N61" s="15"/>
      <c r="O61" s="15"/>
      <c r="P61" s="15"/>
      <c r="Q61" s="15"/>
      <c r="R61" s="1"/>
    </row>
    <row r="62" spans="1:23" s="50" customFormat="1" ht="13.5" x14ac:dyDescent="0.3">
      <c r="A62" s="49" t="s">
        <v>82</v>
      </c>
      <c r="B62" s="49"/>
      <c r="C62" s="49"/>
      <c r="D62" s="49"/>
      <c r="E62" s="49"/>
      <c r="F62" s="49"/>
      <c r="G62" s="49"/>
      <c r="H62" s="49"/>
      <c r="I62" s="49"/>
      <c r="J62" s="49"/>
      <c r="K62" s="49"/>
      <c r="L62" s="49"/>
      <c r="M62" s="49"/>
      <c r="N62" s="49"/>
      <c r="O62" s="49"/>
      <c r="P62" s="49"/>
    </row>
    <row r="63" spans="1:23" s="50" customFormat="1" ht="13.5" x14ac:dyDescent="0.3">
      <c r="A63" s="49" t="s">
        <v>93</v>
      </c>
      <c r="B63" s="49"/>
      <c r="C63" s="49"/>
      <c r="D63" s="49"/>
      <c r="E63" s="49"/>
      <c r="F63" s="72"/>
      <c r="G63" s="72"/>
      <c r="H63" s="49"/>
      <c r="I63" s="49"/>
      <c r="J63" s="49"/>
      <c r="K63" s="49"/>
      <c r="L63" s="49"/>
      <c r="M63" s="49"/>
      <c r="N63" s="49"/>
      <c r="O63" s="49"/>
      <c r="P63" s="49"/>
    </row>
    <row r="64" spans="1:23" s="50" customFormat="1" ht="13.5" x14ac:dyDescent="0.3">
      <c r="A64" s="49" t="s">
        <v>95</v>
      </c>
      <c r="B64" s="49"/>
      <c r="C64" s="49"/>
      <c r="D64" s="49"/>
      <c r="E64" s="49"/>
      <c r="F64" s="49"/>
      <c r="G64" s="49"/>
      <c r="H64" s="49"/>
      <c r="I64" s="49"/>
      <c r="J64" s="49"/>
      <c r="K64" s="49"/>
      <c r="L64" s="49"/>
      <c r="M64" s="49"/>
      <c r="N64" s="49"/>
      <c r="O64" s="49"/>
      <c r="P64" s="49"/>
    </row>
    <row r="65" spans="1:18" s="50" customFormat="1" ht="13.5" x14ac:dyDescent="0.3">
      <c r="A65" s="49" t="s">
        <v>96</v>
      </c>
      <c r="B65" s="49"/>
      <c r="C65" s="49"/>
      <c r="D65" s="49"/>
      <c r="E65" s="49"/>
      <c r="F65" s="49"/>
      <c r="G65" s="49"/>
      <c r="H65" s="49"/>
      <c r="I65" s="49"/>
      <c r="J65" s="49"/>
      <c r="K65" s="49"/>
      <c r="L65" s="49"/>
      <c r="M65" s="49"/>
      <c r="N65" s="49"/>
      <c r="O65" s="49"/>
      <c r="P65" s="49"/>
    </row>
    <row r="66" spans="1:18" s="50" customFormat="1" ht="13.5" x14ac:dyDescent="0.3">
      <c r="A66" s="91" t="s">
        <v>165</v>
      </c>
      <c r="B66" s="51"/>
      <c r="C66" s="51"/>
      <c r="D66" s="51"/>
      <c r="E66" s="51"/>
      <c r="F66" s="51"/>
      <c r="G66" s="51"/>
      <c r="H66" s="51"/>
      <c r="I66" s="51"/>
      <c r="J66" s="51"/>
      <c r="K66" s="51"/>
      <c r="L66" s="51"/>
      <c r="M66" s="51"/>
      <c r="N66" s="51"/>
      <c r="O66" s="51"/>
      <c r="P66" s="51"/>
    </row>
    <row r="67" spans="1:18" s="50" customFormat="1" ht="13.5" x14ac:dyDescent="0.3">
      <c r="A67" s="52" t="s">
        <v>115</v>
      </c>
      <c r="B67" s="51"/>
      <c r="C67" s="51"/>
      <c r="D67" s="51"/>
      <c r="E67" s="51"/>
      <c r="F67" s="51"/>
      <c r="G67" s="51"/>
      <c r="H67" s="51"/>
      <c r="I67" s="51"/>
      <c r="J67" s="51"/>
      <c r="K67" s="51"/>
      <c r="L67" s="51"/>
      <c r="M67" s="51"/>
      <c r="N67" s="51"/>
      <c r="O67" s="51"/>
      <c r="P67" s="51"/>
    </row>
    <row r="68" spans="1:18" s="50" customFormat="1" ht="13.5" x14ac:dyDescent="0.3">
      <c r="A68" s="51" t="s">
        <v>101</v>
      </c>
      <c r="B68" s="51"/>
      <c r="C68" s="51"/>
      <c r="D68" s="51"/>
      <c r="E68" s="51"/>
      <c r="F68" s="51"/>
      <c r="G68" s="51"/>
      <c r="H68" s="51"/>
      <c r="I68" s="51"/>
      <c r="J68" s="51"/>
      <c r="K68" s="51"/>
      <c r="L68" s="51"/>
      <c r="M68" s="51"/>
      <c r="N68" s="51"/>
      <c r="O68" s="51"/>
      <c r="P68" s="51"/>
    </row>
    <row r="69" spans="1:18" s="50" customFormat="1" ht="13.5" x14ac:dyDescent="0.3">
      <c r="A69" s="51" t="s">
        <v>108</v>
      </c>
      <c r="B69" s="51"/>
      <c r="C69" s="51"/>
      <c r="D69" s="51"/>
      <c r="E69" s="51"/>
      <c r="F69" s="51"/>
      <c r="G69" s="51"/>
      <c r="H69" s="51"/>
      <c r="I69" s="51"/>
      <c r="J69" s="51"/>
      <c r="K69" s="51"/>
      <c r="L69" s="51"/>
      <c r="M69" s="51"/>
      <c r="N69" s="51"/>
      <c r="O69" s="51"/>
      <c r="P69" s="51"/>
    </row>
    <row r="70" spans="1:18" x14ac:dyDescent="0.35">
      <c r="A70" s="49" t="s">
        <v>152</v>
      </c>
      <c r="D70" s="7"/>
      <c r="E70" s="7"/>
      <c r="F70" s="7"/>
      <c r="G70" s="7"/>
      <c r="H70" s="7"/>
      <c r="I70" s="7"/>
      <c r="J70" s="7"/>
      <c r="K70" s="7"/>
      <c r="L70" s="7"/>
      <c r="M70" s="7"/>
      <c r="N70" s="7"/>
      <c r="O70" s="7"/>
      <c r="P70" s="7"/>
    </row>
    <row r="71" spans="1:18" x14ac:dyDescent="0.35">
      <c r="A71" s="49" t="s">
        <v>153</v>
      </c>
    </row>
    <row r="72" spans="1:18" x14ac:dyDescent="0.35">
      <c r="A72" s="49" t="s">
        <v>155</v>
      </c>
    </row>
    <row r="73" spans="1:18" x14ac:dyDescent="0.35">
      <c r="A73" s="49" t="s">
        <v>167</v>
      </c>
      <c r="E73" s="65"/>
      <c r="F73" s="65"/>
      <c r="G73" s="65"/>
    </row>
    <row r="74" spans="1:18" x14ac:dyDescent="0.35">
      <c r="A74" s="89"/>
      <c r="E74" s="65"/>
      <c r="F74" s="65"/>
      <c r="G74" s="65"/>
      <c r="I74" s="59"/>
      <c r="J74" s="59"/>
      <c r="K74" s="59"/>
      <c r="L74" s="59"/>
      <c r="M74" s="59"/>
      <c r="N74" s="59"/>
      <c r="O74" s="59"/>
      <c r="P74" s="59"/>
      <c r="Q74" s="59"/>
      <c r="R74" s="59"/>
    </row>
    <row r="75" spans="1:18" x14ac:dyDescent="0.35">
      <c r="A75" s="85"/>
      <c r="E75" s="5"/>
      <c r="F75" s="65"/>
      <c r="G75" s="60"/>
      <c r="I75" s="62"/>
      <c r="J75" s="62"/>
      <c r="K75" s="62"/>
      <c r="L75" s="61"/>
      <c r="M75" s="61"/>
      <c r="N75" s="61"/>
      <c r="O75" s="59"/>
      <c r="P75" s="59"/>
      <c r="Q75" s="59"/>
      <c r="R75" s="59"/>
    </row>
    <row r="76" spans="1:18" x14ac:dyDescent="0.35">
      <c r="A76" s="85"/>
      <c r="E76" s="48"/>
      <c r="F76" s="48"/>
      <c r="G76" s="48"/>
      <c r="J76" s="48"/>
      <c r="K76" s="48"/>
      <c r="L76" s="81"/>
      <c r="M76" s="81"/>
      <c r="N76" s="81"/>
    </row>
    <row r="77" spans="1:18" x14ac:dyDescent="0.35">
      <c r="A77" s="85"/>
      <c r="E77" s="5"/>
      <c r="F77" s="65"/>
      <c r="G77" s="60"/>
      <c r="I77" s="78"/>
      <c r="J77" s="78"/>
      <c r="K77" s="78"/>
      <c r="L77" s="83"/>
      <c r="M77" s="81"/>
      <c r="N77" s="81"/>
      <c r="P77" s="77"/>
      <c r="Q77" s="77"/>
    </row>
    <row r="78" spans="1:18" x14ac:dyDescent="0.35">
      <c r="A78" s="85"/>
      <c r="E78" s="48"/>
      <c r="F78" s="48"/>
      <c r="G78" s="48"/>
      <c r="I78" s="78"/>
      <c r="J78" s="78"/>
      <c r="K78" s="78"/>
      <c r="L78" s="78"/>
      <c r="M78" s="78"/>
      <c r="N78" s="78"/>
      <c r="P78" s="78"/>
      <c r="Q78" s="78"/>
    </row>
    <row r="79" spans="1:18" x14ac:dyDescent="0.35">
      <c r="A79" s="85"/>
      <c r="E79" s="5"/>
      <c r="F79" s="65"/>
      <c r="G79" s="60"/>
      <c r="I79" s="79"/>
      <c r="J79" s="80"/>
      <c r="K79" s="80"/>
      <c r="L79" s="76"/>
      <c r="M79" s="78"/>
      <c r="N79" s="78"/>
      <c r="P79" s="78"/>
      <c r="Q79" s="78"/>
    </row>
    <row r="80" spans="1:18" x14ac:dyDescent="0.35">
      <c r="A80" s="85"/>
      <c r="E80" s="82"/>
      <c r="F80" s="82"/>
      <c r="G80" s="82"/>
      <c r="I80" s="48"/>
      <c r="J80" s="58"/>
      <c r="K80" s="58"/>
      <c r="L80" s="61"/>
    </row>
    <row r="81" spans="1:11" x14ac:dyDescent="0.35">
      <c r="A81" s="85"/>
      <c r="D81" s="75"/>
      <c r="E81" s="82"/>
      <c r="F81" s="82"/>
      <c r="G81" s="82"/>
    </row>
    <row r="82" spans="1:11" x14ac:dyDescent="0.35">
      <c r="A82" s="85"/>
      <c r="D82" s="75"/>
      <c r="E82" s="6"/>
      <c r="G82" s="58"/>
      <c r="H82" s="58"/>
      <c r="I82" s="58"/>
    </row>
    <row r="83" spans="1:11" x14ac:dyDescent="0.35">
      <c r="G83" s="61"/>
      <c r="H83" s="74"/>
      <c r="I83" s="61"/>
      <c r="J83" s="74"/>
      <c r="K83" s="74"/>
    </row>
    <row r="85" spans="1:11" x14ac:dyDescent="0.35">
      <c r="F85" s="71"/>
    </row>
  </sheetData>
  <mergeCells count="14">
    <mergeCell ref="A38:C38"/>
    <mergeCell ref="A45:C45"/>
    <mergeCell ref="A52:C52"/>
    <mergeCell ref="A3:C3"/>
    <mergeCell ref="A10:C10"/>
    <mergeCell ref="A17:C17"/>
    <mergeCell ref="A24:C24"/>
    <mergeCell ref="A31:C31"/>
    <mergeCell ref="S1:U1"/>
    <mergeCell ref="D1:D2"/>
    <mergeCell ref="F1:F2"/>
    <mergeCell ref="G1:G2"/>
    <mergeCell ref="P1:Q1"/>
    <mergeCell ref="I1:M1"/>
  </mergeCells>
  <phoneticPr fontId="33" type="noConversion"/>
  <conditionalFormatting sqref="I59:K59">
    <cfRule type="top10" dxfId="342" priority="566" percent="1" rank="10"/>
  </conditionalFormatting>
  <conditionalFormatting sqref="P53:Q57 P11:Q15 P18:Q22 P25:Q29 P32:Q36 P39:Q43 P46:Q50 P4:Q9">
    <cfRule type="cellIs" dxfId="341" priority="487" operator="greaterThanOrEqual">
      <formula>0</formula>
    </cfRule>
    <cfRule type="cellIs" dxfId="340" priority="488" operator="lessThan">
      <formula>0</formula>
    </cfRule>
  </conditionalFormatting>
  <conditionalFormatting sqref="I4:I8">
    <cfRule type="cellIs" dxfId="339" priority="369" operator="greaterThanOrEqual">
      <formula>0</formula>
    </cfRule>
    <cfRule type="cellIs" dxfId="338" priority="370" operator="lessThan">
      <formula>0</formula>
    </cfRule>
  </conditionalFormatting>
  <conditionalFormatting sqref="J4:N4 J5:L8 M5:N9">
    <cfRule type="cellIs" dxfId="337" priority="367" operator="greaterThanOrEqual">
      <formula>0</formula>
    </cfRule>
    <cfRule type="cellIs" dxfId="336" priority="368" operator="lessThan">
      <formula>0</formula>
    </cfRule>
  </conditionalFormatting>
  <conditionalFormatting sqref="I11:I15">
    <cfRule type="cellIs" dxfId="335" priority="365" operator="greaterThanOrEqual">
      <formula>0</formula>
    </cfRule>
    <cfRule type="cellIs" dxfId="334" priority="366" operator="lessThan">
      <formula>0</formula>
    </cfRule>
  </conditionalFormatting>
  <conditionalFormatting sqref="L11:L15">
    <cfRule type="cellIs" dxfId="333" priority="363" operator="greaterThanOrEqual">
      <formula>0</formula>
    </cfRule>
    <cfRule type="cellIs" dxfId="332" priority="364" operator="lessThan">
      <formula>0</formula>
    </cfRule>
  </conditionalFormatting>
  <conditionalFormatting sqref="I18:I22">
    <cfRule type="cellIs" dxfId="331" priority="361" operator="greaterThanOrEqual">
      <formula>0</formula>
    </cfRule>
    <cfRule type="cellIs" dxfId="330" priority="362" operator="lessThan">
      <formula>0</formula>
    </cfRule>
  </conditionalFormatting>
  <conditionalFormatting sqref="L18:L22">
    <cfRule type="cellIs" dxfId="329" priority="359" operator="greaterThanOrEqual">
      <formula>0</formula>
    </cfRule>
    <cfRule type="cellIs" dxfId="328" priority="360" operator="lessThan">
      <formula>0</formula>
    </cfRule>
  </conditionalFormatting>
  <conditionalFormatting sqref="I25:I29">
    <cfRule type="cellIs" dxfId="327" priority="357" operator="greaterThanOrEqual">
      <formula>0</formula>
    </cfRule>
    <cfRule type="cellIs" dxfId="326" priority="358" operator="lessThan">
      <formula>0</formula>
    </cfRule>
  </conditionalFormatting>
  <conditionalFormatting sqref="L25:L29">
    <cfRule type="cellIs" dxfId="325" priority="355" operator="greaterThanOrEqual">
      <formula>0</formula>
    </cfRule>
    <cfRule type="cellIs" dxfId="324" priority="356" operator="lessThan">
      <formula>0</formula>
    </cfRule>
  </conditionalFormatting>
  <conditionalFormatting sqref="I32:I36">
    <cfRule type="cellIs" dxfId="323" priority="353" operator="greaterThanOrEqual">
      <formula>0</formula>
    </cfRule>
    <cfRule type="cellIs" dxfId="322" priority="354" operator="lessThan">
      <formula>0</formula>
    </cfRule>
  </conditionalFormatting>
  <conditionalFormatting sqref="L32:L36">
    <cfRule type="cellIs" dxfId="321" priority="351" operator="greaterThanOrEqual">
      <formula>0</formula>
    </cfRule>
    <cfRule type="cellIs" dxfId="320" priority="352" operator="lessThan">
      <formula>0</formula>
    </cfRule>
  </conditionalFormatting>
  <conditionalFormatting sqref="I39:I43">
    <cfRule type="cellIs" dxfId="319" priority="349" operator="greaterThanOrEqual">
      <formula>0</formula>
    </cfRule>
    <cfRule type="cellIs" dxfId="318" priority="350" operator="lessThan">
      <formula>0</formula>
    </cfRule>
  </conditionalFormatting>
  <conditionalFormatting sqref="L39:L43">
    <cfRule type="cellIs" dxfId="317" priority="347" operator="greaterThanOrEqual">
      <formula>0</formula>
    </cfRule>
    <cfRule type="cellIs" dxfId="316" priority="348" operator="lessThan">
      <formula>0</formula>
    </cfRule>
  </conditionalFormatting>
  <conditionalFormatting sqref="I46:I50">
    <cfRule type="cellIs" dxfId="315" priority="345" operator="greaterThanOrEqual">
      <formula>0</formula>
    </cfRule>
    <cfRule type="cellIs" dxfId="314" priority="346" operator="lessThan">
      <formula>0</formula>
    </cfRule>
  </conditionalFormatting>
  <conditionalFormatting sqref="L46:L50">
    <cfRule type="cellIs" dxfId="313" priority="343" operator="greaterThanOrEqual">
      <formula>0</formula>
    </cfRule>
    <cfRule type="cellIs" dxfId="312" priority="344" operator="lessThan">
      <formula>0</formula>
    </cfRule>
  </conditionalFormatting>
  <conditionalFormatting sqref="I53:I57">
    <cfRule type="cellIs" dxfId="311" priority="341" operator="greaterThanOrEqual">
      <formula>0</formula>
    </cfRule>
    <cfRule type="cellIs" dxfId="310" priority="342" operator="lessThan">
      <formula>0</formula>
    </cfRule>
  </conditionalFormatting>
  <conditionalFormatting sqref="L53:L57">
    <cfRule type="cellIs" dxfId="309" priority="339" operator="greaterThanOrEqual">
      <formula>0</formula>
    </cfRule>
    <cfRule type="cellIs" dxfId="308" priority="340" operator="lessThan">
      <formula>0</formula>
    </cfRule>
  </conditionalFormatting>
  <conditionalFormatting sqref="I3">
    <cfRule type="cellIs" dxfId="307" priority="309" operator="greaterThanOrEqual">
      <formula>0</formula>
    </cfRule>
    <cfRule type="cellIs" dxfId="306" priority="310" operator="lessThan">
      <formula>0</formula>
    </cfRule>
  </conditionalFormatting>
  <conditionalFormatting sqref="J3:N3">
    <cfRule type="cellIs" dxfId="305" priority="307" operator="greaterThanOrEqual">
      <formula>0</formula>
    </cfRule>
    <cfRule type="cellIs" dxfId="304" priority="308" operator="lessThan">
      <formula>0</formula>
    </cfRule>
  </conditionalFormatting>
  <conditionalFormatting sqref="I10">
    <cfRule type="cellIs" dxfId="303" priority="277" operator="greaterThanOrEqual">
      <formula>0</formula>
    </cfRule>
    <cfRule type="cellIs" dxfId="302" priority="278" operator="lessThan">
      <formula>0</formula>
    </cfRule>
  </conditionalFormatting>
  <conditionalFormatting sqref="J10 L10:M10">
    <cfRule type="cellIs" dxfId="301" priority="275" operator="greaterThanOrEqual">
      <formula>0</formula>
    </cfRule>
    <cfRule type="cellIs" dxfId="300" priority="276" operator="lessThan">
      <formula>0</formula>
    </cfRule>
  </conditionalFormatting>
  <conditionalFormatting sqref="I17">
    <cfRule type="cellIs" dxfId="299" priority="273" operator="greaterThanOrEqual">
      <formula>0</formula>
    </cfRule>
    <cfRule type="cellIs" dxfId="298" priority="274" operator="lessThan">
      <formula>0</formula>
    </cfRule>
  </conditionalFormatting>
  <conditionalFormatting sqref="J17 L17:M17">
    <cfRule type="cellIs" dxfId="297" priority="271" operator="greaterThanOrEqual">
      <formula>0</formula>
    </cfRule>
    <cfRule type="cellIs" dxfId="296" priority="272" operator="lessThan">
      <formula>0</formula>
    </cfRule>
  </conditionalFormatting>
  <conditionalFormatting sqref="I24">
    <cfRule type="cellIs" dxfId="295" priority="269" operator="greaterThanOrEqual">
      <formula>0</formula>
    </cfRule>
    <cfRule type="cellIs" dxfId="294" priority="270" operator="lessThan">
      <formula>0</formula>
    </cfRule>
  </conditionalFormatting>
  <conditionalFormatting sqref="J24 L24:M24">
    <cfRule type="cellIs" dxfId="293" priority="267" operator="greaterThanOrEqual">
      <formula>0</formula>
    </cfRule>
    <cfRule type="cellIs" dxfId="292" priority="268" operator="lessThan">
      <formula>0</formula>
    </cfRule>
  </conditionalFormatting>
  <conditionalFormatting sqref="I31">
    <cfRule type="cellIs" dxfId="291" priority="265" operator="greaterThanOrEqual">
      <formula>0</formula>
    </cfRule>
    <cfRule type="cellIs" dxfId="290" priority="266" operator="lessThan">
      <formula>0</formula>
    </cfRule>
  </conditionalFormatting>
  <conditionalFormatting sqref="J31 L31:M31">
    <cfRule type="cellIs" dxfId="289" priority="263" operator="greaterThanOrEqual">
      <formula>0</formula>
    </cfRule>
    <cfRule type="cellIs" dxfId="288" priority="264" operator="lessThan">
      <formula>0</formula>
    </cfRule>
  </conditionalFormatting>
  <conditionalFormatting sqref="I38">
    <cfRule type="cellIs" dxfId="287" priority="261" operator="greaterThanOrEqual">
      <formula>0</formula>
    </cfRule>
    <cfRule type="cellIs" dxfId="286" priority="262" operator="lessThan">
      <formula>0</formula>
    </cfRule>
  </conditionalFormatting>
  <conditionalFormatting sqref="J38 L38:M38">
    <cfRule type="cellIs" dxfId="285" priority="259" operator="greaterThanOrEqual">
      <formula>0</formula>
    </cfRule>
    <cfRule type="cellIs" dxfId="284" priority="260" operator="lessThan">
      <formula>0</formula>
    </cfRule>
  </conditionalFormatting>
  <conditionalFormatting sqref="I45">
    <cfRule type="cellIs" dxfId="283" priority="257" operator="greaterThanOrEqual">
      <formula>0</formula>
    </cfRule>
    <cfRule type="cellIs" dxfId="282" priority="258" operator="lessThan">
      <formula>0</formula>
    </cfRule>
  </conditionalFormatting>
  <conditionalFormatting sqref="J45 L45:M45">
    <cfRule type="cellIs" dxfId="281" priority="255" operator="greaterThanOrEqual">
      <formula>0</formula>
    </cfRule>
    <cfRule type="cellIs" dxfId="280" priority="256" operator="lessThan">
      <formula>0</formula>
    </cfRule>
  </conditionalFormatting>
  <conditionalFormatting sqref="I52">
    <cfRule type="cellIs" dxfId="279" priority="253" operator="greaterThanOrEqual">
      <formula>0</formula>
    </cfRule>
    <cfRule type="cellIs" dxfId="278" priority="254" operator="lessThan">
      <formula>0</formula>
    </cfRule>
  </conditionalFormatting>
  <conditionalFormatting sqref="J52 L52:M52">
    <cfRule type="cellIs" dxfId="277" priority="251" operator="greaterThanOrEqual">
      <formula>0</formula>
    </cfRule>
    <cfRule type="cellIs" dxfId="276" priority="252" operator="lessThan">
      <formula>0</formula>
    </cfRule>
  </conditionalFormatting>
  <conditionalFormatting sqref="J11:J15">
    <cfRule type="cellIs" dxfId="275" priority="249" operator="greaterThanOrEqual">
      <formula>0</formula>
    </cfRule>
    <cfRule type="cellIs" dxfId="274" priority="250" operator="lessThan">
      <formula>0</formula>
    </cfRule>
  </conditionalFormatting>
  <conditionalFormatting sqref="J18:J22">
    <cfRule type="cellIs" dxfId="273" priority="247" operator="greaterThanOrEqual">
      <formula>0</formula>
    </cfRule>
    <cfRule type="cellIs" dxfId="272" priority="248" operator="lessThan">
      <formula>0</formula>
    </cfRule>
  </conditionalFormatting>
  <conditionalFormatting sqref="J25:J29">
    <cfRule type="cellIs" dxfId="271" priority="245" operator="greaterThanOrEqual">
      <formula>0</formula>
    </cfRule>
    <cfRule type="cellIs" dxfId="270" priority="246" operator="lessThan">
      <formula>0</formula>
    </cfRule>
  </conditionalFormatting>
  <conditionalFormatting sqref="J32:J36">
    <cfRule type="cellIs" dxfId="269" priority="243" operator="greaterThanOrEqual">
      <formula>0</formula>
    </cfRule>
    <cfRule type="cellIs" dxfId="268" priority="244" operator="lessThan">
      <formula>0</formula>
    </cfRule>
  </conditionalFormatting>
  <conditionalFormatting sqref="J39:J43">
    <cfRule type="cellIs" dxfId="267" priority="241" operator="greaterThanOrEqual">
      <formula>0</formula>
    </cfRule>
    <cfRule type="cellIs" dxfId="266" priority="242" operator="lessThan">
      <formula>0</formula>
    </cfRule>
  </conditionalFormatting>
  <conditionalFormatting sqref="J46:J50">
    <cfRule type="cellIs" dxfId="265" priority="239" operator="greaterThanOrEqual">
      <formula>0</formula>
    </cfRule>
    <cfRule type="cellIs" dxfId="264" priority="240" operator="lessThan">
      <formula>0</formula>
    </cfRule>
  </conditionalFormatting>
  <conditionalFormatting sqref="J53:J57">
    <cfRule type="cellIs" dxfId="263" priority="237" operator="greaterThanOrEqual">
      <formula>0</formula>
    </cfRule>
    <cfRule type="cellIs" dxfId="262" priority="238" operator="lessThan">
      <formula>0</formula>
    </cfRule>
  </conditionalFormatting>
  <conditionalFormatting sqref="I9">
    <cfRule type="cellIs" dxfId="261" priority="219" operator="greaterThanOrEqual">
      <formula>0</formula>
    </cfRule>
    <cfRule type="cellIs" dxfId="260" priority="220" operator="lessThan">
      <formula>0</formula>
    </cfRule>
  </conditionalFormatting>
  <conditionalFormatting sqref="J9:L9">
    <cfRule type="cellIs" dxfId="259" priority="217" operator="greaterThanOrEqual">
      <formula>0</formula>
    </cfRule>
    <cfRule type="cellIs" dxfId="258" priority="218" operator="lessThan">
      <formula>0</formula>
    </cfRule>
  </conditionalFormatting>
  <conditionalFormatting sqref="P16:Q16">
    <cfRule type="cellIs" dxfId="257" priority="145" operator="greaterThanOrEqual">
      <formula>0</formula>
    </cfRule>
    <cfRule type="cellIs" dxfId="256" priority="146" operator="lessThan">
      <formula>0</formula>
    </cfRule>
  </conditionalFormatting>
  <conditionalFormatting sqref="I16">
    <cfRule type="cellIs" dxfId="255" priority="143" operator="greaterThanOrEqual">
      <formula>0</formula>
    </cfRule>
    <cfRule type="cellIs" dxfId="254" priority="144" operator="lessThan">
      <formula>0</formula>
    </cfRule>
  </conditionalFormatting>
  <conditionalFormatting sqref="J16 L16">
    <cfRule type="cellIs" dxfId="253" priority="141" operator="greaterThanOrEqual">
      <formula>0</formula>
    </cfRule>
    <cfRule type="cellIs" dxfId="252" priority="142" operator="lessThan">
      <formula>0</formula>
    </cfRule>
  </conditionalFormatting>
  <conditionalFormatting sqref="P23:Q23">
    <cfRule type="cellIs" dxfId="251" priority="139" operator="greaterThanOrEqual">
      <formula>0</formula>
    </cfRule>
    <cfRule type="cellIs" dxfId="250" priority="140" operator="lessThan">
      <formula>0</formula>
    </cfRule>
  </conditionalFormatting>
  <conditionalFormatting sqref="I23">
    <cfRule type="cellIs" dxfId="249" priority="137" operator="greaterThanOrEqual">
      <formula>0</formula>
    </cfRule>
    <cfRule type="cellIs" dxfId="248" priority="138" operator="lessThan">
      <formula>0</formula>
    </cfRule>
  </conditionalFormatting>
  <conditionalFormatting sqref="J23 L23">
    <cfRule type="cellIs" dxfId="247" priority="135" operator="greaterThanOrEqual">
      <formula>0</formula>
    </cfRule>
    <cfRule type="cellIs" dxfId="246" priority="136" operator="lessThan">
      <formula>0</formula>
    </cfRule>
  </conditionalFormatting>
  <conditionalFormatting sqref="P30:Q30">
    <cfRule type="cellIs" dxfId="245" priority="133" operator="greaterThanOrEqual">
      <formula>0</formula>
    </cfRule>
    <cfRule type="cellIs" dxfId="244" priority="134" operator="lessThan">
      <formula>0</formula>
    </cfRule>
  </conditionalFormatting>
  <conditionalFormatting sqref="I30">
    <cfRule type="cellIs" dxfId="243" priority="131" operator="greaterThanOrEqual">
      <formula>0</formula>
    </cfRule>
    <cfRule type="cellIs" dxfId="242" priority="132" operator="lessThan">
      <formula>0</formula>
    </cfRule>
  </conditionalFormatting>
  <conditionalFormatting sqref="J30 L30">
    <cfRule type="cellIs" dxfId="241" priority="129" operator="greaterThanOrEqual">
      <formula>0</formula>
    </cfRule>
    <cfRule type="cellIs" dxfId="240" priority="130" operator="lessThan">
      <formula>0</formula>
    </cfRule>
  </conditionalFormatting>
  <conditionalFormatting sqref="P37:Q37">
    <cfRule type="cellIs" dxfId="239" priority="127" operator="greaterThanOrEqual">
      <formula>0</formula>
    </cfRule>
    <cfRule type="cellIs" dxfId="238" priority="128" operator="lessThan">
      <formula>0</formula>
    </cfRule>
  </conditionalFormatting>
  <conditionalFormatting sqref="I37">
    <cfRule type="cellIs" dxfId="237" priority="125" operator="greaterThanOrEqual">
      <formula>0</formula>
    </cfRule>
    <cfRule type="cellIs" dxfId="236" priority="126" operator="lessThan">
      <formula>0</formula>
    </cfRule>
  </conditionalFormatting>
  <conditionalFormatting sqref="J37 L37">
    <cfRule type="cellIs" dxfId="235" priority="123" operator="greaterThanOrEqual">
      <formula>0</formula>
    </cfRule>
    <cfRule type="cellIs" dxfId="234" priority="124" operator="lessThan">
      <formula>0</formula>
    </cfRule>
  </conditionalFormatting>
  <conditionalFormatting sqref="P44:Q44">
    <cfRule type="cellIs" dxfId="233" priority="121" operator="greaterThanOrEqual">
      <formula>0</formula>
    </cfRule>
    <cfRule type="cellIs" dxfId="232" priority="122" operator="lessThan">
      <formula>0</formula>
    </cfRule>
  </conditionalFormatting>
  <conditionalFormatting sqref="I44">
    <cfRule type="cellIs" dxfId="231" priority="119" operator="greaterThanOrEqual">
      <formula>0</formula>
    </cfRule>
    <cfRule type="cellIs" dxfId="230" priority="120" operator="lessThan">
      <formula>0</formula>
    </cfRule>
  </conditionalFormatting>
  <conditionalFormatting sqref="J44 L44">
    <cfRule type="cellIs" dxfId="229" priority="117" operator="greaterThanOrEqual">
      <formula>0</formula>
    </cfRule>
    <cfRule type="cellIs" dxfId="228" priority="118" operator="lessThan">
      <formula>0</formula>
    </cfRule>
  </conditionalFormatting>
  <conditionalFormatting sqref="P51:Q51">
    <cfRule type="cellIs" dxfId="227" priority="115" operator="greaterThanOrEqual">
      <formula>0</formula>
    </cfRule>
    <cfRule type="cellIs" dxfId="226" priority="116" operator="lessThan">
      <formula>0</formula>
    </cfRule>
  </conditionalFormatting>
  <conditionalFormatting sqref="I51">
    <cfRule type="cellIs" dxfId="225" priority="113" operator="greaterThanOrEqual">
      <formula>0</formula>
    </cfRule>
    <cfRule type="cellIs" dxfId="224" priority="114" operator="lessThan">
      <formula>0</formula>
    </cfRule>
  </conditionalFormatting>
  <conditionalFormatting sqref="J51 L51">
    <cfRule type="cellIs" dxfId="223" priority="111" operator="greaterThanOrEqual">
      <formula>0</formula>
    </cfRule>
    <cfRule type="cellIs" dxfId="222" priority="112" operator="lessThan">
      <formula>0</formula>
    </cfRule>
  </conditionalFormatting>
  <conditionalFormatting sqref="P58:Q58">
    <cfRule type="cellIs" dxfId="221" priority="109" operator="greaterThanOrEqual">
      <formula>0</formula>
    </cfRule>
    <cfRule type="cellIs" dxfId="220" priority="110" operator="lessThan">
      <formula>0</formula>
    </cfRule>
  </conditionalFormatting>
  <conditionalFormatting sqref="I58">
    <cfRule type="cellIs" dxfId="219" priority="107" operator="greaterThanOrEqual">
      <formula>0</formula>
    </cfRule>
    <cfRule type="cellIs" dxfId="218" priority="108" operator="lessThan">
      <formula>0</formula>
    </cfRule>
  </conditionalFormatting>
  <conditionalFormatting sqref="J58 L58">
    <cfRule type="cellIs" dxfId="217" priority="105" operator="greaterThanOrEqual">
      <formula>0</formula>
    </cfRule>
    <cfRule type="cellIs" dxfId="216" priority="106" operator="lessThan">
      <formula>0</formula>
    </cfRule>
  </conditionalFormatting>
  <conditionalFormatting sqref="K11:K15">
    <cfRule type="cellIs" dxfId="215" priority="87" operator="greaterThanOrEqual">
      <formula>0</formula>
    </cfRule>
    <cfRule type="cellIs" dxfId="214" priority="88" operator="lessThan">
      <formula>0</formula>
    </cfRule>
  </conditionalFormatting>
  <conditionalFormatting sqref="K10">
    <cfRule type="cellIs" dxfId="213" priority="85" operator="greaterThanOrEqual">
      <formula>0</formula>
    </cfRule>
    <cfRule type="cellIs" dxfId="212" priority="86" operator="lessThan">
      <formula>0</formula>
    </cfRule>
  </conditionalFormatting>
  <conditionalFormatting sqref="K16">
    <cfRule type="cellIs" dxfId="211" priority="83" operator="greaterThanOrEqual">
      <formula>0</formula>
    </cfRule>
    <cfRule type="cellIs" dxfId="210" priority="84" operator="lessThan">
      <formula>0</formula>
    </cfRule>
  </conditionalFormatting>
  <conditionalFormatting sqref="K18:K22">
    <cfRule type="cellIs" dxfId="209" priority="81" operator="greaterThanOrEqual">
      <formula>0</formula>
    </cfRule>
    <cfRule type="cellIs" dxfId="208" priority="82" operator="lessThan">
      <formula>0</formula>
    </cfRule>
  </conditionalFormatting>
  <conditionalFormatting sqref="K17">
    <cfRule type="cellIs" dxfId="207" priority="79" operator="greaterThanOrEqual">
      <formula>0</formula>
    </cfRule>
    <cfRule type="cellIs" dxfId="206" priority="80" operator="lessThan">
      <formula>0</formula>
    </cfRule>
  </conditionalFormatting>
  <conditionalFormatting sqref="K23">
    <cfRule type="cellIs" dxfId="205" priority="77" operator="greaterThanOrEqual">
      <formula>0</formula>
    </cfRule>
    <cfRule type="cellIs" dxfId="204" priority="78" operator="lessThan">
      <formula>0</formula>
    </cfRule>
  </conditionalFormatting>
  <conditionalFormatting sqref="K25:K29">
    <cfRule type="cellIs" dxfId="203" priority="75" operator="greaterThanOrEqual">
      <formula>0</formula>
    </cfRule>
    <cfRule type="cellIs" dxfId="202" priority="76" operator="lessThan">
      <formula>0</formula>
    </cfRule>
  </conditionalFormatting>
  <conditionalFormatting sqref="K24">
    <cfRule type="cellIs" dxfId="201" priority="73" operator="greaterThanOrEqual">
      <formula>0</formula>
    </cfRule>
    <cfRule type="cellIs" dxfId="200" priority="74" operator="lessThan">
      <formula>0</formula>
    </cfRule>
  </conditionalFormatting>
  <conditionalFormatting sqref="K30">
    <cfRule type="cellIs" dxfId="199" priority="71" operator="greaterThanOrEqual">
      <formula>0</formula>
    </cfRule>
    <cfRule type="cellIs" dxfId="198" priority="72" operator="lessThan">
      <formula>0</formula>
    </cfRule>
  </conditionalFormatting>
  <conditionalFormatting sqref="K32:K36">
    <cfRule type="cellIs" dxfId="197" priority="69" operator="greaterThanOrEqual">
      <formula>0</formula>
    </cfRule>
    <cfRule type="cellIs" dxfId="196" priority="70" operator="lessThan">
      <formula>0</formula>
    </cfRule>
  </conditionalFormatting>
  <conditionalFormatting sqref="K31">
    <cfRule type="cellIs" dxfId="195" priority="67" operator="greaterThanOrEqual">
      <formula>0</formula>
    </cfRule>
    <cfRule type="cellIs" dxfId="194" priority="68" operator="lessThan">
      <formula>0</formula>
    </cfRule>
  </conditionalFormatting>
  <conditionalFormatting sqref="K37">
    <cfRule type="cellIs" dxfId="193" priority="65" operator="greaterThanOrEqual">
      <formula>0</formula>
    </cfRule>
    <cfRule type="cellIs" dxfId="192" priority="66" operator="lessThan">
      <formula>0</formula>
    </cfRule>
  </conditionalFormatting>
  <conditionalFormatting sqref="K39:K43">
    <cfRule type="cellIs" dxfId="191" priority="63" operator="greaterThanOrEqual">
      <formula>0</formula>
    </cfRule>
    <cfRule type="cellIs" dxfId="190" priority="64" operator="lessThan">
      <formula>0</formula>
    </cfRule>
  </conditionalFormatting>
  <conditionalFormatting sqref="K38">
    <cfRule type="cellIs" dxfId="189" priority="61" operator="greaterThanOrEqual">
      <formula>0</formula>
    </cfRule>
    <cfRule type="cellIs" dxfId="188" priority="62" operator="lessThan">
      <formula>0</formula>
    </cfRule>
  </conditionalFormatting>
  <conditionalFormatting sqref="K44">
    <cfRule type="cellIs" dxfId="187" priority="59" operator="greaterThanOrEqual">
      <formula>0</formula>
    </cfRule>
    <cfRule type="cellIs" dxfId="186" priority="60" operator="lessThan">
      <formula>0</formula>
    </cfRule>
  </conditionalFormatting>
  <conditionalFormatting sqref="K46:K50">
    <cfRule type="cellIs" dxfId="185" priority="57" operator="greaterThanOrEqual">
      <formula>0</formula>
    </cfRule>
    <cfRule type="cellIs" dxfId="184" priority="58" operator="lessThan">
      <formula>0</formula>
    </cfRule>
  </conditionalFormatting>
  <conditionalFormatting sqref="K45">
    <cfRule type="cellIs" dxfId="183" priority="55" operator="greaterThanOrEqual">
      <formula>0</formula>
    </cfRule>
    <cfRule type="cellIs" dxfId="182" priority="56" operator="lessThan">
      <formula>0</formula>
    </cfRule>
  </conditionalFormatting>
  <conditionalFormatting sqref="K51">
    <cfRule type="cellIs" dxfId="181" priority="53" operator="greaterThanOrEqual">
      <formula>0</formula>
    </cfRule>
    <cfRule type="cellIs" dxfId="180" priority="54" operator="lessThan">
      <formula>0</formula>
    </cfRule>
  </conditionalFormatting>
  <conditionalFormatting sqref="K53:K57">
    <cfRule type="cellIs" dxfId="179" priority="51" operator="greaterThanOrEqual">
      <formula>0</formula>
    </cfRule>
    <cfRule type="cellIs" dxfId="178" priority="52" operator="lessThan">
      <formula>0</formula>
    </cfRule>
  </conditionalFormatting>
  <conditionalFormatting sqref="K52">
    <cfRule type="cellIs" dxfId="177" priority="49" operator="greaterThanOrEqual">
      <formula>0</formula>
    </cfRule>
    <cfRule type="cellIs" dxfId="176" priority="50" operator="lessThan">
      <formula>0</formula>
    </cfRule>
  </conditionalFormatting>
  <conditionalFormatting sqref="K58">
    <cfRule type="cellIs" dxfId="175" priority="47" operator="greaterThanOrEqual">
      <formula>0</formula>
    </cfRule>
    <cfRule type="cellIs" dxfId="174" priority="48" operator="lessThan">
      <formula>0</formula>
    </cfRule>
  </conditionalFormatting>
  <conditionalFormatting sqref="M11:M16">
    <cfRule type="cellIs" dxfId="173" priority="45" operator="greaterThanOrEqual">
      <formula>0</formula>
    </cfRule>
    <cfRule type="cellIs" dxfId="172" priority="46" operator="lessThan">
      <formula>0</formula>
    </cfRule>
  </conditionalFormatting>
  <conditionalFormatting sqref="M18:M23">
    <cfRule type="cellIs" dxfId="171" priority="43" operator="greaterThanOrEqual">
      <formula>0</formula>
    </cfRule>
    <cfRule type="cellIs" dxfId="170" priority="44" operator="lessThan">
      <formula>0</formula>
    </cfRule>
  </conditionalFormatting>
  <conditionalFormatting sqref="M25:M30">
    <cfRule type="cellIs" dxfId="169" priority="41" operator="greaterThanOrEqual">
      <formula>0</formula>
    </cfRule>
    <cfRule type="cellIs" dxfId="168" priority="42" operator="lessThan">
      <formula>0</formula>
    </cfRule>
  </conditionalFormatting>
  <conditionalFormatting sqref="M32:M37">
    <cfRule type="cellIs" dxfId="167" priority="39" operator="greaterThanOrEqual">
      <formula>0</formula>
    </cfRule>
    <cfRule type="cellIs" dxfId="166" priority="40" operator="lessThan">
      <formula>0</formula>
    </cfRule>
  </conditionalFormatting>
  <conditionalFormatting sqref="M39:M44">
    <cfRule type="cellIs" dxfId="165" priority="37" operator="greaterThanOrEqual">
      <formula>0</formula>
    </cfRule>
    <cfRule type="cellIs" dxfId="164" priority="38" operator="lessThan">
      <formula>0</formula>
    </cfRule>
  </conditionalFormatting>
  <conditionalFormatting sqref="M46:M51">
    <cfRule type="cellIs" dxfId="163" priority="35" operator="greaterThanOrEqual">
      <formula>0</formula>
    </cfRule>
    <cfRule type="cellIs" dxfId="162" priority="36" operator="lessThan">
      <formula>0</formula>
    </cfRule>
  </conditionalFormatting>
  <conditionalFormatting sqref="M53:M58">
    <cfRule type="cellIs" dxfId="161" priority="33" operator="greaterThanOrEqual">
      <formula>0</formula>
    </cfRule>
    <cfRule type="cellIs" dxfId="160" priority="34" operator="lessThan">
      <formula>0</formula>
    </cfRule>
  </conditionalFormatting>
  <conditionalFormatting sqref="N11:N16">
    <cfRule type="cellIs" dxfId="159" priority="27" operator="greaterThanOrEqual">
      <formula>0</formula>
    </cfRule>
    <cfRule type="cellIs" dxfId="158" priority="28" operator="lessThan">
      <formula>0</formula>
    </cfRule>
  </conditionalFormatting>
  <conditionalFormatting sqref="N18:N23">
    <cfRule type="cellIs" dxfId="157" priority="25" operator="greaterThanOrEqual">
      <formula>0</formula>
    </cfRule>
    <cfRule type="cellIs" dxfId="156" priority="26" operator="lessThan">
      <formula>0</formula>
    </cfRule>
  </conditionalFormatting>
  <conditionalFormatting sqref="N25:N30">
    <cfRule type="cellIs" dxfId="155" priority="23" operator="greaterThanOrEqual">
      <formula>0</formula>
    </cfRule>
    <cfRule type="cellIs" dxfId="154" priority="24" operator="lessThan">
      <formula>0</formula>
    </cfRule>
  </conditionalFormatting>
  <conditionalFormatting sqref="N32:N37">
    <cfRule type="cellIs" dxfId="153" priority="21" operator="greaterThanOrEqual">
      <formula>0</formula>
    </cfRule>
    <cfRule type="cellIs" dxfId="152" priority="22" operator="lessThan">
      <formula>0</formula>
    </cfRule>
  </conditionalFormatting>
  <conditionalFormatting sqref="N39:N44">
    <cfRule type="cellIs" dxfId="151" priority="19" operator="greaterThanOrEqual">
      <formula>0</formula>
    </cfRule>
    <cfRule type="cellIs" dxfId="150" priority="20" operator="lessThan">
      <formula>0</formula>
    </cfRule>
  </conditionalFormatting>
  <conditionalFormatting sqref="N46:N51">
    <cfRule type="cellIs" dxfId="149" priority="17" operator="greaterThanOrEqual">
      <formula>0</formula>
    </cfRule>
    <cfRule type="cellIs" dxfId="148" priority="18" operator="lessThan">
      <formula>0</formula>
    </cfRule>
  </conditionalFormatting>
  <conditionalFormatting sqref="N53:N58">
    <cfRule type="cellIs" dxfId="147" priority="15" operator="greaterThanOrEqual">
      <formula>0</formula>
    </cfRule>
    <cfRule type="cellIs" dxfId="146" priority="16" operator="lessThan">
      <formula>0</formula>
    </cfRule>
  </conditionalFormatting>
  <conditionalFormatting sqref="N10">
    <cfRule type="cellIs" dxfId="145" priority="13" operator="greaterThanOrEqual">
      <formula>0</formula>
    </cfRule>
    <cfRule type="cellIs" dxfId="144" priority="14" operator="lessThan">
      <formula>0</formula>
    </cfRule>
  </conditionalFormatting>
  <conditionalFormatting sqref="N17">
    <cfRule type="cellIs" dxfId="143" priority="11" operator="greaterThanOrEqual">
      <formula>0</formula>
    </cfRule>
    <cfRule type="cellIs" dxfId="142" priority="12" operator="lessThan">
      <formula>0</formula>
    </cfRule>
  </conditionalFormatting>
  <conditionalFormatting sqref="N24">
    <cfRule type="cellIs" dxfId="141" priority="9" operator="greaterThanOrEqual">
      <formula>0</formula>
    </cfRule>
    <cfRule type="cellIs" dxfId="140" priority="10" operator="lessThan">
      <formula>0</formula>
    </cfRule>
  </conditionalFormatting>
  <conditionalFormatting sqref="N31">
    <cfRule type="cellIs" dxfId="139" priority="7" operator="greaterThanOrEqual">
      <formula>0</formula>
    </cfRule>
    <cfRule type="cellIs" dxfId="138" priority="8" operator="lessThan">
      <formula>0</formula>
    </cfRule>
  </conditionalFormatting>
  <conditionalFormatting sqref="N38">
    <cfRule type="cellIs" dxfId="137" priority="5" operator="greaterThanOrEqual">
      <formula>0</formula>
    </cfRule>
    <cfRule type="cellIs" dxfId="136" priority="6" operator="lessThan">
      <formula>0</formula>
    </cfRule>
  </conditionalFormatting>
  <conditionalFormatting sqref="N45">
    <cfRule type="cellIs" dxfId="135" priority="3" operator="greaterThanOrEqual">
      <formula>0</formula>
    </cfRule>
    <cfRule type="cellIs" dxfId="134" priority="4" operator="lessThan">
      <formula>0</formula>
    </cfRule>
  </conditionalFormatting>
  <conditionalFormatting sqref="N52">
    <cfRule type="cellIs" dxfId="133" priority="1" operator="greaterThanOrEqual">
      <formula>0</formula>
    </cfRule>
    <cfRule type="cellIs" dxfId="132" priority="2" operator="lessThan">
      <formula>0</formula>
    </cfRule>
  </conditionalFormatting>
  <hyperlinks>
    <hyperlink ref="E1" location="Strategijų_palyginimas!A1" display="Strategija " xr:uid="{00000000-0004-0000-0000-000000000000}"/>
    <hyperlink ref="A3" location="'1996-2002'!A1" display="Tikslinės pensijų fondų dalyvių grupės pensijų fondai, 1996-2002" xr:uid="{00000000-0004-0000-0000-000001000000}"/>
    <hyperlink ref="A10" location="'1989-1995'!A1" display="Tikslinės pensijų fondų dalyvių grupės pensijų fondai, 1989-1995" xr:uid="{00000000-0004-0000-0000-000002000000}"/>
    <hyperlink ref="A17" location="'1982-1988'!A1" display="Tikslinės pensijų fondų dalyvių grupės pensijų fondai, 1982-1988" xr:uid="{00000000-0004-0000-0000-000003000000}"/>
    <hyperlink ref="A24" location="'1975-1981'!A1" display="Tikslinės pensijų fondų dalyvių grupės pensijų fondai, 1975-1981" xr:uid="{00000000-0004-0000-0000-000004000000}"/>
    <hyperlink ref="A31" location="'1968-1974'!A1" display="Tikslinės pensijų fondų dalyvių grupės pensijų fondai, 1968-1974" xr:uid="{00000000-0004-0000-0000-000005000000}"/>
    <hyperlink ref="A38" location="'1961-1967'!A1" display="Tikslinės pensijų fondų dalyvių grupės pensijų fondai, 1961-1967" xr:uid="{00000000-0004-0000-0000-000006000000}"/>
    <hyperlink ref="A45" location="'1954-1960'!A1" display="Tikslinės pensijų fondų dalyvių grupės pensijų fondai, 1954-1960" xr:uid="{00000000-0004-0000-0000-000007000000}"/>
    <hyperlink ref="A52" location="TIF!A1" display="Pensijų turto išsaugojimo pensijų fondai" xr:uid="{00000000-0004-0000-0000-000008000000}"/>
  </hyperlinks>
  <pageMargins left="0.7" right="0.7" top="0.75" bottom="0.75" header="0.3" footer="0.3"/>
  <pageSetup paperSize="9" orientation="portrait" horizontalDpi="300" verticalDpi="300" r:id="rId1"/>
  <headerFooter>
    <oddHeader>&amp;R&amp;"Calibri"&amp;10&amp;K000000LB RIBOTO NAUDOJIMO (RESTRICTED)&amp;1#</oddHeader>
    <oddFooter>&amp;R&amp;1#&amp;"Calibri"&amp;10&amp;K000000LB RIBOTO NAUDOJIMO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70"/>
  <sheetViews>
    <sheetView showGridLines="0" zoomScale="70" zoomScaleNormal="70" workbookViewId="0"/>
  </sheetViews>
  <sheetFormatPr defaultColWidth="8.81640625" defaultRowHeight="15.5" x14ac:dyDescent="0.35"/>
  <cols>
    <col min="1" max="1" width="44.54296875" style="16" customWidth="1"/>
    <col min="2" max="2" width="14.81640625" style="16" bestFit="1" customWidth="1"/>
    <col min="3" max="3" width="67.54296875" style="16" customWidth="1"/>
    <col min="4" max="4" width="15.54296875" style="16" customWidth="1"/>
    <col min="5" max="5" width="16.1796875" style="16" bestFit="1" customWidth="1"/>
    <col min="6" max="6" width="17" style="16" customWidth="1"/>
    <col min="7" max="7" width="17.81640625" style="16" customWidth="1"/>
    <col min="8" max="8" width="1.453125" style="16" customWidth="1"/>
    <col min="9" max="9" width="16.54296875" style="16" customWidth="1"/>
    <col min="10" max="12" width="17.453125" style="16" customWidth="1"/>
    <col min="13" max="14" width="16.54296875" style="16" customWidth="1"/>
    <col min="15" max="15" width="1.453125" style="16" customWidth="1"/>
    <col min="16" max="16" width="19.453125" style="16" customWidth="1"/>
    <col min="17" max="17" width="18.1796875" style="16" customWidth="1"/>
    <col min="18" max="18" width="1.453125" style="16" customWidth="1"/>
    <col min="19" max="19" width="15.453125" style="16" customWidth="1"/>
    <col min="20" max="20" width="14.453125" style="16" customWidth="1"/>
    <col min="21" max="21" width="17.453125" style="16" customWidth="1"/>
    <col min="22" max="16384" width="8.81640625" style="16"/>
  </cols>
  <sheetData>
    <row r="1" spans="1:23" ht="22.4" customHeight="1" x14ac:dyDescent="0.35">
      <c r="A1" s="25">
        <f>+GCF_2024!A1</f>
        <v>45382</v>
      </c>
      <c r="B1" s="26"/>
      <c r="C1" s="86" t="s">
        <v>76</v>
      </c>
      <c r="D1" s="102" t="s">
        <v>90</v>
      </c>
      <c r="E1" s="31" t="s">
        <v>75</v>
      </c>
      <c r="F1" s="102" t="s">
        <v>100</v>
      </c>
      <c r="G1" s="102" t="s">
        <v>71</v>
      </c>
      <c r="H1" s="28"/>
      <c r="I1" s="100" t="s">
        <v>72</v>
      </c>
      <c r="J1" s="106">
        <v>0</v>
      </c>
      <c r="K1" s="106"/>
      <c r="L1" s="106">
        <v>0</v>
      </c>
      <c r="M1" s="106">
        <v>0</v>
      </c>
      <c r="N1" s="88"/>
      <c r="O1" s="29"/>
      <c r="P1" s="104" t="s">
        <v>97</v>
      </c>
      <c r="Q1" s="105">
        <v>0</v>
      </c>
      <c r="R1" s="29"/>
      <c r="S1" s="100" t="s">
        <v>166</v>
      </c>
      <c r="T1" s="106">
        <v>0</v>
      </c>
      <c r="U1" s="106">
        <v>0</v>
      </c>
    </row>
    <row r="2" spans="1:23" ht="92.5" customHeight="1" x14ac:dyDescent="0.35">
      <c r="A2" s="24" t="str">
        <f>+GCF_2024!A2</f>
        <v xml:space="preserve">Pensijų kaupimo bendrovės pavadinimas
</v>
      </c>
      <c r="B2" s="24" t="str">
        <f>+GCF_2024!B2</f>
        <v xml:space="preserve">Fondo kodas
</v>
      </c>
      <c r="C2" s="24" t="str">
        <f>+GCF_2024!C2</f>
        <v xml:space="preserve">Pensijų fondo pavadinimas
</v>
      </c>
      <c r="D2" s="103">
        <v>0</v>
      </c>
      <c r="E2" s="24" t="s">
        <v>99</v>
      </c>
      <c r="F2" s="103">
        <v>0</v>
      </c>
      <c r="G2" s="103">
        <v>0</v>
      </c>
      <c r="H2" s="28"/>
      <c r="I2" s="63" t="s">
        <v>92</v>
      </c>
      <c r="J2" s="24" t="s">
        <v>156</v>
      </c>
      <c r="K2" s="24" t="s">
        <v>157</v>
      </c>
      <c r="L2" s="24" t="s">
        <v>94</v>
      </c>
      <c r="M2" s="24" t="s">
        <v>158</v>
      </c>
      <c r="N2" s="24" t="s">
        <v>159</v>
      </c>
      <c r="O2" s="30"/>
      <c r="P2" s="24" t="s">
        <v>111</v>
      </c>
      <c r="Q2" s="24" t="s">
        <v>112</v>
      </c>
      <c r="R2" s="30"/>
      <c r="S2" s="24" t="s">
        <v>149</v>
      </c>
      <c r="T2" s="24" t="s">
        <v>150</v>
      </c>
      <c r="U2" s="24" t="s">
        <v>151</v>
      </c>
    </row>
    <row r="3" spans="1:23" ht="29.15" customHeight="1" x14ac:dyDescent="0.35">
      <c r="A3" s="107" t="str">
        <f>+GCF_2024!A3</f>
        <v>Tikslinės pensijų fondų dalyvių grupės pensijų fondai, 1996-2002</v>
      </c>
      <c r="B3" s="107"/>
      <c r="C3" s="107"/>
      <c r="D3" s="44"/>
      <c r="E3" s="44"/>
      <c r="F3" s="45"/>
      <c r="G3" s="70" t="s">
        <v>98</v>
      </c>
      <c r="H3" s="45"/>
      <c r="I3" s="67">
        <v>9.011015938801803</v>
      </c>
      <c r="J3" s="67">
        <v>7.9482267423305357</v>
      </c>
      <c r="K3" s="67">
        <v>14.566219906373364</v>
      </c>
      <c r="L3" s="67">
        <v>10.301575807812204</v>
      </c>
      <c r="M3" s="67">
        <v>8.8862376554221338</v>
      </c>
      <c r="N3" s="67">
        <v>16.217609336145433</v>
      </c>
      <c r="O3" s="45"/>
      <c r="P3" s="45"/>
      <c r="Q3" s="45"/>
      <c r="R3" s="45"/>
      <c r="S3" s="45"/>
      <c r="T3" s="45"/>
      <c r="U3" s="45"/>
    </row>
    <row r="4" spans="1:23" customFormat="1" ht="14.5" x14ac:dyDescent="0.35">
      <c r="A4" s="32" t="str">
        <f>+GCF_2024!A4</f>
        <v xml:space="preserve">Luminor investicijų valdymas UAB </v>
      </c>
      <c r="B4" s="32" t="str">
        <f>+GCF_2024!B4</f>
        <v>LMN-96/02</v>
      </c>
      <c r="C4" s="32" t="str">
        <f>+GCF_2024!C4</f>
        <v>Luminor 1996–2002 tikslinės grupės pensijų fondas</v>
      </c>
      <c r="D4" s="66" t="s">
        <v>161</v>
      </c>
      <c r="E4" s="34">
        <v>90</v>
      </c>
      <c r="F4" s="33">
        <v>17.964447420000003</v>
      </c>
      <c r="G4" s="35">
        <v>14666</v>
      </c>
      <c r="H4" s="22"/>
      <c r="I4" s="36">
        <v>9.355172860287464</v>
      </c>
      <c r="J4" s="36">
        <v>5.3357527140219574</v>
      </c>
      <c r="K4" s="36">
        <v>13.503406746673075</v>
      </c>
      <c r="L4" s="36">
        <v>9.3137390839213907</v>
      </c>
      <c r="M4" s="36">
        <v>7.3169505008144675</v>
      </c>
      <c r="N4" s="36">
        <v>14.888144971921591</v>
      </c>
      <c r="O4" s="23"/>
      <c r="P4" s="36">
        <v>11.018596259322475</v>
      </c>
      <c r="Q4" s="36">
        <v>11.916672170909234</v>
      </c>
      <c r="R4" s="23"/>
      <c r="S4" s="93">
        <v>0.49</v>
      </c>
      <c r="T4" s="93">
        <v>0.70000000000000007</v>
      </c>
      <c r="U4" s="93" t="s">
        <v>91</v>
      </c>
      <c r="V4" s="58"/>
      <c r="W4" s="58"/>
    </row>
    <row r="5" spans="1:23" customFormat="1" ht="14.5" x14ac:dyDescent="0.35">
      <c r="A5" s="32" t="str">
        <f>+GCF_2024!A5</f>
        <v>UAB „SB Asset Management“</v>
      </c>
      <c r="B5" s="32" t="str">
        <f>+GCF_2024!B5</f>
        <v>INV-96/02</v>
      </c>
      <c r="C5" s="32" t="str">
        <f>+GCF_2024!C5</f>
        <v>INVL pensija 1996–2002 Index Plus</v>
      </c>
      <c r="D5" s="66" t="s">
        <v>161</v>
      </c>
      <c r="E5" s="34">
        <v>97</v>
      </c>
      <c r="F5" s="33">
        <v>39.1409569319</v>
      </c>
      <c r="G5" s="35">
        <v>19859</v>
      </c>
      <c r="H5" s="22"/>
      <c r="I5" s="36">
        <v>8.4422421802415428</v>
      </c>
      <c r="J5" s="36">
        <v>7.5337095391440956</v>
      </c>
      <c r="K5" s="36">
        <v>14.692617883763859</v>
      </c>
      <c r="L5" s="36">
        <v>10.532328404333624</v>
      </c>
      <c r="M5" s="36">
        <v>8.4953354337137021</v>
      </c>
      <c r="N5" s="36">
        <v>16.782548632854489</v>
      </c>
      <c r="O5" s="23"/>
      <c r="P5" s="36">
        <v>10.539487162640606</v>
      </c>
      <c r="Q5" s="36">
        <v>12.892925393682644</v>
      </c>
      <c r="R5" s="23"/>
      <c r="S5" s="93">
        <v>0.5</v>
      </c>
      <c r="T5" s="93">
        <v>1.2</v>
      </c>
      <c r="U5" s="93">
        <v>1.2</v>
      </c>
      <c r="V5" s="58"/>
      <c r="W5" s="58"/>
    </row>
    <row r="6" spans="1:23" customFormat="1" ht="14.5" x14ac:dyDescent="0.35">
      <c r="A6" s="32" t="str">
        <f>+GCF_2024!A6</f>
        <v>UAB „SEB investicijų valdymas“</v>
      </c>
      <c r="B6" s="32" t="str">
        <f>+GCF_2024!B6</f>
        <v>SBN-96/02</v>
      </c>
      <c r="C6" s="69" t="str">
        <f>+GCF_2024!C6</f>
        <v>SEB 1996–2002 metų tikslinės grupės pensijų kaupimo fondas</v>
      </c>
      <c r="D6" s="66" t="s">
        <v>161</v>
      </c>
      <c r="E6" s="34">
        <v>98</v>
      </c>
      <c r="F6" s="33">
        <v>48.911383799999996</v>
      </c>
      <c r="G6" s="35">
        <v>21723</v>
      </c>
      <c r="H6" s="22"/>
      <c r="I6" s="36">
        <v>8.4727968875440105</v>
      </c>
      <c r="J6" s="36">
        <v>7.0704201293413593</v>
      </c>
      <c r="K6" s="36">
        <v>14.459194529598696</v>
      </c>
      <c r="L6" s="36">
        <v>10.762943011395665</v>
      </c>
      <c r="M6" s="36">
        <v>9.9631109762150274</v>
      </c>
      <c r="N6" s="36">
        <v>17.556549487619932</v>
      </c>
      <c r="O6" s="23"/>
      <c r="P6" s="36">
        <v>11.848150467661139</v>
      </c>
      <c r="Q6" s="36">
        <v>13.470593989952571</v>
      </c>
      <c r="R6" s="23"/>
      <c r="S6" s="93">
        <v>0.5</v>
      </c>
      <c r="T6" s="93" t="s">
        <v>91</v>
      </c>
      <c r="U6" s="93">
        <v>0.89</v>
      </c>
      <c r="V6" s="58"/>
      <c r="W6" s="58"/>
    </row>
    <row r="7" spans="1:23" customFormat="1" ht="14.5" x14ac:dyDescent="0.35">
      <c r="A7" s="32" t="str">
        <f>+GCF_2024!A7</f>
        <v>UAB „Swedbank investicijų valdymas“</v>
      </c>
      <c r="B7" s="32" t="str">
        <f>+GCF_2024!B7</f>
        <v>SWD-96/02</v>
      </c>
      <c r="C7" s="32" t="str">
        <f>+GCF_2024!C7</f>
        <v xml:space="preserve">Swedbank pensija 1996–2002 [7] </v>
      </c>
      <c r="D7" s="66" t="s">
        <v>161</v>
      </c>
      <c r="E7" s="34">
        <v>97</v>
      </c>
      <c r="F7" s="33">
        <v>114.85712114</v>
      </c>
      <c r="G7" s="35">
        <v>49488</v>
      </c>
      <c r="H7" s="22"/>
      <c r="I7" s="36">
        <v>8.6797911818353271</v>
      </c>
      <c r="J7" s="36">
        <v>8.768320852888877</v>
      </c>
      <c r="K7" s="36">
        <v>14.711747425395384</v>
      </c>
      <c r="L7" s="36">
        <v>10.189151608214342</v>
      </c>
      <c r="M7" s="36">
        <v>8.8112656363534825</v>
      </c>
      <c r="N7" s="36">
        <v>15.907325595811027</v>
      </c>
      <c r="O7" s="23"/>
      <c r="P7" s="36">
        <v>13.122367657697396</v>
      </c>
      <c r="Q7" s="36">
        <v>13.255328450610021</v>
      </c>
      <c r="R7" s="23"/>
      <c r="S7" s="93">
        <v>0.5</v>
      </c>
      <c r="T7" s="93" t="s">
        <v>91</v>
      </c>
      <c r="U7" s="93">
        <v>0.84130000000000005</v>
      </c>
      <c r="V7" s="58"/>
      <c r="W7" s="58"/>
    </row>
    <row r="8" spans="1:23" customFormat="1" ht="14.5" x14ac:dyDescent="0.35">
      <c r="A8" s="32" t="str">
        <f>+GCF_2024!A8</f>
        <v>Allianz Lietuva gyvybės draudimas UAB</v>
      </c>
      <c r="B8" s="32" t="str">
        <f>+GCF_2024!B8</f>
        <v>AVI-96/02</v>
      </c>
      <c r="C8" s="32" t="str">
        <f>GCF_2024!C8</f>
        <v>Allianz Y3 1996–2002 tikslinės grupės pensijų fondas</v>
      </c>
      <c r="D8" s="66" t="s">
        <v>161</v>
      </c>
      <c r="E8" s="34">
        <v>90</v>
      </c>
      <c r="F8" s="33">
        <v>39.88667324</v>
      </c>
      <c r="G8" s="35">
        <v>20316</v>
      </c>
      <c r="H8" s="22"/>
      <c r="I8" s="36">
        <v>10.714975223630852</v>
      </c>
      <c r="J8" s="36">
        <v>8.2465053124941115</v>
      </c>
      <c r="K8" s="36">
        <v>14.633044249371618</v>
      </c>
      <c r="L8" s="36">
        <v>10.278025961833336</v>
      </c>
      <c r="M8" s="36">
        <v>8.8719815048207362</v>
      </c>
      <c r="N8" s="36">
        <v>15.513607517607152</v>
      </c>
      <c r="O8" s="23"/>
      <c r="P8" s="36">
        <v>11.869462023414048</v>
      </c>
      <c r="Q8" s="36">
        <v>13.043972179970162</v>
      </c>
      <c r="R8" s="23"/>
      <c r="S8" s="93">
        <v>0.5</v>
      </c>
      <c r="T8" s="93">
        <v>1.1100000000000001</v>
      </c>
      <c r="U8" s="93" t="s">
        <v>91</v>
      </c>
      <c r="V8" s="58"/>
      <c r="W8" s="58"/>
    </row>
    <row r="9" spans="1:23" customFormat="1" ht="14.5" x14ac:dyDescent="0.35">
      <c r="A9" s="32" t="str">
        <f>+GCF_2024!A9</f>
        <v>Goindex, UAB [11]</v>
      </c>
      <c r="B9" s="32" t="str">
        <f>+GCF_2024!B9</f>
        <v>GOX-96/02</v>
      </c>
      <c r="C9" s="32" t="str">
        <f>GCF_2024!C9</f>
        <v>Goindex pensija 1996–2002 tikslinės grupės pensijų fondas</v>
      </c>
      <c r="D9" s="66" t="s">
        <v>162</v>
      </c>
      <c r="E9" s="34">
        <v>100</v>
      </c>
      <c r="F9" s="33">
        <v>10.3685397721</v>
      </c>
      <c r="G9" s="35">
        <v>5820</v>
      </c>
      <c r="H9" s="22"/>
      <c r="I9" s="36">
        <v>10.214951493247115</v>
      </c>
      <c r="J9" s="36" t="s">
        <v>164</v>
      </c>
      <c r="K9" s="36" t="s">
        <v>164</v>
      </c>
      <c r="L9" s="36">
        <v>10.19330504479019</v>
      </c>
      <c r="M9" s="36" t="s">
        <v>164</v>
      </c>
      <c r="N9" s="36" t="s">
        <v>164</v>
      </c>
      <c r="O9" s="23"/>
      <c r="P9" s="36" t="s">
        <v>164</v>
      </c>
      <c r="Q9" s="36" t="s">
        <v>164</v>
      </c>
      <c r="R9" s="23"/>
      <c r="S9" s="93">
        <v>0.44</v>
      </c>
      <c r="T9" s="93">
        <v>0.56999999999999995</v>
      </c>
      <c r="U9" s="93" t="s">
        <v>91</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3" s="55" customFormat="1" ht="13.5" x14ac:dyDescent="0.3">
      <c r="A12" s="49" t="str">
        <f>+GCF_2024!A63</f>
        <v>[1] Apskaitos vieneto vertės pokytis. Juo atsižvelgiama į atskaitymus nuo turto.</v>
      </c>
      <c r="B12" s="53"/>
      <c r="C12" s="53"/>
    </row>
    <row r="13" spans="1:23"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3"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3" s="55" customFormat="1" ht="13.5" x14ac:dyDescent="0.3">
      <c r="A15" s="53" t="str">
        <f>+GCF_2024!A66</f>
        <v>[4] Svertiniam vidurkiui apskaičiuoti naudotas 2024-03-29 dienos fondų grynųjų aktyvų dydis.</v>
      </c>
      <c r="B15" s="54"/>
      <c r="C15" s="54"/>
    </row>
    <row r="16" spans="1:23"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s="55" customFormat="1" ht="13.5" x14ac:dyDescent="0.3">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s="55" customFormat="1" ht="13.5" x14ac:dyDescent="0.3">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s="55" customFormat="1" ht="13.5" x14ac:dyDescent="0.3">
      <c r="A21" s="56" t="str">
        <f>+GCF_2024!A72</f>
        <v>[10] Apskaičiuota taikant geometrinį vidurkį.</v>
      </c>
    </row>
    <row r="22" spans="1:5" s="55" customFormat="1" ht="13.5" x14ac:dyDescent="0.3">
      <c r="A22" s="56" t="str">
        <f>+GCF_2024!A73</f>
        <v>[11] Goindex, UAB valdomi pensijų fondai įsteigti 2022-07-05.</v>
      </c>
    </row>
    <row r="23" spans="1:5" s="55" customFormat="1" ht="13.5" x14ac:dyDescent="0.3">
      <c r="A23" s="56"/>
    </row>
    <row r="24" spans="1:5" x14ac:dyDescent="0.35">
      <c r="A24" s="56"/>
    </row>
    <row r="25" spans="1:5" x14ac:dyDescent="0.35">
      <c r="A25" s="37" t="s">
        <v>113</v>
      </c>
      <c r="B25" s="37"/>
      <c r="C25" s="37"/>
      <c r="D25" s="37"/>
      <c r="E25" s="37"/>
    </row>
    <row r="26" spans="1:5" s="55" customFormat="1" ht="13.5" x14ac:dyDescent="0.3">
      <c r="A26" s="53" t="s">
        <v>83</v>
      </c>
      <c r="B26" s="54"/>
      <c r="C26" s="54"/>
    </row>
    <row r="27" spans="1:5" s="55" customFormat="1" ht="13.5" x14ac:dyDescent="0.3">
      <c r="A27" s="53" t="s">
        <v>84</v>
      </c>
      <c r="B27" s="54"/>
      <c r="C27" s="54"/>
    </row>
    <row r="28" spans="1:5" x14ac:dyDescent="0.35">
      <c r="A28" s="18"/>
      <c r="B28" s="18"/>
      <c r="C28" s="18"/>
    </row>
    <row r="35" spans="1:3" x14ac:dyDescent="0.35">
      <c r="A35" s="37" t="s">
        <v>0</v>
      </c>
      <c r="B35" s="37" t="s">
        <v>73</v>
      </c>
      <c r="C35" s="37" t="s">
        <v>72</v>
      </c>
    </row>
    <row r="36" spans="1:3" x14ac:dyDescent="0.35">
      <c r="A36" s="32" t="str">
        <f>+B4</f>
        <v>LMN-96/02</v>
      </c>
      <c r="B36" s="33">
        <f>+P4</f>
        <v>11.018596259322475</v>
      </c>
      <c r="C36" s="33">
        <f>+J4</f>
        <v>5.3357527140219574</v>
      </c>
    </row>
    <row r="37" spans="1:3" x14ac:dyDescent="0.35">
      <c r="A37" s="32" t="str">
        <f>+B5</f>
        <v>INV-96/02</v>
      </c>
      <c r="B37" s="33">
        <f>+P5</f>
        <v>10.539487162640606</v>
      </c>
      <c r="C37" s="33">
        <f>+J5</f>
        <v>7.5337095391440956</v>
      </c>
    </row>
    <row r="38" spans="1:3" x14ac:dyDescent="0.35">
      <c r="A38" s="32" t="str">
        <f>+B6</f>
        <v>SBN-96/02</v>
      </c>
      <c r="B38" s="33">
        <f>+P6</f>
        <v>11.848150467661139</v>
      </c>
      <c r="C38" s="33">
        <f>+J6</f>
        <v>7.0704201293413593</v>
      </c>
    </row>
    <row r="39" spans="1:3" x14ac:dyDescent="0.35">
      <c r="A39" s="32" t="str">
        <f>+B7</f>
        <v>SWD-96/02</v>
      </c>
      <c r="B39" s="33">
        <f>+P7</f>
        <v>13.122367657697396</v>
      </c>
      <c r="C39" s="33">
        <f>+J7</f>
        <v>8.768320852888877</v>
      </c>
    </row>
    <row r="40" spans="1:3" x14ac:dyDescent="0.35">
      <c r="A40" s="32" t="str">
        <f>+B8</f>
        <v>AVI-96/02</v>
      </c>
      <c r="B40" s="33">
        <f>+P8</f>
        <v>11.869462023414048</v>
      </c>
      <c r="C40" s="33">
        <f>+J8</f>
        <v>8.2465053124941115</v>
      </c>
    </row>
    <row r="57" spans="1:5" x14ac:dyDescent="0.35">
      <c r="A57" s="37" t="s">
        <v>114</v>
      </c>
      <c r="B57" s="37"/>
      <c r="C57" s="37"/>
      <c r="D57" s="37"/>
      <c r="E57" s="37"/>
    </row>
    <row r="58" spans="1:5" s="55" customFormat="1" ht="13.5" x14ac:dyDescent="0.3">
      <c r="A58" s="53" t="s">
        <v>85</v>
      </c>
      <c r="B58" s="54"/>
      <c r="C58" s="54"/>
    </row>
    <row r="59" spans="1:5" s="55" customFormat="1" ht="13.5" x14ac:dyDescent="0.3">
      <c r="A59" s="53" t="s">
        <v>86</v>
      </c>
      <c r="B59" s="54"/>
      <c r="C59" s="54"/>
    </row>
    <row r="60" spans="1:5" s="55" customFormat="1" ht="13.5" x14ac:dyDescent="0.3">
      <c r="A60" s="53" t="s">
        <v>87</v>
      </c>
      <c r="B60" s="54"/>
      <c r="C60" s="54"/>
    </row>
    <row r="65" spans="1:4" x14ac:dyDescent="0.35">
      <c r="A65" s="37" t="s">
        <v>0</v>
      </c>
      <c r="B65" s="37" t="s">
        <v>77</v>
      </c>
      <c r="C65" s="37" t="s">
        <v>78</v>
      </c>
      <c r="D65" s="37" t="s">
        <v>79</v>
      </c>
    </row>
    <row r="66" spans="1:4" x14ac:dyDescent="0.35">
      <c r="A66" s="32" t="str">
        <f>+B4</f>
        <v>LMN-96/02</v>
      </c>
      <c r="B66" s="33">
        <f>+G4/1000</f>
        <v>14.666</v>
      </c>
      <c r="C66" s="33">
        <f>+J4</f>
        <v>5.3357527140219574</v>
      </c>
      <c r="D66" s="33">
        <f>+F4</f>
        <v>17.964447420000003</v>
      </c>
    </row>
    <row r="67" spans="1:4" x14ac:dyDescent="0.35">
      <c r="A67" s="32" t="str">
        <f>+B5</f>
        <v>INV-96/02</v>
      </c>
      <c r="B67" s="33">
        <f>+G5/1000</f>
        <v>19.859000000000002</v>
      </c>
      <c r="C67" s="33">
        <f>+J5</f>
        <v>7.5337095391440956</v>
      </c>
      <c r="D67" s="33">
        <f>+F5</f>
        <v>39.1409569319</v>
      </c>
    </row>
    <row r="68" spans="1:4" x14ac:dyDescent="0.35">
      <c r="A68" s="32" t="str">
        <f>+B6</f>
        <v>SBN-96/02</v>
      </c>
      <c r="B68" s="33">
        <f>+G6/1000</f>
        <v>21.722999999999999</v>
      </c>
      <c r="C68" s="33">
        <f>+J6</f>
        <v>7.0704201293413593</v>
      </c>
      <c r="D68" s="33">
        <f>+F6</f>
        <v>48.911383799999996</v>
      </c>
    </row>
    <row r="69" spans="1:4" x14ac:dyDescent="0.35">
      <c r="A69" s="32" t="str">
        <f>+B7</f>
        <v>SWD-96/02</v>
      </c>
      <c r="B69" s="33">
        <f>+G7/1000</f>
        <v>49.488</v>
      </c>
      <c r="C69" s="33">
        <f>+J7</f>
        <v>8.768320852888877</v>
      </c>
      <c r="D69" s="33">
        <f>+F7</f>
        <v>114.85712114</v>
      </c>
    </row>
    <row r="70" spans="1:4" x14ac:dyDescent="0.35">
      <c r="A70" s="32" t="str">
        <f>+B8</f>
        <v>AVI-96/02</v>
      </c>
      <c r="B70" s="33">
        <f>+G8/1000</f>
        <v>20.315999999999999</v>
      </c>
      <c r="C70" s="33">
        <f>+J8</f>
        <v>8.2465053124941115</v>
      </c>
      <c r="D70" s="33">
        <f>+F8</f>
        <v>39.88667324</v>
      </c>
    </row>
  </sheetData>
  <mergeCells count="7">
    <mergeCell ref="S1:U1"/>
    <mergeCell ref="P1:Q1"/>
    <mergeCell ref="A3:C3"/>
    <mergeCell ref="D1:D2"/>
    <mergeCell ref="F1:F2"/>
    <mergeCell ref="G1:G2"/>
    <mergeCell ref="I1:M1"/>
  </mergeCells>
  <conditionalFormatting sqref="P4:Q8 S4:U8">
    <cfRule type="cellIs" dxfId="131" priority="19" operator="greaterThanOrEqual">
      <formula>0</formula>
    </cfRule>
    <cfRule type="cellIs" dxfId="130" priority="20" operator="lessThan">
      <formula>0</formula>
    </cfRule>
  </conditionalFormatting>
  <conditionalFormatting sqref="I4:I8">
    <cfRule type="cellIs" dxfId="129" priority="17" operator="greaterThanOrEqual">
      <formula>0</formula>
    </cfRule>
    <cfRule type="cellIs" dxfId="128" priority="18" operator="lessThan">
      <formula>0</formula>
    </cfRule>
  </conditionalFormatting>
  <conditionalFormatting sqref="J4:N8">
    <cfRule type="cellIs" dxfId="127" priority="15" operator="greaterThanOrEqual">
      <formula>0</formula>
    </cfRule>
    <cfRule type="cellIs" dxfId="126" priority="16" operator="lessThan">
      <formula>0</formula>
    </cfRule>
  </conditionalFormatting>
  <conditionalFormatting sqref="I3:N3">
    <cfRule type="cellIs" dxfId="125" priority="13" operator="greaterThanOrEqual">
      <formula>0</formula>
    </cfRule>
    <cfRule type="cellIs" dxfId="124" priority="14" operator="lessThan">
      <formula>0</formula>
    </cfRule>
  </conditionalFormatting>
  <conditionalFormatting sqref="P9:Q9 S9:U9">
    <cfRule type="cellIs" dxfId="123" priority="11" operator="greaterThanOrEqual">
      <formula>0</formula>
    </cfRule>
    <cfRule type="cellIs" dxfId="122" priority="12" operator="lessThan">
      <formula>0</formula>
    </cfRule>
  </conditionalFormatting>
  <conditionalFormatting sqref="I9">
    <cfRule type="cellIs" dxfId="121" priority="9" operator="greaterThanOrEqual">
      <formula>0</formula>
    </cfRule>
    <cfRule type="cellIs" dxfId="120" priority="10" operator="lessThan">
      <formula>0</formula>
    </cfRule>
  </conditionalFormatting>
  <conditionalFormatting sqref="J9:N9">
    <cfRule type="cellIs" dxfId="119" priority="7" operator="greaterThanOrEqual">
      <formula>0</formula>
    </cfRule>
    <cfRule type="cellIs" dxfId="118" priority="8" operator="lessThan">
      <formula>0</formula>
    </cfRule>
  </conditionalFormatting>
  <hyperlinks>
    <hyperlink ref="C1" location="GCF_2024!A1" display="Grįžti į pagrindinį puslapį" xr:uid="{00000000-0004-0000-0100-000000000000}"/>
  </hyperlinks>
  <pageMargins left="0.7" right="0.7" top="0.75" bottom="0.75" header="0.3" footer="0.3"/>
  <pageSetup paperSize="9" orientation="portrait" r:id="rId1"/>
  <headerFooter>
    <oddHeader>&amp;R&amp;"Calibri"&amp;10&amp;K000000LB RIBOTO NAUDOJIMO (RESTRICTED)&amp;1#</oddHeader>
    <oddFooter>&amp;R&amp;1#&amp;"Calibri"&amp;10&amp;K000000LB RIBOTO NAUDOJIMO (RESTRICTED)</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0"/>
  <sheetViews>
    <sheetView showGridLines="0" zoomScale="70" zoomScaleNormal="70" workbookViewId="0"/>
  </sheetViews>
  <sheetFormatPr defaultColWidth="8.81640625" defaultRowHeight="15.5" x14ac:dyDescent="0.35"/>
  <cols>
    <col min="1" max="1" width="45.54296875" style="16" customWidth="1"/>
    <col min="2" max="2" width="14.81640625" style="16" bestFit="1" customWidth="1"/>
    <col min="3" max="3" width="78.1796875" style="16" customWidth="1"/>
    <col min="4" max="4" width="13.1796875" style="16" customWidth="1"/>
    <col min="5" max="5" width="16.1796875" style="16" bestFit="1" customWidth="1"/>
    <col min="6" max="6" width="19.453125" style="16" customWidth="1"/>
    <col min="7" max="7" width="13.54296875" style="16" customWidth="1"/>
    <col min="8" max="8" width="1.54296875" style="16" customWidth="1"/>
    <col min="9" max="9" width="16.81640625" style="16" customWidth="1"/>
    <col min="10" max="11" width="15.54296875" style="16" customWidth="1"/>
    <col min="12" max="12" width="13.54296875" style="16" customWidth="1"/>
    <col min="13" max="14" width="15.54296875" style="16" customWidth="1"/>
    <col min="15" max="15" width="1.54296875" style="16" customWidth="1"/>
    <col min="16" max="16" width="19.453125" style="16" customWidth="1"/>
    <col min="17" max="17" width="15.54296875" style="16" customWidth="1"/>
    <col min="18" max="18" width="1.54296875" style="16" customWidth="1"/>
    <col min="19" max="19" width="9.1796875" style="16" customWidth="1"/>
    <col min="20" max="20" width="12.54296875" style="16" customWidth="1"/>
    <col min="21" max="21" width="13" style="16" customWidth="1"/>
    <col min="22" max="16384" width="8.81640625" style="16"/>
  </cols>
  <sheetData>
    <row r="1" spans="1:23" ht="22.4" customHeight="1" x14ac:dyDescent="0.35">
      <c r="A1" s="25">
        <f>+GCF_2024!A1</f>
        <v>45382</v>
      </c>
      <c r="B1" s="26"/>
      <c r="C1" s="86" t="s">
        <v>76</v>
      </c>
      <c r="D1" s="102" t="s">
        <v>90</v>
      </c>
      <c r="E1" s="31" t="s">
        <v>75</v>
      </c>
      <c r="F1" s="102" t="s">
        <v>100</v>
      </c>
      <c r="G1" s="102" t="s">
        <v>71</v>
      </c>
      <c r="H1" s="28"/>
      <c r="I1" s="100" t="s">
        <v>72</v>
      </c>
      <c r="J1" s="106">
        <v>0</v>
      </c>
      <c r="K1" s="106"/>
      <c r="L1" s="106">
        <v>0</v>
      </c>
      <c r="M1" s="106">
        <v>0</v>
      </c>
      <c r="N1" s="88"/>
      <c r="O1" s="29"/>
      <c r="P1" s="104" t="s">
        <v>97</v>
      </c>
      <c r="Q1" s="105">
        <v>0</v>
      </c>
      <c r="R1" s="29"/>
      <c r="S1" s="100" t="s">
        <v>166</v>
      </c>
      <c r="T1" s="106">
        <v>0</v>
      </c>
      <c r="U1" s="106">
        <v>0</v>
      </c>
    </row>
    <row r="2" spans="1:23" ht="100" customHeight="1" x14ac:dyDescent="0.35">
      <c r="A2" s="24" t="str">
        <f>+GCF_2024!A2</f>
        <v xml:space="preserve">Pensijų kaupimo bendrovės pavadinimas
</v>
      </c>
      <c r="B2" s="24" t="str">
        <f>+GCF_2024!B2</f>
        <v xml:space="preserve">Fondo kodas
</v>
      </c>
      <c r="C2" s="24" t="str">
        <f>+GCF_2024!C2</f>
        <v xml:space="preserve">Pensijų fondo pavadinimas
</v>
      </c>
      <c r="D2" s="103">
        <v>0</v>
      </c>
      <c r="E2" s="24" t="s">
        <v>99</v>
      </c>
      <c r="F2" s="103">
        <v>0</v>
      </c>
      <c r="G2" s="103">
        <v>0</v>
      </c>
      <c r="H2" s="28"/>
      <c r="I2" s="64" t="s">
        <v>92</v>
      </c>
      <c r="J2" s="24" t="s">
        <v>156</v>
      </c>
      <c r="K2" s="24" t="s">
        <v>157</v>
      </c>
      <c r="L2" s="24" t="s">
        <v>94</v>
      </c>
      <c r="M2" s="24" t="s">
        <v>158</v>
      </c>
      <c r="N2" s="24" t="s">
        <v>159</v>
      </c>
      <c r="O2" s="30"/>
      <c r="P2" s="24" t="s">
        <v>111</v>
      </c>
      <c r="Q2" s="24" t="s">
        <v>112</v>
      </c>
      <c r="R2" s="30"/>
      <c r="S2" s="24" t="s">
        <v>149</v>
      </c>
      <c r="T2" s="24" t="s">
        <v>150</v>
      </c>
      <c r="U2" s="24" t="s">
        <v>151</v>
      </c>
    </row>
    <row r="3" spans="1:23" ht="29.15" customHeight="1" x14ac:dyDescent="0.35">
      <c r="A3" s="107" t="str">
        <f>+GCF_2024!A10</f>
        <v>Tikslinės pensijų fondų dalyvių grupės pensijų fondai, 1989-1995</v>
      </c>
      <c r="B3" s="107">
        <f>+GCF_2024!B10</f>
        <v>0</v>
      </c>
      <c r="C3" s="107">
        <f>+GCF_2024!C10</f>
        <v>0</v>
      </c>
      <c r="D3" s="44"/>
      <c r="E3" s="44"/>
      <c r="F3" s="45"/>
      <c r="G3" s="70" t="s">
        <v>98</v>
      </c>
      <c r="H3" s="45"/>
      <c r="I3" s="67">
        <v>8.610481553583293</v>
      </c>
      <c r="J3" s="67">
        <v>7.9523500910891585</v>
      </c>
      <c r="K3" s="67">
        <v>14.696810013998613</v>
      </c>
      <c r="L3" s="67">
        <v>10.316087447928282</v>
      </c>
      <c r="M3" s="67">
        <v>8.9039090929024667</v>
      </c>
      <c r="N3" s="67">
        <v>16.272016086786937</v>
      </c>
      <c r="O3" s="45"/>
      <c r="P3" s="45"/>
      <c r="Q3" s="45"/>
      <c r="R3" s="45"/>
      <c r="S3" s="45"/>
      <c r="T3" s="45"/>
      <c r="U3" s="45"/>
    </row>
    <row r="4" spans="1:23" customFormat="1" ht="14.5" x14ac:dyDescent="0.35">
      <c r="A4" s="32" t="str">
        <f>+GCF_2024!A11</f>
        <v xml:space="preserve">Luminor investicijų valdymas UAB </v>
      </c>
      <c r="B4" s="32" t="str">
        <f>+GCF_2024!B11</f>
        <v>LMN-89/95</v>
      </c>
      <c r="C4" s="32" t="str">
        <f>+GCF_2024!C11</f>
        <v>Luminor 1989–1995 tikslinės grupės pensijų fondas</v>
      </c>
      <c r="D4" s="66" t="s">
        <v>161</v>
      </c>
      <c r="E4" s="34">
        <v>90</v>
      </c>
      <c r="F4" s="33">
        <v>60.414196880000006</v>
      </c>
      <c r="G4" s="35">
        <v>18922</v>
      </c>
      <c r="H4" s="22"/>
      <c r="I4" s="36">
        <v>9.4199596380444071</v>
      </c>
      <c r="J4" s="36">
        <v>5.3723645651584606</v>
      </c>
      <c r="K4" s="36">
        <v>13.377642410728496</v>
      </c>
      <c r="L4" s="36">
        <v>9.3137390839213907</v>
      </c>
      <c r="M4" s="36">
        <v>7.3169505008144675</v>
      </c>
      <c r="N4" s="36">
        <v>14.888144971921591</v>
      </c>
      <c r="O4" s="22"/>
      <c r="P4" s="36">
        <v>10.943006976476946</v>
      </c>
      <c r="Q4" s="36">
        <v>11.916672170909234</v>
      </c>
      <c r="R4" s="23"/>
      <c r="S4" s="36">
        <v>0.49</v>
      </c>
      <c r="T4" s="36">
        <v>0.71000000000000008</v>
      </c>
      <c r="U4" s="36" t="s">
        <v>91</v>
      </c>
      <c r="V4" s="58"/>
      <c r="W4" s="58"/>
    </row>
    <row r="5" spans="1:23" customFormat="1" ht="14.5" x14ac:dyDescent="0.35">
      <c r="A5" s="32" t="str">
        <f>+GCF_2024!A12</f>
        <v>UAB „SB Asset Management“</v>
      </c>
      <c r="B5" s="32" t="str">
        <f>+GCF_2024!B12</f>
        <v>INV-89/95</v>
      </c>
      <c r="C5" s="32" t="str">
        <f>+GCF_2024!C12</f>
        <v>INVL pensija 1989–1995 Index Plus</v>
      </c>
      <c r="D5" s="66" t="s">
        <v>161</v>
      </c>
      <c r="E5" s="34">
        <v>97</v>
      </c>
      <c r="F5" s="33">
        <v>146.24353772009999</v>
      </c>
      <c r="G5" s="35">
        <v>36626</v>
      </c>
      <c r="H5" s="22"/>
      <c r="I5" s="36">
        <v>8.1441263573543754</v>
      </c>
      <c r="J5" s="36">
        <v>7.6409375453010853</v>
      </c>
      <c r="K5" s="36">
        <v>14.833329786702842</v>
      </c>
      <c r="L5" s="36">
        <v>10.532328404333624</v>
      </c>
      <c r="M5" s="36">
        <v>8.4953354337137021</v>
      </c>
      <c r="N5" s="36">
        <v>16.782548632854489</v>
      </c>
      <c r="O5" s="22"/>
      <c r="P5" s="36">
        <v>10.24063635288304</v>
      </c>
      <c r="Q5" s="36">
        <v>12.892925393682644</v>
      </c>
      <c r="R5" s="23"/>
      <c r="S5" s="36">
        <v>0.5</v>
      </c>
      <c r="T5" s="36">
        <v>1.37</v>
      </c>
      <c r="U5" s="36">
        <v>1.37</v>
      </c>
      <c r="V5" s="58"/>
      <c r="W5" s="58"/>
    </row>
    <row r="6" spans="1:23" customFormat="1" ht="14.5" x14ac:dyDescent="0.35">
      <c r="A6" s="32" t="str">
        <f>+GCF_2024!A13</f>
        <v>UAB „SEB investicijų valdymas“</v>
      </c>
      <c r="B6" s="32" t="str">
        <f>+GCF_2024!B13</f>
        <v>SBN-89/95</v>
      </c>
      <c r="C6" s="32" t="str">
        <f>+GCF_2024!C13</f>
        <v>SEB 1989–1995 metų tikslinės grupės pensijų kaupimo fondas</v>
      </c>
      <c r="D6" s="66" t="s">
        <v>161</v>
      </c>
      <c r="E6" s="34">
        <v>98</v>
      </c>
      <c r="F6" s="33">
        <v>184.13743133000003</v>
      </c>
      <c r="G6" s="35">
        <v>46062</v>
      </c>
      <c r="H6" s="22"/>
      <c r="I6" s="36">
        <v>8.2862640432002976</v>
      </c>
      <c r="J6" s="36">
        <v>6.8928546918258338</v>
      </c>
      <c r="K6" s="36">
        <v>14.40202416865981</v>
      </c>
      <c r="L6" s="36">
        <v>10.762943011395665</v>
      </c>
      <c r="M6" s="36">
        <v>9.9631109762150274</v>
      </c>
      <c r="N6" s="36">
        <v>17.556549487619932</v>
      </c>
      <c r="O6" s="22"/>
      <c r="P6" s="36">
        <v>11.799116467732654</v>
      </c>
      <c r="Q6" s="36">
        <v>13.470593989952571</v>
      </c>
      <c r="R6" s="23"/>
      <c r="S6" s="36">
        <v>0.5</v>
      </c>
      <c r="T6" s="36" t="s">
        <v>91</v>
      </c>
      <c r="U6" s="36">
        <v>0.88</v>
      </c>
      <c r="V6" s="58"/>
      <c r="W6" s="58"/>
    </row>
    <row r="7" spans="1:23" customFormat="1" ht="14.5" x14ac:dyDescent="0.35">
      <c r="A7" s="32" t="str">
        <f>+GCF_2024!A14</f>
        <v>UAB „Swedbank investicijų valdymas“</v>
      </c>
      <c r="B7" s="32" t="str">
        <f>+GCF_2024!B14</f>
        <v>SWD-89/95</v>
      </c>
      <c r="C7" s="32" t="str">
        <f>+GCF_2024!C14</f>
        <v xml:space="preserve">Swedbank pensija 1989–1995 [7] </v>
      </c>
      <c r="D7" s="66" t="s">
        <v>161</v>
      </c>
      <c r="E7" s="34">
        <v>97</v>
      </c>
      <c r="F7" s="33">
        <v>385.96673786000002</v>
      </c>
      <c r="G7" s="35">
        <v>95911</v>
      </c>
      <c r="H7" s="22"/>
      <c r="I7" s="36">
        <v>8.3343684014408161</v>
      </c>
      <c r="J7" s="36">
        <v>8.8546465449245169</v>
      </c>
      <c r="K7" s="36">
        <v>14.952957024353065</v>
      </c>
      <c r="L7" s="36">
        <v>10.189151608214342</v>
      </c>
      <c r="M7" s="36">
        <v>8.8112656363534825</v>
      </c>
      <c r="N7" s="36">
        <v>15.907325595811027</v>
      </c>
      <c r="O7" s="22"/>
      <c r="P7" s="36">
        <v>12.776215764763684</v>
      </c>
      <c r="Q7" s="36">
        <v>13.255328450610021</v>
      </c>
      <c r="R7" s="23"/>
      <c r="S7" s="36">
        <v>0.5</v>
      </c>
      <c r="T7" s="36" t="s">
        <v>91</v>
      </c>
      <c r="U7" s="36">
        <v>0.82230000000000003</v>
      </c>
      <c r="V7" s="58"/>
      <c r="W7" s="58"/>
    </row>
    <row r="8" spans="1:23" customFormat="1" ht="14.5" x14ac:dyDescent="0.35">
      <c r="A8" s="32" t="str">
        <f>+GCF_2024!A15</f>
        <v>Allianz Lietuva gyvybės draudimas UAB</v>
      </c>
      <c r="B8" s="32" t="str">
        <f>+GCF_2024!B15</f>
        <v>AVI-89/95</v>
      </c>
      <c r="C8" s="32" t="str">
        <f>+GCF_2024!C15</f>
        <v>Allianz Y2 1989–1995 tikslinės grupės pensijų fondas</v>
      </c>
      <c r="D8" s="66" t="s">
        <v>161</v>
      </c>
      <c r="E8" s="34">
        <v>90</v>
      </c>
      <c r="F8" s="33">
        <v>114.48829687999999</v>
      </c>
      <c r="G8" s="35">
        <v>33894</v>
      </c>
      <c r="H8" s="22"/>
      <c r="I8" s="36">
        <v>10.038709677419355</v>
      </c>
      <c r="J8" s="36">
        <v>8.3737570791325702</v>
      </c>
      <c r="K8" s="36">
        <v>14.829122220045111</v>
      </c>
      <c r="L8" s="36">
        <v>10.278025961833336</v>
      </c>
      <c r="M8" s="36">
        <v>8.8719815048207362</v>
      </c>
      <c r="N8" s="36">
        <v>15.513607517607152</v>
      </c>
      <c r="O8" s="22"/>
      <c r="P8" s="36">
        <v>11.732258253150867</v>
      </c>
      <c r="Q8" s="36">
        <v>13.043972179970162</v>
      </c>
      <c r="R8" s="23"/>
      <c r="S8" s="36">
        <v>0.5</v>
      </c>
      <c r="T8" s="36">
        <v>0.94</v>
      </c>
      <c r="U8" s="36" t="s">
        <v>91</v>
      </c>
      <c r="V8" s="58"/>
      <c r="W8" s="58"/>
    </row>
    <row r="9" spans="1:23" customFormat="1" ht="27" x14ac:dyDescent="0.35">
      <c r="A9" s="32" t="str">
        <f>+GCF_2024!A16</f>
        <v>Goindex, UAB</v>
      </c>
      <c r="B9" s="32" t="str">
        <f>+GCF_2024!B16</f>
        <v>GOX-89/95</v>
      </c>
      <c r="C9" s="32" t="str">
        <f>+GCF_2024!C16</f>
        <v>Goindex pensija 1989–1995 tikslinės grupės pensijų fondas</v>
      </c>
      <c r="D9" s="66" t="s">
        <v>162</v>
      </c>
      <c r="E9" s="34">
        <v>100</v>
      </c>
      <c r="F9" s="33">
        <v>13.813249131100001</v>
      </c>
      <c r="G9" s="35">
        <v>4333</v>
      </c>
      <c r="H9" s="22"/>
      <c r="I9" s="36">
        <v>10.207001812458261</v>
      </c>
      <c r="J9" s="36" t="s">
        <v>164</v>
      </c>
      <c r="K9" s="36" t="s">
        <v>164</v>
      </c>
      <c r="L9" s="36">
        <v>10.19330504479019</v>
      </c>
      <c r="M9" s="36" t="s">
        <v>164</v>
      </c>
      <c r="N9" s="36" t="s">
        <v>164</v>
      </c>
      <c r="O9" s="22"/>
      <c r="P9" s="36" t="s">
        <v>164</v>
      </c>
      <c r="Q9" s="36" t="s">
        <v>164</v>
      </c>
      <c r="R9" s="23"/>
      <c r="S9" s="36">
        <v>0.44</v>
      </c>
      <c r="T9" s="36">
        <v>0.56000000000000005</v>
      </c>
      <c r="U9" s="36" t="s">
        <v>91</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3" s="55" customFormat="1" ht="13.5" x14ac:dyDescent="0.3">
      <c r="A12" s="49" t="str">
        <f>+GCF_2024!A63</f>
        <v>[1] Apskaitos vieneto vertės pokytis. Juo atsižvelgiama į atskaitymus nuo turto.</v>
      </c>
      <c r="B12" s="53"/>
      <c r="C12" s="53"/>
    </row>
    <row r="13" spans="1:23"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3"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3" s="55" customFormat="1" ht="13.5" x14ac:dyDescent="0.3">
      <c r="A15" s="53" t="str">
        <f>+GCF_2024!A66</f>
        <v>[4] Svertiniam vidurkiui apskaičiuoti naudotas 2024-03-29 dienos fondų grynųjų aktyvų dydis.</v>
      </c>
      <c r="B15" s="54"/>
      <c r="C15" s="54"/>
    </row>
    <row r="16" spans="1:23"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s="55" customFormat="1" ht="13.5" x14ac:dyDescent="0.3">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s="55" customFormat="1" ht="13.5" x14ac:dyDescent="0.3">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s="55" customFormat="1" ht="13.5" x14ac:dyDescent="0.3">
      <c r="A21" s="56" t="str">
        <f>+GCF_2024!A72</f>
        <v>[10] Apskaičiuota taikant geometrinį vidurkį.</v>
      </c>
    </row>
    <row r="22" spans="1:5" s="55" customFormat="1" ht="13.5" x14ac:dyDescent="0.3">
      <c r="A22" s="56" t="str">
        <f>+GCF_2024!A73</f>
        <v>[11] Goindex, UAB valdomi pensijų fondai įsteigti 2022-07-05.</v>
      </c>
    </row>
    <row r="23" spans="1:5" s="55" customFormat="1" ht="13.5" x14ac:dyDescent="0.3">
      <c r="A23" s="56"/>
    </row>
    <row r="24" spans="1:5" x14ac:dyDescent="0.35">
      <c r="A24" s="56"/>
    </row>
    <row r="25" spans="1:5" x14ac:dyDescent="0.35">
      <c r="A25" s="37" t="str">
        <f>+'1996-2002'!A25</f>
        <v>Rizikos ir grąžos palyginimas (per praėjusius 3 metus)</v>
      </c>
      <c r="B25" s="37"/>
      <c r="C25" s="37"/>
      <c r="D25" s="37"/>
      <c r="E25" s="37"/>
    </row>
    <row r="26" spans="1:5" s="55" customFormat="1" ht="13.5" x14ac:dyDescent="0.3">
      <c r="A26" s="53" t="str">
        <f>+'1996-2002'!A26</f>
        <v>Kuo pensijų fondas paveiksle vaizduojamas aukščiau, tuo jo uždirbama grąža yra didesnė. Kuo žemiau – tuo grąža mažesnė.</v>
      </c>
      <c r="B26" s="54"/>
      <c r="C26" s="54"/>
    </row>
    <row r="27" spans="1:5" s="55" customFormat="1" ht="13.5" x14ac:dyDescent="0.3">
      <c r="A27" s="53" t="str">
        <f>+'1996-2002'!A27</f>
        <v>Dešiniau pavaizduoti pensijų fondai prisiima didesnę riziką (jų vieneto vertės svyruoja daugiau). Kairiau – mažesnę (jų vieneto vertės svyruoja mažiau).</v>
      </c>
      <c r="B27" s="54"/>
      <c r="C27" s="54"/>
    </row>
    <row r="28" spans="1:5" x14ac:dyDescent="0.35">
      <c r="A28" s="18"/>
      <c r="B28" s="18"/>
      <c r="C28" s="18"/>
    </row>
    <row r="35" spans="1:3" x14ac:dyDescent="0.35">
      <c r="A35" s="37" t="s">
        <v>0</v>
      </c>
      <c r="B35" s="37" t="s">
        <v>73</v>
      </c>
      <c r="C35" s="37" t="s">
        <v>72</v>
      </c>
    </row>
    <row r="36" spans="1:3" x14ac:dyDescent="0.35">
      <c r="A36" s="32" t="str">
        <f>+B4</f>
        <v>LMN-89/95</v>
      </c>
      <c r="B36" s="33">
        <f>+P4</f>
        <v>10.943006976476946</v>
      </c>
      <c r="C36" s="33">
        <f>+J4</f>
        <v>5.3723645651584606</v>
      </c>
    </row>
    <row r="37" spans="1:3" x14ac:dyDescent="0.35">
      <c r="A37" s="32" t="str">
        <f>+B5</f>
        <v>INV-89/95</v>
      </c>
      <c r="B37" s="33">
        <f>+P5</f>
        <v>10.24063635288304</v>
      </c>
      <c r="C37" s="33">
        <f>+J5</f>
        <v>7.6409375453010853</v>
      </c>
    </row>
    <row r="38" spans="1:3" x14ac:dyDescent="0.35">
      <c r="A38" s="32" t="str">
        <f>+B6</f>
        <v>SBN-89/95</v>
      </c>
      <c r="B38" s="33">
        <f>+P6</f>
        <v>11.799116467732654</v>
      </c>
      <c r="C38" s="33">
        <f>+J6</f>
        <v>6.8928546918258338</v>
      </c>
    </row>
    <row r="39" spans="1:3" x14ac:dyDescent="0.35">
      <c r="A39" s="32" t="str">
        <f>+B7</f>
        <v>SWD-89/95</v>
      </c>
      <c r="B39" s="33">
        <f>+P7</f>
        <v>12.776215764763684</v>
      </c>
      <c r="C39" s="33">
        <f>+J7</f>
        <v>8.8546465449245169</v>
      </c>
    </row>
    <row r="40" spans="1:3" x14ac:dyDescent="0.35">
      <c r="A40" s="32" t="str">
        <f>+B8</f>
        <v>AVI-89/95</v>
      </c>
      <c r="B40" s="33">
        <f>+P8</f>
        <v>11.732258253150867</v>
      </c>
      <c r="C40" s="33">
        <f>+J8</f>
        <v>8.3737570791325702</v>
      </c>
    </row>
    <row r="57" spans="1:5" x14ac:dyDescent="0.35">
      <c r="A57" s="37" t="str">
        <f>+'1996-2002'!A57</f>
        <v>Dalyvių skaičiaus, grąžos (per praėjusius 3 metus) ir fondo turto palyginimas</v>
      </c>
      <c r="B57" s="37"/>
      <c r="C57" s="37"/>
      <c r="D57" s="37"/>
      <c r="E57" s="37"/>
    </row>
    <row r="58" spans="1:5" s="55" customFormat="1" ht="13.5" x14ac:dyDescent="0.3">
      <c r="A58" s="53" t="str">
        <f>+'1996-2002'!A58</f>
        <v>Kuo pensijų fondas paveiksle pavaizduotas aukščiau, tuo jo uždirbama grąža yra didesnė. Kuo žemiau – tuo grąža mažesnė.</v>
      </c>
      <c r="B58" s="54"/>
      <c r="C58" s="54"/>
    </row>
    <row r="59" spans="1:5" s="55" customFormat="1" ht="13.5" x14ac:dyDescent="0.3">
      <c r="A59" s="53" t="str">
        <f>+'1996-2002'!A59</f>
        <v>Dešiniau pavaizduoti pensijų fondai turi daugiau dalyvių. Kairiau – mažiau.</v>
      </c>
      <c r="B59" s="54"/>
      <c r="C59" s="54"/>
    </row>
    <row r="60" spans="1:5" s="55" customFormat="1" ht="13.5" x14ac:dyDescent="0.3">
      <c r="A60" s="53" t="str">
        <f>+'1996-2002'!A60</f>
        <v>Kuo didesnis fondą vaizduojančio skritulio dydis – tuo fondas turi daugiau turto. Kuo mažesnis – mažiau.</v>
      </c>
      <c r="B60" s="54"/>
      <c r="C60" s="54"/>
    </row>
    <row r="65" spans="1:4" x14ac:dyDescent="0.35">
      <c r="A65" s="37" t="s">
        <v>0</v>
      </c>
      <c r="B65" s="37" t="s">
        <v>77</v>
      </c>
      <c r="C65" s="37" t="s">
        <v>78</v>
      </c>
      <c r="D65" s="37" t="s">
        <v>79</v>
      </c>
    </row>
    <row r="66" spans="1:4" x14ac:dyDescent="0.35">
      <c r="A66" s="32" t="str">
        <f>+B4</f>
        <v>LMN-89/95</v>
      </c>
      <c r="B66" s="33">
        <f>+G4/1000</f>
        <v>18.922000000000001</v>
      </c>
      <c r="C66" s="33">
        <f>+J4</f>
        <v>5.3723645651584606</v>
      </c>
      <c r="D66" s="33">
        <f>+F4</f>
        <v>60.414196880000006</v>
      </c>
    </row>
    <row r="67" spans="1:4" x14ac:dyDescent="0.35">
      <c r="A67" s="32" t="str">
        <f>+B5</f>
        <v>INV-89/95</v>
      </c>
      <c r="B67" s="33">
        <f>+G5/1000</f>
        <v>36.625999999999998</v>
      </c>
      <c r="C67" s="33">
        <f>+J5</f>
        <v>7.6409375453010853</v>
      </c>
      <c r="D67" s="33">
        <f>+F5</f>
        <v>146.24353772009999</v>
      </c>
    </row>
    <row r="68" spans="1:4" x14ac:dyDescent="0.35">
      <c r="A68" s="32" t="str">
        <f>+B6</f>
        <v>SBN-89/95</v>
      </c>
      <c r="B68" s="33">
        <f>+G6/1000</f>
        <v>46.061999999999998</v>
      </c>
      <c r="C68" s="33">
        <f>+J6</f>
        <v>6.8928546918258338</v>
      </c>
      <c r="D68" s="33">
        <f>+F6</f>
        <v>184.13743133000003</v>
      </c>
    </row>
    <row r="69" spans="1:4" x14ac:dyDescent="0.35">
      <c r="A69" s="32" t="str">
        <f>+B7</f>
        <v>SWD-89/95</v>
      </c>
      <c r="B69" s="33">
        <f>+G7/1000</f>
        <v>95.911000000000001</v>
      </c>
      <c r="C69" s="33">
        <f>+J7</f>
        <v>8.8546465449245169</v>
      </c>
      <c r="D69" s="33">
        <f>+F7</f>
        <v>385.96673786000002</v>
      </c>
    </row>
    <row r="70" spans="1:4" x14ac:dyDescent="0.35">
      <c r="A70" s="32" t="str">
        <f>+B8</f>
        <v>AVI-89/95</v>
      </c>
      <c r="B70" s="33">
        <f>+G8/1000</f>
        <v>33.893999999999998</v>
      </c>
      <c r="C70" s="33">
        <f>+J8</f>
        <v>8.3737570791325702</v>
      </c>
      <c r="D70" s="33">
        <f>+F8</f>
        <v>114.48829687999999</v>
      </c>
    </row>
  </sheetData>
  <mergeCells count="7">
    <mergeCell ref="S1:U1"/>
    <mergeCell ref="P1:Q1"/>
    <mergeCell ref="A3:C3"/>
    <mergeCell ref="D1:D2"/>
    <mergeCell ref="F1:F2"/>
    <mergeCell ref="G1:G2"/>
    <mergeCell ref="I1:M1"/>
  </mergeCells>
  <conditionalFormatting sqref="P4:Q8">
    <cfRule type="cellIs" dxfId="117" priority="25" operator="greaterThanOrEqual">
      <formula>0</formula>
    </cfRule>
    <cfRule type="cellIs" dxfId="116" priority="26" operator="lessThan">
      <formula>0</formula>
    </cfRule>
  </conditionalFormatting>
  <conditionalFormatting sqref="I4:I8">
    <cfRule type="cellIs" dxfId="115" priority="23" operator="greaterThanOrEqual">
      <formula>0</formula>
    </cfRule>
    <cfRule type="cellIs" dxfId="114" priority="24" operator="lessThan">
      <formula>0</formula>
    </cfRule>
  </conditionalFormatting>
  <conditionalFormatting sqref="J4:N8">
    <cfRule type="cellIs" dxfId="113" priority="21" operator="greaterThanOrEqual">
      <formula>0</formula>
    </cfRule>
    <cfRule type="cellIs" dxfId="112" priority="22" operator="lessThan">
      <formula>0</formula>
    </cfRule>
  </conditionalFormatting>
  <conditionalFormatting sqref="I3:N3">
    <cfRule type="cellIs" dxfId="111" priority="17" operator="greaterThanOrEqual">
      <formula>0</formula>
    </cfRule>
    <cfRule type="cellIs" dxfId="110" priority="18" operator="lessThan">
      <formula>0</formula>
    </cfRule>
  </conditionalFormatting>
  <conditionalFormatting sqref="S4:U9">
    <cfRule type="cellIs" dxfId="109" priority="15" operator="greaterThanOrEqual">
      <formula>0</formula>
    </cfRule>
    <cfRule type="cellIs" dxfId="108" priority="16" operator="lessThan">
      <formula>0</formula>
    </cfRule>
  </conditionalFormatting>
  <conditionalFormatting sqref="P9:Q9">
    <cfRule type="cellIs" dxfId="107" priority="13" operator="greaterThanOrEqual">
      <formula>0</formula>
    </cfRule>
    <cfRule type="cellIs" dxfId="106" priority="14" operator="lessThan">
      <formula>0</formula>
    </cfRule>
  </conditionalFormatting>
  <conditionalFormatting sqref="I9">
    <cfRule type="cellIs" dxfId="105" priority="11" operator="greaterThanOrEqual">
      <formula>0</formula>
    </cfRule>
    <cfRule type="cellIs" dxfId="104" priority="12" operator="lessThan">
      <formula>0</formula>
    </cfRule>
  </conditionalFormatting>
  <conditionalFormatting sqref="J9:N9">
    <cfRule type="cellIs" dxfId="103" priority="9" operator="greaterThanOrEqual">
      <formula>0</formula>
    </cfRule>
    <cfRule type="cellIs" dxfId="102" priority="10" operator="lessThan">
      <formula>0</formula>
    </cfRule>
  </conditionalFormatting>
  <hyperlinks>
    <hyperlink ref="C1" location="GCF_2024!A1" display="Grįžti į pagrindinį puslapį" xr:uid="{00000000-0004-0000-02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70"/>
  <sheetViews>
    <sheetView showGridLines="0" zoomScale="70" zoomScaleNormal="70" workbookViewId="0"/>
  </sheetViews>
  <sheetFormatPr defaultColWidth="8.81640625" defaultRowHeight="15.5" x14ac:dyDescent="0.35"/>
  <cols>
    <col min="1" max="1" width="43.453125" style="16" customWidth="1"/>
    <col min="2" max="2" width="14.81640625" style="16" bestFit="1" customWidth="1"/>
    <col min="3" max="3" width="69.54296875" style="16" customWidth="1"/>
    <col min="4" max="4" width="13.54296875" style="16" customWidth="1"/>
    <col min="5" max="5" width="16.1796875" style="16" bestFit="1" customWidth="1"/>
    <col min="6" max="6" width="19.453125" style="16" customWidth="1"/>
    <col min="7" max="7" width="15.1796875" style="16" customWidth="1"/>
    <col min="8" max="8" width="1.453125" style="16" customWidth="1"/>
    <col min="9" max="9" width="16" style="16" customWidth="1"/>
    <col min="10" max="11" width="18.453125" style="16" customWidth="1"/>
    <col min="12" max="12" width="17.453125" style="16" customWidth="1"/>
    <col min="13" max="13" width="16.81640625" style="16" customWidth="1"/>
    <col min="14" max="14" width="17.453125" style="16" customWidth="1"/>
    <col min="15" max="15" width="1.453125" style="16" customWidth="1"/>
    <col min="16" max="16" width="19.54296875" style="16" customWidth="1"/>
    <col min="17" max="17" width="22.453125" style="16" customWidth="1"/>
    <col min="18" max="18" width="1.453125" style="16" customWidth="1"/>
    <col min="19" max="20" width="8.81640625" style="16"/>
    <col min="21" max="21" width="14.54296875" style="16" customWidth="1"/>
    <col min="22" max="16384" width="8.81640625" style="16"/>
  </cols>
  <sheetData>
    <row r="1" spans="1:23" ht="22.4" customHeight="1" x14ac:dyDescent="0.35">
      <c r="A1" s="25">
        <f>+GCF_2024!A1</f>
        <v>45382</v>
      </c>
      <c r="B1" s="26"/>
      <c r="C1" s="86" t="s">
        <v>76</v>
      </c>
      <c r="D1" s="102" t="s">
        <v>90</v>
      </c>
      <c r="E1" s="31" t="s">
        <v>75</v>
      </c>
      <c r="F1" s="102" t="s">
        <v>100</v>
      </c>
      <c r="G1" s="102" t="s">
        <v>71</v>
      </c>
      <c r="H1" s="28"/>
      <c r="I1" s="100" t="s">
        <v>72</v>
      </c>
      <c r="J1" s="106">
        <v>0</v>
      </c>
      <c r="K1" s="106"/>
      <c r="L1" s="106">
        <v>0</v>
      </c>
      <c r="M1" s="106">
        <v>0</v>
      </c>
      <c r="N1" s="88"/>
      <c r="O1" s="29"/>
      <c r="P1" s="104" t="s">
        <v>97</v>
      </c>
      <c r="Q1" s="105">
        <v>0</v>
      </c>
      <c r="R1" s="29"/>
      <c r="S1" s="100" t="s">
        <v>166</v>
      </c>
      <c r="T1" s="106">
        <v>0</v>
      </c>
      <c r="U1" s="106">
        <v>0</v>
      </c>
    </row>
    <row r="2" spans="1:23" ht="81" x14ac:dyDescent="0.35">
      <c r="A2" s="24" t="str">
        <f>+GCF_2024!A2</f>
        <v xml:space="preserve">Pensijų kaupimo bendrovės pavadinimas
</v>
      </c>
      <c r="B2" s="24" t="str">
        <f>+GCF_2024!B2</f>
        <v xml:space="preserve">Fondo kodas
</v>
      </c>
      <c r="C2" s="24" t="str">
        <f>+GCF_2024!C2</f>
        <v xml:space="preserve">Pensijų fondo pavadinimas
</v>
      </c>
      <c r="D2" s="103">
        <v>0</v>
      </c>
      <c r="E2" s="24" t="s">
        <v>99</v>
      </c>
      <c r="F2" s="103">
        <v>0</v>
      </c>
      <c r="G2" s="103">
        <v>0</v>
      </c>
      <c r="H2" s="28"/>
      <c r="I2" s="64" t="s">
        <v>92</v>
      </c>
      <c r="J2" s="24" t="s">
        <v>156</v>
      </c>
      <c r="K2" s="24" t="s">
        <v>157</v>
      </c>
      <c r="L2" s="24" t="s">
        <v>94</v>
      </c>
      <c r="M2" s="24" t="s">
        <v>158</v>
      </c>
      <c r="N2" s="24" t="s">
        <v>159</v>
      </c>
      <c r="O2" s="30"/>
      <c r="P2" s="24" t="s">
        <v>111</v>
      </c>
      <c r="Q2" s="24" t="s">
        <v>112</v>
      </c>
      <c r="R2" s="30"/>
      <c r="S2" s="24" t="s">
        <v>149</v>
      </c>
      <c r="T2" s="24" t="s">
        <v>150</v>
      </c>
      <c r="U2" s="24" t="s">
        <v>151</v>
      </c>
    </row>
    <row r="3" spans="1:23" ht="29.15" customHeight="1" x14ac:dyDescent="0.35">
      <c r="A3" s="107" t="str">
        <f>+GCF_2024!A17</f>
        <v>Tikslinės pensijų fondų dalyvių grupės pensijų fondai, 1982-1988</v>
      </c>
      <c r="B3" s="107"/>
      <c r="C3" s="107"/>
      <c r="D3" s="44"/>
      <c r="E3" s="44"/>
      <c r="F3" s="45"/>
      <c r="G3" s="70" t="s">
        <v>98</v>
      </c>
      <c r="H3" s="45"/>
      <c r="I3" s="67">
        <v>8.5770439369386615</v>
      </c>
      <c r="J3" s="67">
        <v>7.8543104254318106</v>
      </c>
      <c r="K3" s="67">
        <v>14.725251325731666</v>
      </c>
      <c r="L3" s="67">
        <v>10.343092689268929</v>
      </c>
      <c r="M3" s="67">
        <v>8.9575176053356103</v>
      </c>
      <c r="N3" s="67">
        <v>16.363271342393059</v>
      </c>
      <c r="O3" s="45"/>
      <c r="P3" s="45"/>
      <c r="Q3" s="45"/>
      <c r="R3" s="45"/>
      <c r="S3" s="45"/>
      <c r="T3" s="45"/>
      <c r="U3" s="45"/>
    </row>
    <row r="4" spans="1:23" customFormat="1" ht="14.5" x14ac:dyDescent="0.35">
      <c r="A4" s="32" t="str">
        <f>+GCF_2024!A18</f>
        <v xml:space="preserve">Luminor investicijų valdymas UAB </v>
      </c>
      <c r="B4" s="32" t="str">
        <f>+GCF_2024!B18</f>
        <v>LMN-82/88</v>
      </c>
      <c r="C4" s="32" t="str">
        <f>+GCF_2024!C18</f>
        <v>Luminor 1982–1988 tikslinės grupės pensijų fondas</v>
      </c>
      <c r="D4" s="66" t="s">
        <v>161</v>
      </c>
      <c r="E4" s="34">
        <v>90</v>
      </c>
      <c r="F4" s="33">
        <v>117.31881745</v>
      </c>
      <c r="G4" s="35">
        <v>26132</v>
      </c>
      <c r="H4" s="22"/>
      <c r="I4" s="36">
        <v>9.4285340656466552</v>
      </c>
      <c r="J4" s="36">
        <v>5.5212435677058469</v>
      </c>
      <c r="K4" s="36">
        <v>13.322931916670179</v>
      </c>
      <c r="L4" s="36">
        <v>9.3137390839213907</v>
      </c>
      <c r="M4" s="36">
        <v>7.3169505008144675</v>
      </c>
      <c r="N4" s="36">
        <v>14.888144971921591</v>
      </c>
      <c r="O4" s="22"/>
      <c r="P4" s="36">
        <v>10.883093793679285</v>
      </c>
      <c r="Q4" s="36">
        <v>11.916672170909234</v>
      </c>
      <c r="R4" s="23"/>
      <c r="S4" s="36">
        <v>0.49</v>
      </c>
      <c r="T4" s="36">
        <v>0.72</v>
      </c>
      <c r="U4" s="36" t="s">
        <v>91</v>
      </c>
      <c r="V4" s="58"/>
      <c r="W4" s="58"/>
    </row>
    <row r="5" spans="1:23" customFormat="1" ht="14.5" x14ac:dyDescent="0.35">
      <c r="A5" s="32" t="str">
        <f>+GCF_2024!A19</f>
        <v>UAB „SB Asset Management“</v>
      </c>
      <c r="B5" s="32" t="str">
        <f>+GCF_2024!B19</f>
        <v>INV-82/88</v>
      </c>
      <c r="C5" s="32" t="str">
        <f>+GCF_2024!C19</f>
        <v>INVL pensija 1982–1988 Index Plus</v>
      </c>
      <c r="D5" s="66" t="s">
        <v>161</v>
      </c>
      <c r="E5" s="34">
        <v>97</v>
      </c>
      <c r="F5" s="33">
        <v>253.8462096536</v>
      </c>
      <c r="G5" s="35">
        <v>44292</v>
      </c>
      <c r="H5" s="22"/>
      <c r="I5" s="36">
        <v>8.057749259624881</v>
      </c>
      <c r="J5" s="36">
        <v>7.735064115358159</v>
      </c>
      <c r="K5" s="36">
        <v>14.867413264460772</v>
      </c>
      <c r="L5" s="36">
        <v>10.532328404333624</v>
      </c>
      <c r="M5" s="36">
        <v>8.4953354337137021</v>
      </c>
      <c r="N5" s="36">
        <v>16.782548632854489</v>
      </c>
      <c r="O5" s="22"/>
      <c r="P5" s="36">
        <v>10.174667248543075</v>
      </c>
      <c r="Q5" s="36">
        <v>12.892925393682644</v>
      </c>
      <c r="R5" s="23"/>
      <c r="S5" s="36">
        <v>0.5</v>
      </c>
      <c r="T5" s="36">
        <v>1.38</v>
      </c>
      <c r="U5" s="36">
        <v>1.38</v>
      </c>
      <c r="V5" s="58"/>
      <c r="W5" s="58"/>
    </row>
    <row r="6" spans="1:23" customFormat="1" ht="14.5" x14ac:dyDescent="0.35">
      <c r="A6" s="32" t="str">
        <f>+GCF_2024!A20</f>
        <v>UAB „SEB investicijų valdymas“</v>
      </c>
      <c r="B6" s="32" t="str">
        <f>+GCF_2024!B20</f>
        <v>SBN-82/88</v>
      </c>
      <c r="C6" s="32" t="str">
        <f>+GCF_2024!C20</f>
        <v>SEB 1982–1988 metų tikslinės grupės pensijų kaupimo fondas</v>
      </c>
      <c r="D6" s="66" t="s">
        <v>161</v>
      </c>
      <c r="E6" s="34">
        <v>98</v>
      </c>
      <c r="F6" s="33">
        <v>404.37063704000002</v>
      </c>
      <c r="G6" s="35">
        <v>73986</v>
      </c>
      <c r="H6" s="22"/>
      <c r="I6" s="36">
        <v>8.2377735077171046</v>
      </c>
      <c r="J6" s="36">
        <v>6.8457941517000132</v>
      </c>
      <c r="K6" s="36">
        <v>14.402980377335851</v>
      </c>
      <c r="L6" s="36">
        <v>10.762943011395665</v>
      </c>
      <c r="M6" s="36">
        <v>9.9631109762150274</v>
      </c>
      <c r="N6" s="36">
        <v>17.556549487619932</v>
      </c>
      <c r="O6" s="22"/>
      <c r="P6" s="36">
        <v>11.741186147852439</v>
      </c>
      <c r="Q6" s="36">
        <v>13.470593989952571</v>
      </c>
      <c r="R6" s="23"/>
      <c r="S6" s="36">
        <v>0.5</v>
      </c>
      <c r="T6" s="36" t="s">
        <v>91</v>
      </c>
      <c r="U6" s="36">
        <v>0.88</v>
      </c>
      <c r="V6" s="58"/>
      <c r="W6" s="58"/>
    </row>
    <row r="7" spans="1:23" customFormat="1" ht="14.5" x14ac:dyDescent="0.35">
      <c r="A7" s="32" t="str">
        <f>+GCF_2024!A21</f>
        <v>UAB „Swedbank investicijų valdymas“</v>
      </c>
      <c r="B7" s="32" t="str">
        <f>+GCF_2024!B21</f>
        <v>SWD-82/88</v>
      </c>
      <c r="C7" s="32" t="str">
        <f>+GCF_2024!C21</f>
        <v xml:space="preserve">Swedbank pensija 1982–1988 [7] </v>
      </c>
      <c r="D7" s="66" t="s">
        <v>161</v>
      </c>
      <c r="E7" s="34">
        <v>97</v>
      </c>
      <c r="F7" s="33">
        <v>547.78485548000003</v>
      </c>
      <c r="G7" s="35">
        <v>113847</v>
      </c>
      <c r="H7" s="22"/>
      <c r="I7" s="36">
        <v>8.2984486579660288</v>
      </c>
      <c r="J7" s="36">
        <v>9.0033483021246354</v>
      </c>
      <c r="K7" s="36">
        <v>15.18448047306129</v>
      </c>
      <c r="L7" s="36">
        <v>10.189151608214342</v>
      </c>
      <c r="M7" s="36">
        <v>8.8112656363534825</v>
      </c>
      <c r="N7" s="36">
        <v>15.907325595811027</v>
      </c>
      <c r="O7" s="22"/>
      <c r="P7" s="36">
        <v>12.734842279375705</v>
      </c>
      <c r="Q7" s="36">
        <v>13.255328450610021</v>
      </c>
      <c r="R7" s="23"/>
      <c r="S7" s="36">
        <v>0.5</v>
      </c>
      <c r="T7" s="36" t="s">
        <v>91</v>
      </c>
      <c r="U7" s="36">
        <v>0.82509999999999994</v>
      </c>
      <c r="V7" s="58"/>
      <c r="W7" s="58"/>
    </row>
    <row r="8" spans="1:23" customFormat="1" ht="14.5" x14ac:dyDescent="0.35">
      <c r="A8" s="32" t="str">
        <f>+GCF_2024!A22</f>
        <v>Allianz Lietuva gyvybės draudimas UAB</v>
      </c>
      <c r="B8" s="32" t="str">
        <f>+GCF_2024!B22</f>
        <v>AVI-82/88</v>
      </c>
      <c r="C8" s="32" t="str">
        <f>+GCF_2024!C22</f>
        <v>Allianz Y1 1982–1988 tikslinės grupės pensijų fondas</v>
      </c>
      <c r="D8" s="66" t="s">
        <v>161</v>
      </c>
      <c r="E8" s="34">
        <v>90</v>
      </c>
      <c r="F8" s="33">
        <v>195.53420259999999</v>
      </c>
      <c r="G8" s="35">
        <v>47768</v>
      </c>
      <c r="H8" s="22"/>
      <c r="I8" s="36">
        <v>10.105181648060913</v>
      </c>
      <c r="J8" s="36">
        <v>8.2755752904078115</v>
      </c>
      <c r="K8" s="36">
        <v>14.762018919121612</v>
      </c>
      <c r="L8" s="36">
        <v>10.278025961833336</v>
      </c>
      <c r="M8" s="36">
        <v>8.8719815048207362</v>
      </c>
      <c r="N8" s="36">
        <v>15.513607517607152</v>
      </c>
      <c r="O8" s="22"/>
      <c r="P8" s="36">
        <v>11.691744548644721</v>
      </c>
      <c r="Q8" s="36">
        <v>13.043972179970162</v>
      </c>
      <c r="R8" s="23"/>
      <c r="S8" s="36">
        <v>0.5</v>
      </c>
      <c r="T8" s="36">
        <v>0.98</v>
      </c>
      <c r="U8" s="36" t="s">
        <v>91</v>
      </c>
      <c r="V8" s="58"/>
      <c r="W8" s="58"/>
    </row>
    <row r="9" spans="1:23" customFormat="1" ht="14.5" x14ac:dyDescent="0.35">
      <c r="A9" s="32" t="str">
        <f>+GCF_2024!A23</f>
        <v>Goindex, UAB</v>
      </c>
      <c r="B9" s="32" t="str">
        <f>+GCF_2024!B23</f>
        <v>GOX-82/88</v>
      </c>
      <c r="C9" s="32" t="str">
        <f>+GCF_2024!C23</f>
        <v>Goindex pensija 1982–1988 tikslinės grupės pensijų fondas</v>
      </c>
      <c r="D9" s="66" t="s">
        <v>162</v>
      </c>
      <c r="E9" s="34">
        <v>100</v>
      </c>
      <c r="F9" s="33">
        <v>14.132638807999999</v>
      </c>
      <c r="G9" s="35">
        <v>3162</v>
      </c>
      <c r="H9" s="22"/>
      <c r="I9" s="36">
        <v>10.199052132701425</v>
      </c>
      <c r="J9" s="36" t="s">
        <v>164</v>
      </c>
      <c r="K9" s="36" t="s">
        <v>164</v>
      </c>
      <c r="L9" s="36">
        <v>10.19330504479019</v>
      </c>
      <c r="M9" s="36" t="s">
        <v>164</v>
      </c>
      <c r="N9" s="36" t="s">
        <v>164</v>
      </c>
      <c r="O9" s="22"/>
      <c r="P9" s="36" t="s">
        <v>164</v>
      </c>
      <c r="Q9" s="36" t="s">
        <v>164</v>
      </c>
      <c r="R9" s="23"/>
      <c r="S9" s="36">
        <v>0.44</v>
      </c>
      <c r="T9" s="36">
        <v>0.56000000000000005</v>
      </c>
      <c r="U9" s="36" t="s">
        <v>91</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3" s="55" customFormat="1" ht="13.5" x14ac:dyDescent="0.3">
      <c r="A12" s="49" t="str">
        <f>+GCF_2024!A63</f>
        <v>[1] Apskaitos vieneto vertės pokytis. Juo atsižvelgiama į atskaitymus nuo turto.</v>
      </c>
      <c r="B12" s="53"/>
      <c r="C12" s="53"/>
    </row>
    <row r="13" spans="1:23"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3"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3" s="55" customFormat="1" ht="13.5" x14ac:dyDescent="0.3">
      <c r="A15" s="53" t="str">
        <f>+GCF_2024!A66</f>
        <v>[4] Svertiniam vidurkiui apskaičiuoti naudotas 2024-03-29 dienos fondų grynųjų aktyvų dydis.</v>
      </c>
      <c r="B15" s="54"/>
      <c r="C15" s="54"/>
    </row>
    <row r="16" spans="1:23"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s="55" customFormat="1" ht="13.5" x14ac:dyDescent="0.3">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s="55" customFormat="1" ht="13.5" x14ac:dyDescent="0.3">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s="55" customFormat="1" ht="13.5" x14ac:dyDescent="0.3">
      <c r="A21" s="56" t="str">
        <f>+GCF_2024!A72</f>
        <v>[10] Apskaičiuota taikant geometrinį vidurkį.</v>
      </c>
    </row>
    <row r="22" spans="1:5" s="55" customFormat="1" ht="13.5" x14ac:dyDescent="0.3">
      <c r="A22" s="56" t="str">
        <f>+GCF_2024!A73</f>
        <v>[11] Goindex, UAB valdomi pensijų fondai įsteigti 2022-07-05.</v>
      </c>
    </row>
    <row r="23" spans="1:5" s="55" customFormat="1" ht="13.5" x14ac:dyDescent="0.3">
      <c r="A23" s="56"/>
    </row>
    <row r="24" spans="1:5" x14ac:dyDescent="0.35">
      <c r="A24" s="56"/>
    </row>
    <row r="25" spans="1:5" x14ac:dyDescent="0.35">
      <c r="A25" s="37" t="str">
        <f>+'1996-2002'!A25</f>
        <v>Rizikos ir grąžos palyginimas (per praėjusius 3 metus)</v>
      </c>
      <c r="B25" s="37"/>
      <c r="C25" s="37"/>
      <c r="D25" s="37"/>
      <c r="E25" s="37"/>
    </row>
    <row r="26" spans="1:5" s="55" customFormat="1" ht="13.5" x14ac:dyDescent="0.3">
      <c r="A26" s="53" t="str">
        <f>+'1996-2002'!A26</f>
        <v>Kuo pensijų fondas paveiksle vaizduojamas aukščiau, tuo jo uždirbama grąža yra didesnė. Kuo žemiau – tuo grąža mažesnė.</v>
      </c>
      <c r="B26" s="54"/>
      <c r="C26" s="54"/>
    </row>
    <row r="27" spans="1:5" s="55" customFormat="1" ht="13.5" x14ac:dyDescent="0.3">
      <c r="A27" s="53" t="str">
        <f>+'1996-2002'!A27</f>
        <v>Dešiniau pavaizduoti pensijų fondai prisiima didesnę riziką (jų vieneto vertės svyruoja daugiau). Kairiau – mažesnę (jų vieneto vertės svyruoja mažiau).</v>
      </c>
      <c r="B27" s="54"/>
      <c r="C27" s="54"/>
    </row>
    <row r="28" spans="1:5" x14ac:dyDescent="0.35">
      <c r="A28" s="18"/>
      <c r="B28" s="18"/>
      <c r="C28" s="18"/>
    </row>
    <row r="35" spans="1:3" x14ac:dyDescent="0.35">
      <c r="A35" s="37" t="s">
        <v>0</v>
      </c>
      <c r="B35" s="37" t="s">
        <v>73</v>
      </c>
      <c r="C35" s="37" t="s">
        <v>72</v>
      </c>
    </row>
    <row r="36" spans="1:3" x14ac:dyDescent="0.35">
      <c r="A36" s="32" t="str">
        <f>+B4</f>
        <v>LMN-82/88</v>
      </c>
      <c r="B36" s="33">
        <f>+P4</f>
        <v>10.883093793679285</v>
      </c>
      <c r="C36" s="33">
        <f>+J4</f>
        <v>5.5212435677058469</v>
      </c>
    </row>
    <row r="37" spans="1:3" x14ac:dyDescent="0.35">
      <c r="A37" s="32" t="str">
        <f>+B5</f>
        <v>INV-82/88</v>
      </c>
      <c r="B37" s="33">
        <f>+P5</f>
        <v>10.174667248543075</v>
      </c>
      <c r="C37" s="33">
        <f>+J5</f>
        <v>7.735064115358159</v>
      </c>
    </row>
    <row r="38" spans="1:3" x14ac:dyDescent="0.35">
      <c r="A38" s="32" t="str">
        <f>+B6</f>
        <v>SBN-82/88</v>
      </c>
      <c r="B38" s="33">
        <f>+P6</f>
        <v>11.741186147852439</v>
      </c>
      <c r="C38" s="33">
        <f>+J6</f>
        <v>6.8457941517000132</v>
      </c>
    </row>
    <row r="39" spans="1:3" x14ac:dyDescent="0.35">
      <c r="A39" s="32" t="str">
        <f>+B7</f>
        <v>SWD-82/88</v>
      </c>
      <c r="B39" s="33">
        <f>+P7</f>
        <v>12.734842279375705</v>
      </c>
      <c r="C39" s="33">
        <f>+J7</f>
        <v>9.0033483021246354</v>
      </c>
    </row>
    <row r="40" spans="1:3" x14ac:dyDescent="0.35">
      <c r="A40" s="32" t="str">
        <f>+B8</f>
        <v>AVI-82/88</v>
      </c>
      <c r="B40" s="33">
        <f>+P8</f>
        <v>11.691744548644721</v>
      </c>
      <c r="C40" s="33">
        <f>+J8</f>
        <v>8.2755752904078115</v>
      </c>
    </row>
    <row r="57" spans="1:5" x14ac:dyDescent="0.35">
      <c r="A57" s="37" t="str">
        <f>+'1996-2002'!A57</f>
        <v>Dalyvių skaičiaus, grąžos (per praėjusius 3 metus) ir fondo turto palyginimas</v>
      </c>
      <c r="B57" s="37"/>
      <c r="C57" s="37"/>
      <c r="D57" s="37"/>
      <c r="E57" s="37"/>
    </row>
    <row r="58" spans="1:5" s="55" customFormat="1" ht="13.5" x14ac:dyDescent="0.3">
      <c r="A58" s="53" t="str">
        <f>+'1996-2002'!A58</f>
        <v>Kuo pensijų fondas paveiksle pavaizduotas aukščiau, tuo jo uždirbama grąža yra didesnė. Kuo žemiau – tuo grąža mažesnė.</v>
      </c>
      <c r="B58" s="54"/>
      <c r="C58" s="54"/>
    </row>
    <row r="59" spans="1:5" s="55" customFormat="1" ht="13.5" x14ac:dyDescent="0.3">
      <c r="A59" s="53" t="str">
        <f>+'1996-2002'!A59</f>
        <v>Dešiniau pavaizduoti pensijų fondai turi daugiau dalyvių. Kairiau – mažiau.</v>
      </c>
      <c r="B59" s="54"/>
      <c r="C59" s="54"/>
    </row>
    <row r="60" spans="1:5" s="55" customFormat="1" ht="13.5" x14ac:dyDescent="0.3">
      <c r="A60" s="53" t="str">
        <f>+'1996-2002'!A60</f>
        <v>Kuo didesnis fondą vaizduojančio skritulio dydis – tuo fondas turi daugiau turto. Kuo mažesnis – mažiau.</v>
      </c>
      <c r="B60" s="54"/>
      <c r="C60" s="54"/>
    </row>
    <row r="65" spans="1:4" x14ac:dyDescent="0.35">
      <c r="A65" s="37" t="s">
        <v>0</v>
      </c>
      <c r="B65" s="37" t="s">
        <v>77</v>
      </c>
      <c r="C65" s="37" t="s">
        <v>78</v>
      </c>
      <c r="D65" s="37" t="s">
        <v>79</v>
      </c>
    </row>
    <row r="66" spans="1:4" x14ac:dyDescent="0.35">
      <c r="A66" s="32" t="str">
        <f>+B4</f>
        <v>LMN-82/88</v>
      </c>
      <c r="B66" s="33">
        <f>+G4/1000</f>
        <v>26.132000000000001</v>
      </c>
      <c r="C66" s="33">
        <f>+J4</f>
        <v>5.5212435677058469</v>
      </c>
      <c r="D66" s="33">
        <f>+F4</f>
        <v>117.31881745</v>
      </c>
    </row>
    <row r="67" spans="1:4" x14ac:dyDescent="0.35">
      <c r="A67" s="32" t="str">
        <f>+B5</f>
        <v>INV-82/88</v>
      </c>
      <c r="B67" s="33">
        <f>+G5/1000</f>
        <v>44.292000000000002</v>
      </c>
      <c r="C67" s="33">
        <f>+J5</f>
        <v>7.735064115358159</v>
      </c>
      <c r="D67" s="33">
        <f>+F5</f>
        <v>253.8462096536</v>
      </c>
    </row>
    <row r="68" spans="1:4" x14ac:dyDescent="0.35">
      <c r="A68" s="32" t="str">
        <f>+B6</f>
        <v>SBN-82/88</v>
      </c>
      <c r="B68" s="33">
        <f>+G6/1000</f>
        <v>73.986000000000004</v>
      </c>
      <c r="C68" s="33">
        <f>+J6</f>
        <v>6.8457941517000132</v>
      </c>
      <c r="D68" s="33">
        <f>+F6</f>
        <v>404.37063704000002</v>
      </c>
    </row>
    <row r="69" spans="1:4" x14ac:dyDescent="0.35">
      <c r="A69" s="32" t="str">
        <f>+B7</f>
        <v>SWD-82/88</v>
      </c>
      <c r="B69" s="33">
        <f>+G7/1000</f>
        <v>113.84699999999999</v>
      </c>
      <c r="C69" s="33">
        <f>+J7</f>
        <v>9.0033483021246354</v>
      </c>
      <c r="D69" s="33">
        <f>+F7</f>
        <v>547.78485548000003</v>
      </c>
    </row>
    <row r="70" spans="1:4" x14ac:dyDescent="0.35">
      <c r="A70" s="32" t="str">
        <f>+B8</f>
        <v>AVI-82/88</v>
      </c>
      <c r="B70" s="33">
        <f>+G8/1000</f>
        <v>47.768000000000001</v>
      </c>
      <c r="C70" s="33">
        <f>+J8</f>
        <v>8.2755752904078115</v>
      </c>
      <c r="D70" s="33">
        <f>+F8</f>
        <v>195.53420259999999</v>
      </c>
    </row>
  </sheetData>
  <mergeCells count="7">
    <mergeCell ref="S1:U1"/>
    <mergeCell ref="P1:Q1"/>
    <mergeCell ref="A3:C3"/>
    <mergeCell ref="D1:D2"/>
    <mergeCell ref="F1:F2"/>
    <mergeCell ref="G1:G2"/>
    <mergeCell ref="I1:M1"/>
  </mergeCells>
  <conditionalFormatting sqref="I4:I8">
    <cfRule type="cellIs" dxfId="101" priority="27" operator="greaterThanOrEqual">
      <formula>0</formula>
    </cfRule>
    <cfRule type="cellIs" dxfId="100" priority="28" operator="lessThan">
      <formula>0</formula>
    </cfRule>
  </conditionalFormatting>
  <conditionalFormatting sqref="J4:M8">
    <cfRule type="cellIs" dxfId="99" priority="25" operator="greaterThanOrEqual">
      <formula>0</formula>
    </cfRule>
    <cfRule type="cellIs" dxfId="98" priority="26" operator="lessThan">
      <formula>0</formula>
    </cfRule>
  </conditionalFormatting>
  <conditionalFormatting sqref="I3:M3">
    <cfRule type="cellIs" dxfId="97" priority="19" operator="greaterThanOrEqual">
      <formula>0</formula>
    </cfRule>
    <cfRule type="cellIs" dxfId="96" priority="20" operator="lessThan">
      <formula>0</formula>
    </cfRule>
  </conditionalFormatting>
  <conditionalFormatting sqref="P4:Q8">
    <cfRule type="cellIs" dxfId="95" priority="17" operator="greaterThanOrEqual">
      <formula>0</formula>
    </cfRule>
    <cfRule type="cellIs" dxfId="94" priority="18" operator="lessThan">
      <formula>0</formula>
    </cfRule>
  </conditionalFormatting>
  <conditionalFormatting sqref="S4:U9">
    <cfRule type="cellIs" dxfId="93" priority="15" operator="greaterThanOrEqual">
      <formula>0</formula>
    </cfRule>
    <cfRule type="cellIs" dxfId="92" priority="16" operator="lessThan">
      <formula>0</formula>
    </cfRule>
  </conditionalFormatting>
  <conditionalFormatting sqref="I9">
    <cfRule type="cellIs" dxfId="91" priority="13" operator="greaterThanOrEqual">
      <formula>0</formula>
    </cfRule>
    <cfRule type="cellIs" dxfId="90" priority="14" operator="lessThan">
      <formula>0</formula>
    </cfRule>
  </conditionalFormatting>
  <conditionalFormatting sqref="J9:M9">
    <cfRule type="cellIs" dxfId="89" priority="11" operator="greaterThanOrEqual">
      <formula>0</formula>
    </cfRule>
    <cfRule type="cellIs" dxfId="88" priority="12" operator="lessThan">
      <formula>0</formula>
    </cfRule>
  </conditionalFormatting>
  <conditionalFormatting sqref="P9:Q9">
    <cfRule type="cellIs" dxfId="87" priority="9" operator="greaterThanOrEqual">
      <formula>0</formula>
    </cfRule>
    <cfRule type="cellIs" dxfId="86" priority="10" operator="lessThan">
      <formula>0</formula>
    </cfRule>
  </conditionalFormatting>
  <conditionalFormatting sqref="N4:N8">
    <cfRule type="cellIs" dxfId="85" priority="5" operator="greaterThanOrEqual">
      <formula>0</formula>
    </cfRule>
    <cfRule type="cellIs" dxfId="84" priority="6" operator="lessThan">
      <formula>0</formula>
    </cfRule>
  </conditionalFormatting>
  <conditionalFormatting sqref="N3">
    <cfRule type="cellIs" dxfId="83" priority="3" operator="greaterThanOrEqual">
      <formula>0</formula>
    </cfRule>
    <cfRule type="cellIs" dxfId="82" priority="4" operator="lessThan">
      <formula>0</formula>
    </cfRule>
  </conditionalFormatting>
  <conditionalFormatting sqref="N9">
    <cfRule type="cellIs" dxfId="81" priority="1" operator="greaterThanOrEqual">
      <formula>0</formula>
    </cfRule>
    <cfRule type="cellIs" dxfId="80" priority="2" operator="lessThan">
      <formula>0</formula>
    </cfRule>
  </conditionalFormatting>
  <hyperlinks>
    <hyperlink ref="C1" location="GCF_2024!A1" display="Grįžti į pagrindinį puslapį" xr:uid="{00000000-0004-0000-03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70"/>
  <sheetViews>
    <sheetView showGridLines="0" zoomScale="70" zoomScaleNormal="70" workbookViewId="0"/>
  </sheetViews>
  <sheetFormatPr defaultColWidth="8.81640625" defaultRowHeight="15.5" x14ac:dyDescent="0.35"/>
  <cols>
    <col min="1" max="1" width="42.453125" style="16" customWidth="1"/>
    <col min="2" max="2" width="14.81640625" style="16" bestFit="1" customWidth="1"/>
    <col min="3" max="3" width="67.1796875" style="16" customWidth="1"/>
    <col min="4" max="4" width="13.453125" style="16" customWidth="1"/>
    <col min="5" max="5" width="15.1796875" style="16" customWidth="1"/>
    <col min="6" max="6" width="13" style="16" customWidth="1"/>
    <col min="7" max="7" width="14.453125" style="16" customWidth="1"/>
    <col min="8" max="8" width="1.1796875" style="16" customWidth="1"/>
    <col min="9" max="9" width="18.453125" style="16" customWidth="1"/>
    <col min="10" max="11" width="17.453125" style="16" customWidth="1"/>
    <col min="12" max="12" width="18.453125" style="16" customWidth="1"/>
    <col min="13" max="14" width="17.453125" style="16" customWidth="1"/>
    <col min="15" max="15" width="1.1796875" style="16" customWidth="1"/>
    <col min="16" max="17" width="18.453125" style="16" customWidth="1"/>
    <col min="18" max="18" width="1.1796875" style="16" customWidth="1"/>
    <col min="19" max="20" width="8.81640625" style="16"/>
    <col min="21" max="21" width="12.453125" style="16" customWidth="1"/>
    <col min="22" max="16384" width="8.81640625" style="16"/>
  </cols>
  <sheetData>
    <row r="1" spans="1:23" ht="22.4" customHeight="1" x14ac:dyDescent="0.35">
      <c r="A1" s="25">
        <f>+GCF_2024!A1</f>
        <v>45382</v>
      </c>
      <c r="B1" s="26"/>
      <c r="C1" s="86" t="s">
        <v>76</v>
      </c>
      <c r="D1" s="102" t="s">
        <v>90</v>
      </c>
      <c r="E1" s="31" t="s">
        <v>75</v>
      </c>
      <c r="F1" s="102" t="s">
        <v>100</v>
      </c>
      <c r="G1" s="102" t="s">
        <v>71</v>
      </c>
      <c r="H1" s="28"/>
      <c r="I1" s="100" t="s">
        <v>72</v>
      </c>
      <c r="J1" s="106">
        <v>0</v>
      </c>
      <c r="K1" s="106"/>
      <c r="L1" s="106">
        <v>0</v>
      </c>
      <c r="M1" s="106">
        <v>0</v>
      </c>
      <c r="N1" s="88"/>
      <c r="O1" s="29"/>
      <c r="P1" s="104" t="s">
        <v>97</v>
      </c>
      <c r="Q1" s="105">
        <v>0</v>
      </c>
      <c r="R1" s="29"/>
      <c r="S1" s="100" t="s">
        <v>166</v>
      </c>
      <c r="T1" s="106">
        <v>0</v>
      </c>
      <c r="U1" s="106">
        <v>0</v>
      </c>
    </row>
    <row r="2" spans="1:23" ht="81" x14ac:dyDescent="0.35">
      <c r="A2" s="24" t="str">
        <f>+GCF_2024!A2</f>
        <v xml:space="preserve">Pensijų kaupimo bendrovės pavadinimas
</v>
      </c>
      <c r="B2" s="24" t="str">
        <f>+GCF_2024!B2</f>
        <v xml:space="preserve">Fondo kodas
</v>
      </c>
      <c r="C2" s="24" t="str">
        <f>+GCF_2024!C2</f>
        <v xml:space="preserve">Pensijų fondo pavadinimas
</v>
      </c>
      <c r="D2" s="103">
        <v>0</v>
      </c>
      <c r="E2" s="24" t="s">
        <v>99</v>
      </c>
      <c r="F2" s="103">
        <v>0</v>
      </c>
      <c r="G2" s="103">
        <v>0</v>
      </c>
      <c r="H2" s="28"/>
      <c r="I2" s="64" t="s">
        <v>92</v>
      </c>
      <c r="J2" s="24" t="s">
        <v>156</v>
      </c>
      <c r="K2" s="24" t="s">
        <v>157</v>
      </c>
      <c r="L2" s="24" t="s">
        <v>94</v>
      </c>
      <c r="M2" s="24" t="s">
        <v>158</v>
      </c>
      <c r="N2" s="24" t="s">
        <v>159</v>
      </c>
      <c r="O2" s="30"/>
      <c r="P2" s="24" t="s">
        <v>111</v>
      </c>
      <c r="Q2" s="24" t="s">
        <v>112</v>
      </c>
      <c r="R2" s="30"/>
      <c r="S2" s="24" t="s">
        <v>149</v>
      </c>
      <c r="T2" s="24" t="s">
        <v>150</v>
      </c>
      <c r="U2" s="24" t="s">
        <v>151</v>
      </c>
    </row>
    <row r="3" spans="1:23" ht="29.15" customHeight="1" x14ac:dyDescent="0.35">
      <c r="A3" s="107" t="str">
        <f>+GCF_2024!A24</f>
        <v>Tikslinės pensijų fondų dalyvių grupės pensijų fondai, 1975-1981</v>
      </c>
      <c r="B3" s="107"/>
      <c r="C3" s="107"/>
      <c r="D3" s="44"/>
      <c r="E3" s="44"/>
      <c r="F3" s="45"/>
      <c r="G3" s="70" t="s">
        <v>98</v>
      </c>
      <c r="H3" s="45"/>
      <c r="I3" s="67">
        <v>8.4923243454722446</v>
      </c>
      <c r="J3" s="67">
        <v>7.8048318669255954</v>
      </c>
      <c r="K3" s="67">
        <v>14.6827109381643</v>
      </c>
      <c r="L3" s="67">
        <v>10.347139422138625</v>
      </c>
      <c r="M3" s="67">
        <v>8.9885568806047065</v>
      </c>
      <c r="N3" s="67">
        <v>16.370226835297128</v>
      </c>
      <c r="O3" s="45"/>
      <c r="P3" s="45"/>
      <c r="Q3" s="45"/>
      <c r="R3" s="45"/>
      <c r="S3" s="45"/>
      <c r="T3" s="45"/>
      <c r="U3" s="45"/>
    </row>
    <row r="4" spans="1:23" customFormat="1" ht="14.5" x14ac:dyDescent="0.35">
      <c r="A4" s="32" t="str">
        <f>+GCF_2024!A25</f>
        <v xml:space="preserve">Luminor investicijų valdymas UAB </v>
      </c>
      <c r="B4" s="32" t="str">
        <f>+GCF_2024!B25</f>
        <v>LMN-75/81</v>
      </c>
      <c r="C4" s="32" t="str">
        <f>+GCF_2024!C25</f>
        <v>Luminor 1975–1981 tikslinės grupės pensijų fondas</v>
      </c>
      <c r="D4" s="66" t="s">
        <v>161</v>
      </c>
      <c r="E4" s="34">
        <v>90</v>
      </c>
      <c r="F4" s="33">
        <v>132.63730889000001</v>
      </c>
      <c r="G4" s="35">
        <v>19508</v>
      </c>
      <c r="H4" s="22"/>
      <c r="I4" s="36">
        <v>9.4129158512720181</v>
      </c>
      <c r="J4" s="36">
        <v>5.6781453279032723</v>
      </c>
      <c r="K4" s="36">
        <v>13.469467815137115</v>
      </c>
      <c r="L4" s="36">
        <v>9.3137390839213907</v>
      </c>
      <c r="M4" s="36">
        <v>7.3169505008144675</v>
      </c>
      <c r="N4" s="36">
        <v>14.888144971921591</v>
      </c>
      <c r="O4" s="23"/>
      <c r="P4" s="36">
        <v>10.905828680902596</v>
      </c>
      <c r="Q4" s="36">
        <v>11.916672170909234</v>
      </c>
      <c r="R4" s="23"/>
      <c r="S4" s="36">
        <v>0.49</v>
      </c>
      <c r="T4" s="36">
        <v>0.72</v>
      </c>
      <c r="U4" s="36" t="s">
        <v>91</v>
      </c>
      <c r="V4" s="58"/>
      <c r="W4" s="58"/>
    </row>
    <row r="5" spans="1:23" customFormat="1" ht="14.5" x14ac:dyDescent="0.35">
      <c r="A5" s="32" t="str">
        <f>+GCF_2024!A26</f>
        <v>UAB „SB Asset Management“</v>
      </c>
      <c r="B5" s="32" t="str">
        <f>+GCF_2024!B26</f>
        <v>INV-75/81</v>
      </c>
      <c r="C5" s="32" t="str">
        <f>+GCF_2024!C26</f>
        <v>INVL pensija 1975–1981 Index Plus</v>
      </c>
      <c r="D5" s="66" t="s">
        <v>161</v>
      </c>
      <c r="E5" s="34">
        <v>97</v>
      </c>
      <c r="F5" s="33">
        <v>255.68835309479999</v>
      </c>
      <c r="G5" s="35">
        <v>27850</v>
      </c>
      <c r="H5" s="22"/>
      <c r="I5" s="36">
        <v>7.9167178479302214</v>
      </c>
      <c r="J5" s="36">
        <v>7.6956918161098065</v>
      </c>
      <c r="K5" s="36">
        <v>14.815518681824113</v>
      </c>
      <c r="L5" s="36">
        <v>10.532328404333624</v>
      </c>
      <c r="M5" s="36">
        <v>8.4953354337137021</v>
      </c>
      <c r="N5" s="36">
        <v>16.782548632854489</v>
      </c>
      <c r="O5" s="23"/>
      <c r="P5" s="36">
        <v>10.126082045548648</v>
      </c>
      <c r="Q5" s="36">
        <v>12.892925393682644</v>
      </c>
      <c r="R5" s="23"/>
      <c r="S5" s="36">
        <v>0.5</v>
      </c>
      <c r="T5" s="36">
        <v>1.39</v>
      </c>
      <c r="U5" s="36">
        <v>1.39</v>
      </c>
      <c r="V5" s="58"/>
      <c r="W5" s="58"/>
    </row>
    <row r="6" spans="1:23" customFormat="1" ht="14.5" x14ac:dyDescent="0.35">
      <c r="A6" s="32" t="str">
        <f>+GCF_2024!A27</f>
        <v>UAB „SEB investicijų valdymas“</v>
      </c>
      <c r="B6" s="32" t="str">
        <f>+GCF_2024!B27</f>
        <v>SBN-75/81</v>
      </c>
      <c r="C6" s="32" t="str">
        <f>+GCF_2024!C27</f>
        <v>SEB 1975–1981 metų tikslinės grupės pensijų kaupimo fondas</v>
      </c>
      <c r="D6" s="66" t="s">
        <v>161</v>
      </c>
      <c r="E6" s="34">
        <v>98</v>
      </c>
      <c r="F6" s="33">
        <v>505.11624323000001</v>
      </c>
      <c r="G6" s="35">
        <v>62799</v>
      </c>
      <c r="H6" s="22"/>
      <c r="I6" s="36">
        <v>8.1809899787427689</v>
      </c>
      <c r="J6" s="36">
        <v>6.8090968918264494</v>
      </c>
      <c r="K6" s="36">
        <v>14.373633812959795</v>
      </c>
      <c r="L6" s="36">
        <v>10.763139565263247</v>
      </c>
      <c r="M6" s="36">
        <v>9.9630213086171473</v>
      </c>
      <c r="N6" s="36">
        <v>17.556670584892942</v>
      </c>
      <c r="O6" s="23"/>
      <c r="P6" s="36">
        <v>11.724379815907305</v>
      </c>
      <c r="Q6" s="36">
        <v>13.470690300510423</v>
      </c>
      <c r="R6" s="23"/>
      <c r="S6" s="36">
        <v>0.5</v>
      </c>
      <c r="T6" s="36" t="s">
        <v>91</v>
      </c>
      <c r="U6" s="36">
        <v>0.87</v>
      </c>
      <c r="V6" s="58"/>
      <c r="W6" s="58"/>
    </row>
    <row r="7" spans="1:23" customFormat="1" ht="14.5" x14ac:dyDescent="0.35">
      <c r="A7" s="32" t="str">
        <f>+GCF_2024!A28</f>
        <v>UAB „Swedbank investicijų valdymas“</v>
      </c>
      <c r="B7" s="32" t="str">
        <f>+GCF_2024!B28</f>
        <v>SWD-75/81</v>
      </c>
      <c r="C7" s="32" t="str">
        <f>+GCF_2024!C28</f>
        <v xml:space="preserve">Swedbank pensija 1975–1981 [7] </v>
      </c>
      <c r="D7" s="66" t="s">
        <v>161</v>
      </c>
      <c r="E7" s="34">
        <v>97</v>
      </c>
      <c r="F7" s="33">
        <v>658.27322794000008</v>
      </c>
      <c r="G7" s="35">
        <v>98543</v>
      </c>
      <c r="H7" s="22"/>
      <c r="I7" s="36">
        <v>8.2402320844392243</v>
      </c>
      <c r="J7" s="36">
        <v>8.9758873155062258</v>
      </c>
      <c r="K7" s="36">
        <v>15.17345987784009</v>
      </c>
      <c r="L7" s="36">
        <v>10.189151608214342</v>
      </c>
      <c r="M7" s="36">
        <v>8.8112656363534825</v>
      </c>
      <c r="N7" s="36">
        <v>15.907325595811027</v>
      </c>
      <c r="O7" s="23"/>
      <c r="P7" s="36">
        <v>12.609514678028191</v>
      </c>
      <c r="Q7" s="36">
        <v>13.255328450610021</v>
      </c>
      <c r="R7" s="23"/>
      <c r="S7" s="36">
        <v>0.5</v>
      </c>
      <c r="T7" s="36" t="s">
        <v>91</v>
      </c>
      <c r="U7" s="36">
        <v>0.83079999999999998</v>
      </c>
      <c r="V7" s="58"/>
      <c r="W7" s="58"/>
    </row>
    <row r="8" spans="1:23" customFormat="1" ht="14.5" x14ac:dyDescent="0.35">
      <c r="A8" s="32" t="str">
        <f>+GCF_2024!A29</f>
        <v>Allianz Lietuva gyvybės draudimas UAB</v>
      </c>
      <c r="B8" s="32" t="str">
        <f>+GCF_2024!B29</f>
        <v>AVI-75/81</v>
      </c>
      <c r="C8" s="32" t="str">
        <f>+GCF_2024!C29</f>
        <v>Allianz X3 1975–1981 tikslinės grupės pensijų fondas</v>
      </c>
      <c r="D8" s="66" t="s">
        <v>161</v>
      </c>
      <c r="E8" s="34">
        <v>90</v>
      </c>
      <c r="F8" s="33">
        <v>237.47193615</v>
      </c>
      <c r="G8" s="35">
        <v>39988</v>
      </c>
      <c r="H8" s="22"/>
      <c r="I8" s="36">
        <v>9.8617271067049206</v>
      </c>
      <c r="J8" s="36">
        <v>7.9819950280184848</v>
      </c>
      <c r="K8" s="36">
        <v>14.514425357510952</v>
      </c>
      <c r="L8" s="36">
        <v>10.278025961833336</v>
      </c>
      <c r="M8" s="36">
        <v>8.8719815048207362</v>
      </c>
      <c r="N8" s="36">
        <v>15.513607517607152</v>
      </c>
      <c r="O8" s="23"/>
      <c r="P8" s="36">
        <v>11.744352519418623</v>
      </c>
      <c r="Q8" s="36">
        <v>13.043972179970162</v>
      </c>
      <c r="R8" s="23"/>
      <c r="S8" s="36">
        <v>0.5</v>
      </c>
      <c r="T8" s="36">
        <v>0.99</v>
      </c>
      <c r="U8" s="36" t="s">
        <v>91</v>
      </c>
      <c r="V8" s="58"/>
      <c r="W8" s="58"/>
    </row>
    <row r="9" spans="1:23" customFormat="1" ht="14.5" x14ac:dyDescent="0.35">
      <c r="A9" s="32" t="str">
        <f>+GCF_2024!A30</f>
        <v>Goindex, UAB</v>
      </c>
      <c r="B9" s="32" t="str">
        <f>+GCF_2024!B30</f>
        <v>GOX-75/81</v>
      </c>
      <c r="C9" s="32" t="str">
        <f>+GCF_2024!C30</f>
        <v>Goindex pensija 1975–1981 tikslinės grupės pensijų fondas</v>
      </c>
      <c r="D9" s="66" t="s">
        <v>162</v>
      </c>
      <c r="E9" s="34">
        <v>100</v>
      </c>
      <c r="F9" s="33">
        <v>13.299993022000001</v>
      </c>
      <c r="G9" s="35">
        <v>1168</v>
      </c>
      <c r="H9" s="22"/>
      <c r="I9" s="36">
        <v>10.227814317033657</v>
      </c>
      <c r="J9" s="36" t="s">
        <v>164</v>
      </c>
      <c r="K9" s="36" t="s">
        <v>164</v>
      </c>
      <c r="L9" s="36">
        <v>10.19330504479019</v>
      </c>
      <c r="M9" s="36" t="s">
        <v>164</v>
      </c>
      <c r="N9" s="36" t="s">
        <v>164</v>
      </c>
      <c r="O9" s="23"/>
      <c r="P9" s="36" t="s">
        <v>164</v>
      </c>
      <c r="Q9" s="36" t="s">
        <v>164</v>
      </c>
      <c r="R9" s="23"/>
      <c r="S9" s="36">
        <v>0.45</v>
      </c>
      <c r="T9" s="36">
        <v>0.56999999999999995</v>
      </c>
      <c r="U9" s="36" t="s">
        <v>91</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3" s="55" customFormat="1" ht="13.5" x14ac:dyDescent="0.3">
      <c r="A12" s="49" t="str">
        <f>+GCF_2024!A63</f>
        <v>[1] Apskaitos vieneto vertės pokytis. Juo atsižvelgiama į atskaitymus nuo turto.</v>
      </c>
      <c r="B12" s="53"/>
      <c r="C12" s="53"/>
    </row>
    <row r="13" spans="1:23"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3"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3" s="55" customFormat="1" ht="13.5" x14ac:dyDescent="0.3">
      <c r="A15" s="53" t="str">
        <f>+GCF_2024!A66</f>
        <v>[4] Svertiniam vidurkiui apskaičiuoti naudotas 2024-03-29 dienos fondų grynųjų aktyvų dydis.</v>
      </c>
      <c r="B15" s="54"/>
      <c r="C15" s="54"/>
    </row>
    <row r="16" spans="1:23"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s="55" customFormat="1" ht="13.5" x14ac:dyDescent="0.3">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s="55" customFormat="1" ht="13.5" x14ac:dyDescent="0.3">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s="55" customFormat="1" ht="13.5" x14ac:dyDescent="0.3">
      <c r="A21" s="56" t="str">
        <f>+GCF_2024!A72</f>
        <v>[10] Apskaičiuota taikant geometrinį vidurkį.</v>
      </c>
    </row>
    <row r="22" spans="1:5" s="55" customFormat="1" ht="13.5" x14ac:dyDescent="0.3">
      <c r="A22" s="56" t="str">
        <f>+GCF_2024!A73</f>
        <v>[11] Goindex, UAB valdomi pensijų fondai įsteigti 2022-07-05.</v>
      </c>
    </row>
    <row r="23" spans="1:5" s="55" customFormat="1" ht="13.5" x14ac:dyDescent="0.3">
      <c r="A23" s="56"/>
    </row>
    <row r="24" spans="1:5" x14ac:dyDescent="0.35">
      <c r="A24" s="56"/>
    </row>
    <row r="25" spans="1:5" x14ac:dyDescent="0.35">
      <c r="A25" s="37" t="str">
        <f>+'1996-2002'!A25</f>
        <v>Rizikos ir grąžos palyginimas (per praėjusius 3 metus)</v>
      </c>
      <c r="B25" s="37"/>
      <c r="C25" s="37"/>
      <c r="D25" s="37"/>
      <c r="E25" s="37"/>
    </row>
    <row r="26" spans="1:5" s="55" customFormat="1" ht="13.5" x14ac:dyDescent="0.3">
      <c r="A26" s="53" t="str">
        <f>+'1996-2002'!A26</f>
        <v>Kuo pensijų fondas paveiksle vaizduojamas aukščiau, tuo jo uždirbama grąža yra didesnė. Kuo žemiau – tuo grąža mažesnė.</v>
      </c>
      <c r="B26" s="54"/>
      <c r="C26" s="54"/>
    </row>
    <row r="27" spans="1:5" s="55" customFormat="1" ht="13.5" x14ac:dyDescent="0.3">
      <c r="A27" s="53" t="str">
        <f>+'1996-2002'!A27</f>
        <v>Dešiniau pavaizduoti pensijų fondai prisiima didesnę riziką (jų vieneto vertės svyruoja daugiau). Kairiau – mažesnę (jų vieneto vertės svyruoja mažiau).</v>
      </c>
      <c r="B27" s="54"/>
      <c r="C27" s="54"/>
    </row>
    <row r="28" spans="1:5" x14ac:dyDescent="0.35">
      <c r="A28" s="18"/>
      <c r="B28" s="18"/>
      <c r="C28" s="18"/>
    </row>
    <row r="35" spans="1:3" x14ac:dyDescent="0.35">
      <c r="A35" s="37" t="s">
        <v>0</v>
      </c>
      <c r="B35" s="37" t="s">
        <v>73</v>
      </c>
      <c r="C35" s="37" t="s">
        <v>72</v>
      </c>
    </row>
    <row r="36" spans="1:3" x14ac:dyDescent="0.35">
      <c r="A36" s="32" t="str">
        <f>+B4</f>
        <v>LMN-75/81</v>
      </c>
      <c r="B36" s="33">
        <f>+P4</f>
        <v>10.905828680902596</v>
      </c>
      <c r="C36" s="33">
        <f>+J4</f>
        <v>5.6781453279032723</v>
      </c>
    </row>
    <row r="37" spans="1:3" x14ac:dyDescent="0.35">
      <c r="A37" s="32" t="str">
        <f>+B5</f>
        <v>INV-75/81</v>
      </c>
      <c r="B37" s="33">
        <f>+P5</f>
        <v>10.126082045548648</v>
      </c>
      <c r="C37" s="33">
        <f>+J5</f>
        <v>7.6956918161098065</v>
      </c>
    </row>
    <row r="38" spans="1:3" x14ac:dyDescent="0.35">
      <c r="A38" s="32" t="str">
        <f>+B6</f>
        <v>SBN-75/81</v>
      </c>
      <c r="B38" s="33">
        <f>+P6</f>
        <v>11.724379815907305</v>
      </c>
      <c r="C38" s="33">
        <f>+J6</f>
        <v>6.8090968918264494</v>
      </c>
    </row>
    <row r="39" spans="1:3" x14ac:dyDescent="0.35">
      <c r="A39" s="32" t="str">
        <f>+B7</f>
        <v>SWD-75/81</v>
      </c>
      <c r="B39" s="33">
        <f>+P7</f>
        <v>12.609514678028191</v>
      </c>
      <c r="C39" s="33">
        <f>+J7</f>
        <v>8.9758873155062258</v>
      </c>
    </row>
    <row r="40" spans="1:3" x14ac:dyDescent="0.35">
      <c r="A40" s="32" t="str">
        <f>+B8</f>
        <v>AVI-75/81</v>
      </c>
      <c r="B40" s="33">
        <f>+P8</f>
        <v>11.744352519418623</v>
      </c>
      <c r="C40" s="33">
        <f>+J8</f>
        <v>7.9819950280184848</v>
      </c>
    </row>
    <row r="57" spans="1:5" x14ac:dyDescent="0.35">
      <c r="A57" s="37" t="str">
        <f>+'1996-2002'!A57</f>
        <v>Dalyvių skaičiaus, grąžos (per praėjusius 3 metus) ir fondo turto palyginimas</v>
      </c>
      <c r="B57" s="37"/>
      <c r="C57" s="37"/>
      <c r="D57" s="37"/>
      <c r="E57" s="37"/>
    </row>
    <row r="58" spans="1:5" s="55" customFormat="1" ht="13.5" x14ac:dyDescent="0.3">
      <c r="A58" s="53" t="str">
        <f>+'1996-2002'!A58</f>
        <v>Kuo pensijų fondas paveiksle pavaizduotas aukščiau, tuo jo uždirbama grąža yra didesnė. Kuo žemiau – tuo grąža mažesnė.</v>
      </c>
      <c r="B58" s="54"/>
      <c r="C58" s="54"/>
    </row>
    <row r="59" spans="1:5" s="55" customFormat="1" ht="13.5" x14ac:dyDescent="0.3">
      <c r="A59" s="53" t="str">
        <f>+'1996-2002'!A59</f>
        <v>Dešiniau pavaizduoti pensijų fondai turi daugiau dalyvių. Kairiau – mažiau.</v>
      </c>
      <c r="B59" s="54"/>
      <c r="C59" s="54"/>
    </row>
    <row r="60" spans="1:5" s="55" customFormat="1" ht="13.5" x14ac:dyDescent="0.3">
      <c r="A60" s="53" t="str">
        <f>+'1996-2002'!A60</f>
        <v>Kuo didesnis fondą vaizduojančio skritulio dydis – tuo fondas turi daugiau turto. Kuo mažesnis – mažiau.</v>
      </c>
      <c r="B60" s="54"/>
      <c r="C60" s="54"/>
    </row>
    <row r="65" spans="1:4" x14ac:dyDescent="0.35">
      <c r="A65" s="37" t="s">
        <v>0</v>
      </c>
      <c r="B65" s="37" t="s">
        <v>77</v>
      </c>
      <c r="C65" s="37" t="s">
        <v>78</v>
      </c>
      <c r="D65" s="37" t="s">
        <v>79</v>
      </c>
    </row>
    <row r="66" spans="1:4" x14ac:dyDescent="0.35">
      <c r="A66" s="32" t="str">
        <f>+B5</f>
        <v>INV-75/81</v>
      </c>
      <c r="B66" s="33">
        <f>+G5/1000</f>
        <v>27.85</v>
      </c>
      <c r="C66" s="33">
        <f>+J5</f>
        <v>7.6956918161098065</v>
      </c>
      <c r="D66" s="33">
        <f>+F5</f>
        <v>255.68835309479999</v>
      </c>
    </row>
    <row r="67" spans="1:4" x14ac:dyDescent="0.35">
      <c r="A67" s="32" t="str">
        <f>+B4</f>
        <v>LMN-75/81</v>
      </c>
      <c r="B67" s="33">
        <f>+G4/1000</f>
        <v>19.507999999999999</v>
      </c>
      <c r="C67" s="33">
        <f>+J4</f>
        <v>5.6781453279032723</v>
      </c>
      <c r="D67" s="33">
        <f>+F4</f>
        <v>132.63730889000001</v>
      </c>
    </row>
    <row r="68" spans="1:4" x14ac:dyDescent="0.35">
      <c r="A68" s="32" t="str">
        <f>+B6</f>
        <v>SBN-75/81</v>
      </c>
      <c r="B68" s="33">
        <f>+G6/1000</f>
        <v>62.798999999999999</v>
      </c>
      <c r="C68" s="33">
        <f>+J6</f>
        <v>6.8090968918264494</v>
      </c>
      <c r="D68" s="33">
        <f>+F6</f>
        <v>505.11624323000001</v>
      </c>
    </row>
    <row r="69" spans="1:4" x14ac:dyDescent="0.35">
      <c r="A69" s="32" t="str">
        <f>+B7</f>
        <v>SWD-75/81</v>
      </c>
      <c r="B69" s="33">
        <f>+G7/1000</f>
        <v>98.543000000000006</v>
      </c>
      <c r="C69" s="33">
        <f>+J7</f>
        <v>8.9758873155062258</v>
      </c>
      <c r="D69" s="33">
        <f>+F7</f>
        <v>658.27322794000008</v>
      </c>
    </row>
    <row r="70" spans="1:4" x14ac:dyDescent="0.35">
      <c r="A70" s="32" t="str">
        <f>+B8</f>
        <v>AVI-75/81</v>
      </c>
      <c r="B70" s="33">
        <f>+G8/1000</f>
        <v>39.988</v>
      </c>
      <c r="C70" s="33">
        <f>+J8</f>
        <v>7.9819950280184848</v>
      </c>
      <c r="D70" s="33">
        <f>+F8</f>
        <v>237.47193615</v>
      </c>
    </row>
  </sheetData>
  <mergeCells count="7">
    <mergeCell ref="S1:U1"/>
    <mergeCell ref="P1:Q1"/>
    <mergeCell ref="A3:C3"/>
    <mergeCell ref="D1:D2"/>
    <mergeCell ref="F1:F2"/>
    <mergeCell ref="G1:G2"/>
    <mergeCell ref="I1:M1"/>
  </mergeCells>
  <conditionalFormatting sqref="I4:I8">
    <cfRule type="cellIs" dxfId="79" priority="21" operator="greaterThanOrEqual">
      <formula>0</formula>
    </cfRule>
    <cfRule type="cellIs" dxfId="78" priority="22" operator="lessThan">
      <formula>0</formula>
    </cfRule>
  </conditionalFormatting>
  <conditionalFormatting sqref="J4:N8">
    <cfRule type="cellIs" dxfId="77" priority="19" operator="greaterThanOrEqual">
      <formula>0</formula>
    </cfRule>
    <cfRule type="cellIs" dxfId="76" priority="20" operator="lessThan">
      <formula>0</formula>
    </cfRule>
  </conditionalFormatting>
  <conditionalFormatting sqref="I3:N3">
    <cfRule type="cellIs" dxfId="75" priority="13" operator="greaterThanOrEqual">
      <formula>0</formula>
    </cfRule>
    <cfRule type="cellIs" dxfId="74" priority="14" operator="lessThan">
      <formula>0</formula>
    </cfRule>
  </conditionalFormatting>
  <conditionalFormatting sqref="P4:Q8">
    <cfRule type="cellIs" dxfId="73" priority="11" operator="greaterThanOrEqual">
      <formula>0</formula>
    </cfRule>
    <cfRule type="cellIs" dxfId="72" priority="12" operator="lessThan">
      <formula>0</formula>
    </cfRule>
  </conditionalFormatting>
  <conditionalFormatting sqref="S4:U9">
    <cfRule type="cellIs" dxfId="71" priority="9" operator="greaterThanOrEqual">
      <formula>0</formula>
    </cfRule>
    <cfRule type="cellIs" dxfId="70" priority="10" operator="lessThan">
      <formula>0</formula>
    </cfRule>
  </conditionalFormatting>
  <conditionalFormatting sqref="I9">
    <cfRule type="cellIs" dxfId="69" priority="7" operator="greaterThanOrEqual">
      <formula>0</formula>
    </cfRule>
    <cfRule type="cellIs" dxfId="68" priority="8" operator="lessThan">
      <formula>0</formula>
    </cfRule>
  </conditionalFormatting>
  <conditionalFormatting sqref="J9:N9">
    <cfRule type="cellIs" dxfId="67" priority="5" operator="greaterThanOrEqual">
      <formula>0</formula>
    </cfRule>
    <cfRule type="cellIs" dxfId="66" priority="6" operator="lessThan">
      <formula>0</formula>
    </cfRule>
  </conditionalFormatting>
  <conditionalFormatting sqref="P9:Q9">
    <cfRule type="cellIs" dxfId="65" priority="3" operator="greaterThanOrEqual">
      <formula>0</formula>
    </cfRule>
    <cfRule type="cellIs" dxfId="64" priority="4" operator="lessThan">
      <formula>0</formula>
    </cfRule>
  </conditionalFormatting>
  <hyperlinks>
    <hyperlink ref="C1" location="GCF_2024!A1" display="Grįžti į pagrindinį puslapį" xr:uid="{00000000-0004-0000-04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70"/>
  <sheetViews>
    <sheetView showGridLines="0" zoomScale="70" zoomScaleNormal="70" workbookViewId="0"/>
  </sheetViews>
  <sheetFormatPr defaultColWidth="8.81640625" defaultRowHeight="15.5" x14ac:dyDescent="0.35"/>
  <cols>
    <col min="1" max="1" width="44.81640625" style="16" customWidth="1"/>
    <col min="2" max="2" width="14.81640625" style="16" bestFit="1" customWidth="1"/>
    <col min="3" max="3" width="68.453125" style="16" customWidth="1"/>
    <col min="4" max="4" width="13.453125" style="16" customWidth="1"/>
    <col min="5" max="5" width="17.54296875" style="16" customWidth="1"/>
    <col min="6" max="6" width="17" style="16" customWidth="1"/>
    <col min="7" max="7" width="13.453125" style="16" customWidth="1"/>
    <col min="8" max="8" width="1.81640625" style="16" customWidth="1"/>
    <col min="9" max="9" width="16.54296875" style="16" customWidth="1"/>
    <col min="10" max="11" width="17" style="16" customWidth="1"/>
    <col min="12" max="12" width="18.54296875" style="16" customWidth="1"/>
    <col min="13" max="13" width="17.54296875" style="16" customWidth="1"/>
    <col min="14" max="14" width="18.1796875" style="16" customWidth="1"/>
    <col min="15" max="15" width="1.81640625" style="16" customWidth="1"/>
    <col min="16" max="16" width="17.81640625" style="16" customWidth="1"/>
    <col min="17" max="17" width="16.453125" style="16" customWidth="1"/>
    <col min="18" max="18" width="1.81640625" style="16" customWidth="1"/>
    <col min="19" max="19" width="8.81640625" style="16"/>
    <col min="20" max="20" width="10.54296875" style="16" customWidth="1"/>
    <col min="21" max="21" width="12.54296875" style="16" customWidth="1"/>
    <col min="22" max="16384" width="8.81640625" style="16"/>
  </cols>
  <sheetData>
    <row r="1" spans="1:23" ht="22.4" customHeight="1" x14ac:dyDescent="0.35">
      <c r="A1" s="25">
        <f>+GCF_2024!A1</f>
        <v>45382</v>
      </c>
      <c r="B1" s="26"/>
      <c r="C1" s="86" t="s">
        <v>76</v>
      </c>
      <c r="D1" s="102" t="s">
        <v>90</v>
      </c>
      <c r="E1" s="31" t="s">
        <v>75</v>
      </c>
      <c r="F1" s="102" t="s">
        <v>100</v>
      </c>
      <c r="G1" s="102" t="s">
        <v>71</v>
      </c>
      <c r="H1" s="28"/>
      <c r="I1" s="100" t="s">
        <v>72</v>
      </c>
      <c r="J1" s="106">
        <v>0</v>
      </c>
      <c r="K1" s="106"/>
      <c r="L1" s="106">
        <v>0</v>
      </c>
      <c r="M1" s="106">
        <v>0</v>
      </c>
      <c r="N1" s="88"/>
      <c r="O1" s="29"/>
      <c r="P1" s="104" t="s">
        <v>97</v>
      </c>
      <c r="Q1" s="105">
        <v>0</v>
      </c>
      <c r="R1" s="29"/>
      <c r="S1" s="100" t="s">
        <v>166</v>
      </c>
      <c r="T1" s="106">
        <v>0</v>
      </c>
      <c r="U1" s="106">
        <v>0</v>
      </c>
    </row>
    <row r="2" spans="1:23" ht="81" x14ac:dyDescent="0.35">
      <c r="A2" s="24" t="str">
        <f>+GCF_2024!A2</f>
        <v xml:space="preserve">Pensijų kaupimo bendrovės pavadinimas
</v>
      </c>
      <c r="B2" s="24" t="str">
        <f>+GCF_2024!B2</f>
        <v xml:space="preserve">Fondo kodas
</v>
      </c>
      <c r="C2" s="24" t="str">
        <f>+GCF_2024!C2</f>
        <v xml:space="preserve">Pensijų fondo pavadinimas
</v>
      </c>
      <c r="D2" s="103">
        <v>0</v>
      </c>
      <c r="E2" s="24" t="s">
        <v>99</v>
      </c>
      <c r="F2" s="103">
        <v>0</v>
      </c>
      <c r="G2" s="103">
        <v>0</v>
      </c>
      <c r="H2" s="28"/>
      <c r="I2" s="64" t="s">
        <v>92</v>
      </c>
      <c r="J2" s="24" t="s">
        <v>156</v>
      </c>
      <c r="K2" s="24" t="s">
        <v>157</v>
      </c>
      <c r="L2" s="24" t="s">
        <v>94</v>
      </c>
      <c r="M2" s="24" t="s">
        <v>158</v>
      </c>
      <c r="N2" s="24" t="s">
        <v>159</v>
      </c>
      <c r="O2" s="30"/>
      <c r="P2" s="24" t="s">
        <v>111</v>
      </c>
      <c r="Q2" s="24" t="s">
        <v>112</v>
      </c>
      <c r="R2" s="30"/>
      <c r="S2" s="24" t="s">
        <v>149</v>
      </c>
      <c r="T2" s="24" t="s">
        <v>150</v>
      </c>
      <c r="U2" s="24" t="s">
        <v>151</v>
      </c>
    </row>
    <row r="3" spans="1:23" ht="29.15" customHeight="1" x14ac:dyDescent="0.35">
      <c r="A3" s="107" t="str">
        <f>+GCF_2024!A31</f>
        <v>Tikslinės pensijų fondų dalyvių grupės pensijų fondai, 1968-1974</v>
      </c>
      <c r="B3" s="107"/>
      <c r="C3" s="107"/>
      <c r="D3" s="44"/>
      <c r="E3" s="44"/>
      <c r="F3" s="45"/>
      <c r="G3" s="70" t="s">
        <v>98</v>
      </c>
      <c r="H3" s="45"/>
      <c r="I3" s="67">
        <v>6.4744883649681739</v>
      </c>
      <c r="J3" s="67">
        <v>6.1724513302038329</v>
      </c>
      <c r="K3" s="67">
        <v>12.755031565818461</v>
      </c>
      <c r="L3" s="67">
        <v>7.41242109651603</v>
      </c>
      <c r="M3" s="67">
        <v>6.5195628324685062</v>
      </c>
      <c r="N3" s="67">
        <v>13.640129031469407</v>
      </c>
      <c r="O3" s="45"/>
      <c r="P3" s="45"/>
      <c r="Q3" s="45"/>
      <c r="R3" s="45"/>
      <c r="S3" s="45"/>
      <c r="T3" s="45"/>
      <c r="U3" s="45"/>
    </row>
    <row r="4" spans="1:23" customFormat="1" ht="14.5" x14ac:dyDescent="0.35">
      <c r="A4" s="32" t="str">
        <f>+GCF_2024!A32</f>
        <v xml:space="preserve">Luminor investicijų valdymas UAB </v>
      </c>
      <c r="B4" s="32" t="str">
        <f>+GCF_2024!B32</f>
        <v>LMN-68/74</v>
      </c>
      <c r="C4" s="32" t="str">
        <f>+GCF_2024!C32</f>
        <v>Luminor 1968–1974 tikslinės grupės pensijų fondas</v>
      </c>
      <c r="D4" s="66" t="s">
        <v>161</v>
      </c>
      <c r="E4" s="34">
        <v>70</v>
      </c>
      <c r="F4" s="33">
        <v>127.33493951999999</v>
      </c>
      <c r="G4" s="35">
        <v>18136</v>
      </c>
      <c r="H4" s="22"/>
      <c r="I4" s="36">
        <v>7.4022623536415866</v>
      </c>
      <c r="J4" s="36">
        <v>4.525846431528624</v>
      </c>
      <c r="K4" s="36">
        <v>12.441957479891986</v>
      </c>
      <c r="L4" s="36">
        <v>7.1692940804052085</v>
      </c>
      <c r="M4" s="36">
        <v>5.6637983605854592</v>
      </c>
      <c r="N4" s="36">
        <v>13.551549725574063</v>
      </c>
      <c r="O4" s="23"/>
      <c r="P4" s="36">
        <v>10.135717964510134</v>
      </c>
      <c r="Q4" s="36">
        <v>11.193314977902483</v>
      </c>
      <c r="R4" s="23"/>
      <c r="S4" s="36">
        <v>0.49</v>
      </c>
      <c r="T4" s="36">
        <v>0.72</v>
      </c>
      <c r="U4" s="36" t="s">
        <v>91</v>
      </c>
      <c r="V4" s="58"/>
      <c r="W4" s="58"/>
    </row>
    <row r="5" spans="1:23" customFormat="1" ht="14.5" x14ac:dyDescent="0.35">
      <c r="A5" s="32" t="str">
        <f>+GCF_2024!A33</f>
        <v>UAB „SB Asset Management“</v>
      </c>
      <c r="B5" s="32" t="str">
        <f>+GCF_2024!B33</f>
        <v>INV-68/74</v>
      </c>
      <c r="C5" s="32" t="str">
        <f>+GCF_2024!C33</f>
        <v>INVL pensija 1968–1974 Index Plus</v>
      </c>
      <c r="D5" s="66" t="s">
        <v>161</v>
      </c>
      <c r="E5" s="34">
        <v>67.58</v>
      </c>
      <c r="F5" s="33">
        <v>206.05183324800001</v>
      </c>
      <c r="G5" s="35">
        <v>23225</v>
      </c>
      <c r="H5" s="22"/>
      <c r="I5" s="36">
        <v>5.6007345225603355</v>
      </c>
      <c r="J5" s="36">
        <v>5.589096636041968</v>
      </c>
      <c r="K5" s="36">
        <v>12.035906286879673</v>
      </c>
      <c r="L5" s="36">
        <v>7.3755918956503574</v>
      </c>
      <c r="M5" s="36">
        <v>5.1068913393758963</v>
      </c>
      <c r="N5" s="36">
        <v>12.883910916660879</v>
      </c>
      <c r="O5" s="23"/>
      <c r="P5" s="36">
        <v>8.4786354779863231</v>
      </c>
      <c r="Q5" s="36">
        <v>11.327649279882369</v>
      </c>
      <c r="R5" s="23"/>
      <c r="S5" s="36">
        <v>0.5</v>
      </c>
      <c r="T5" s="36">
        <v>1.23</v>
      </c>
      <c r="U5" s="36">
        <v>1.23</v>
      </c>
      <c r="V5" s="58"/>
      <c r="W5" s="58"/>
    </row>
    <row r="6" spans="1:23" customFormat="1" ht="14.5" x14ac:dyDescent="0.35">
      <c r="A6" s="32" t="str">
        <f>+GCF_2024!A34</f>
        <v>UAB „SEB investicijų valdymas“</v>
      </c>
      <c r="B6" s="32" t="str">
        <f>+GCF_2024!B34</f>
        <v>SBN-68/74</v>
      </c>
      <c r="C6" s="32" t="str">
        <f>+GCF_2024!C34</f>
        <v>SEB 1968–1974 metų tikslinės grupės pensijų kaupimo fondas</v>
      </c>
      <c r="D6" s="66" t="s">
        <v>161</v>
      </c>
      <c r="E6" s="34">
        <v>68.099999999999994</v>
      </c>
      <c r="F6" s="33">
        <v>441.73316404000002</v>
      </c>
      <c r="G6" s="35">
        <v>53381</v>
      </c>
      <c r="H6" s="22"/>
      <c r="I6" s="36">
        <v>6.0819544984488161</v>
      </c>
      <c r="J6" s="36">
        <v>5.3733379146198468</v>
      </c>
      <c r="K6" s="36">
        <v>12.416588913149763</v>
      </c>
      <c r="L6" s="36">
        <v>7.590157760185634</v>
      </c>
      <c r="M6" s="36">
        <v>7.4217017940442886</v>
      </c>
      <c r="N6" s="36">
        <v>14.46662347323684</v>
      </c>
      <c r="O6" s="23"/>
      <c r="P6" s="36">
        <v>10.23274402280895</v>
      </c>
      <c r="Q6" s="36">
        <v>11.659737546680724</v>
      </c>
      <c r="R6" s="23"/>
      <c r="S6" s="36">
        <v>0.5</v>
      </c>
      <c r="T6" s="36" t="s">
        <v>91</v>
      </c>
      <c r="U6" s="36">
        <v>0.79</v>
      </c>
      <c r="V6" s="58"/>
      <c r="W6" s="58"/>
    </row>
    <row r="7" spans="1:23" customFormat="1" ht="14.5" x14ac:dyDescent="0.35">
      <c r="A7" s="32" t="str">
        <f>+GCF_2024!A35</f>
        <v>UAB „Swedbank investicijų valdymas“</v>
      </c>
      <c r="B7" s="32" t="str">
        <f>+GCF_2024!B35</f>
        <v>SWD-68/74</v>
      </c>
      <c r="C7" s="32" t="str">
        <f>+GCF_2024!C35</f>
        <v xml:space="preserve">Swedbank pensija 1968–1974 [7] </v>
      </c>
      <c r="D7" s="66" t="s">
        <v>161</v>
      </c>
      <c r="E7" s="34">
        <v>70</v>
      </c>
      <c r="F7" s="33">
        <v>653.53135449000001</v>
      </c>
      <c r="G7" s="35">
        <v>95871</v>
      </c>
      <c r="H7" s="22"/>
      <c r="I7" s="36">
        <v>6.3253973319716605</v>
      </c>
      <c r="J7" s="36">
        <v>7.2765452859069768</v>
      </c>
      <c r="K7" s="36">
        <v>13.607162913795756</v>
      </c>
      <c r="L7" s="36">
        <v>7.1908911803492348</v>
      </c>
      <c r="M7" s="36">
        <v>6.385349257718631</v>
      </c>
      <c r="N7" s="36">
        <v>13.720486453659841</v>
      </c>
      <c r="O7" s="23"/>
      <c r="P7" s="36">
        <v>10.922328686519014</v>
      </c>
      <c r="Q7" s="36">
        <v>11.900738743298765</v>
      </c>
      <c r="R7" s="23"/>
      <c r="S7" s="36">
        <v>0.5</v>
      </c>
      <c r="T7" s="36" t="s">
        <v>91</v>
      </c>
      <c r="U7" s="36">
        <v>0.78720000000000001</v>
      </c>
      <c r="V7" s="58"/>
      <c r="W7" s="58"/>
    </row>
    <row r="8" spans="1:23" customFormat="1" ht="14.5" x14ac:dyDescent="0.35">
      <c r="A8" s="32" t="str">
        <f>+GCF_2024!A36</f>
        <v>Allianz Lietuva gyvybės draudimas UAB</v>
      </c>
      <c r="B8" s="32" t="str">
        <f>+GCF_2024!B36</f>
        <v>AVI-68/74</v>
      </c>
      <c r="C8" s="32" t="str">
        <f>+GCF_2024!C36</f>
        <v>Allianz X2 1968–1974 tikslinės grupės pensijų fondas</v>
      </c>
      <c r="D8" s="66" t="s">
        <v>161</v>
      </c>
      <c r="E8" s="34">
        <v>70</v>
      </c>
      <c r="F8" s="33">
        <v>247.72351412999998</v>
      </c>
      <c r="G8" s="35">
        <v>39466</v>
      </c>
      <c r="H8" s="22"/>
      <c r="I8" s="36">
        <v>7.7101980407357829</v>
      </c>
      <c r="J8" s="36">
        <v>6.0162550900284106</v>
      </c>
      <c r="K8" s="36">
        <v>11.869565124932269</v>
      </c>
      <c r="L8" s="36">
        <v>7.8355212450002432</v>
      </c>
      <c r="M8" s="36">
        <v>6.8798853069400812</v>
      </c>
      <c r="N8" s="36">
        <v>12.628893859789958</v>
      </c>
      <c r="O8" s="23"/>
      <c r="P8" s="36">
        <v>10.389296676185756</v>
      </c>
      <c r="Q8" s="36">
        <v>11.325991100700346</v>
      </c>
      <c r="R8" s="23"/>
      <c r="S8" s="36">
        <v>0.5</v>
      </c>
      <c r="T8" s="36">
        <v>0.87</v>
      </c>
      <c r="U8" s="36" t="s">
        <v>91</v>
      </c>
      <c r="V8" s="58"/>
      <c r="W8" s="58"/>
    </row>
    <row r="9" spans="1:23" customFormat="1" ht="14.5" x14ac:dyDescent="0.35">
      <c r="A9" s="32" t="str">
        <f>+GCF_2024!A37</f>
        <v>Goindex, UAB</v>
      </c>
      <c r="B9" s="32" t="str">
        <f>+GCF_2024!B37</f>
        <v>GOX-68/74</v>
      </c>
      <c r="C9" s="32" t="str">
        <f>+GCF_2024!C37</f>
        <v>Goindex pensija 1968–1974 tikslinės grupės pensijų fondas</v>
      </c>
      <c r="D9" s="66" t="s">
        <v>162</v>
      </c>
      <c r="E9" s="34">
        <v>100</v>
      </c>
      <c r="F9" s="33">
        <v>7.2070002797999999</v>
      </c>
      <c r="G9" s="35">
        <v>758</v>
      </c>
      <c r="H9" s="22"/>
      <c r="I9" s="36">
        <v>10.167714884695989</v>
      </c>
      <c r="J9" s="36" t="s">
        <v>164</v>
      </c>
      <c r="K9" s="36" t="s">
        <v>164</v>
      </c>
      <c r="L9" s="36">
        <v>10.19330504479019</v>
      </c>
      <c r="M9" s="36" t="s">
        <v>164</v>
      </c>
      <c r="N9" s="36" t="s">
        <v>164</v>
      </c>
      <c r="O9" s="23"/>
      <c r="P9" s="36" t="s">
        <v>164</v>
      </c>
      <c r="Q9" s="36" t="s">
        <v>164</v>
      </c>
      <c r="R9" s="23"/>
      <c r="S9" s="36">
        <v>0.45</v>
      </c>
      <c r="T9" s="36">
        <v>0.56999999999999995</v>
      </c>
      <c r="U9" s="36" t="s">
        <v>91</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3" s="55" customFormat="1" ht="13.5" x14ac:dyDescent="0.3">
      <c r="A12" s="49" t="str">
        <f>+GCF_2024!A63</f>
        <v>[1] Apskaitos vieneto vertės pokytis. Juo atsižvelgiama į atskaitymus nuo turto.</v>
      </c>
      <c r="B12" s="53"/>
      <c r="C12" s="53"/>
    </row>
    <row r="13" spans="1:23"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3"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3" s="55" customFormat="1" ht="13.5" x14ac:dyDescent="0.3">
      <c r="A15" s="53" t="str">
        <f>+GCF_2024!A66</f>
        <v>[4] Svertiniam vidurkiui apskaičiuoti naudotas 2024-03-29 dienos fondų grynųjų aktyvų dydis.</v>
      </c>
      <c r="B15" s="54"/>
      <c r="C15" s="54"/>
    </row>
    <row r="16" spans="1:23"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s="55" customFormat="1" ht="13.5" x14ac:dyDescent="0.3">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s="55" customFormat="1" ht="13.5" x14ac:dyDescent="0.3">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s="55" customFormat="1" ht="13.5" x14ac:dyDescent="0.3">
      <c r="A21" s="56" t="str">
        <f>+GCF_2024!A72</f>
        <v>[10] Apskaičiuota taikant geometrinį vidurkį.</v>
      </c>
    </row>
    <row r="22" spans="1:5" s="55" customFormat="1" ht="13.5" x14ac:dyDescent="0.3">
      <c r="A22" s="56" t="str">
        <f>+GCF_2024!A73</f>
        <v>[11] Goindex, UAB valdomi pensijų fondai įsteigti 2022-07-05.</v>
      </c>
    </row>
    <row r="23" spans="1:5" s="55" customFormat="1" ht="13.5" x14ac:dyDescent="0.3">
      <c r="A23" s="56"/>
    </row>
    <row r="24" spans="1:5" x14ac:dyDescent="0.35">
      <c r="A24" s="56"/>
    </row>
    <row r="25" spans="1:5" x14ac:dyDescent="0.35">
      <c r="A25" s="37" t="str">
        <f>+'1996-2002'!A25</f>
        <v>Rizikos ir grąžos palyginimas (per praėjusius 3 metus)</v>
      </c>
      <c r="B25" s="37"/>
      <c r="C25" s="37"/>
      <c r="D25" s="37"/>
      <c r="E25" s="37"/>
    </row>
    <row r="26" spans="1:5" s="55" customFormat="1" ht="13.5" x14ac:dyDescent="0.3">
      <c r="A26" s="53" t="str">
        <f>+'1996-2002'!A26</f>
        <v>Kuo pensijų fondas paveiksle vaizduojamas aukščiau, tuo jo uždirbama grąža yra didesnė. Kuo žemiau – tuo grąža mažesnė.</v>
      </c>
      <c r="B26" s="54"/>
      <c r="C26" s="54"/>
    </row>
    <row r="27" spans="1:5" s="55" customFormat="1" ht="13.5" x14ac:dyDescent="0.3">
      <c r="A27" s="53" t="str">
        <f>+'1996-2002'!A27</f>
        <v>Dešiniau pavaizduoti pensijų fondai prisiima didesnę riziką (jų vieneto vertės svyruoja daugiau). Kairiau – mažesnę (jų vieneto vertės svyruoja mažiau).</v>
      </c>
      <c r="B27" s="54"/>
      <c r="C27" s="54"/>
    </row>
    <row r="28" spans="1:5" x14ac:dyDescent="0.35">
      <c r="A28" s="18"/>
      <c r="B28" s="18"/>
      <c r="C28" s="18"/>
    </row>
    <row r="35" spans="1:3" x14ac:dyDescent="0.35">
      <c r="A35" s="37" t="s">
        <v>0</v>
      </c>
      <c r="B35" s="37" t="s">
        <v>73</v>
      </c>
      <c r="C35" s="37" t="s">
        <v>72</v>
      </c>
    </row>
    <row r="36" spans="1:3" x14ac:dyDescent="0.35">
      <c r="A36" s="32" t="str">
        <f>+B4</f>
        <v>LMN-68/74</v>
      </c>
      <c r="B36" s="33">
        <f>+P4</f>
        <v>10.135717964510134</v>
      </c>
      <c r="C36" s="33">
        <f>+J4</f>
        <v>4.525846431528624</v>
      </c>
    </row>
    <row r="37" spans="1:3" x14ac:dyDescent="0.35">
      <c r="A37" s="32" t="str">
        <f>+B5</f>
        <v>INV-68/74</v>
      </c>
      <c r="B37" s="33">
        <f>+P5</f>
        <v>8.4786354779863231</v>
      </c>
      <c r="C37" s="33">
        <f>+J5</f>
        <v>5.589096636041968</v>
      </c>
    </row>
    <row r="38" spans="1:3" x14ac:dyDescent="0.35">
      <c r="A38" s="32" t="str">
        <f>+B6</f>
        <v>SBN-68/74</v>
      </c>
      <c r="B38" s="33">
        <f>+P6</f>
        <v>10.23274402280895</v>
      </c>
      <c r="C38" s="33">
        <f>+J6</f>
        <v>5.3733379146198468</v>
      </c>
    </row>
    <row r="39" spans="1:3" x14ac:dyDescent="0.35">
      <c r="A39" s="32" t="str">
        <f>+B7</f>
        <v>SWD-68/74</v>
      </c>
      <c r="B39" s="33">
        <f>+P7</f>
        <v>10.922328686519014</v>
      </c>
      <c r="C39" s="33">
        <f>+J7</f>
        <v>7.2765452859069768</v>
      </c>
    </row>
    <row r="40" spans="1:3" x14ac:dyDescent="0.35">
      <c r="A40" s="32" t="str">
        <f>+B8</f>
        <v>AVI-68/74</v>
      </c>
      <c r="B40" s="33">
        <f>+P8</f>
        <v>10.389296676185756</v>
      </c>
      <c r="C40" s="33">
        <f>+J8</f>
        <v>6.0162550900284106</v>
      </c>
    </row>
    <row r="57" spans="1:5" x14ac:dyDescent="0.35">
      <c r="A57" s="37" t="str">
        <f>+'1996-2002'!A57</f>
        <v>Dalyvių skaičiaus, grąžos (per praėjusius 3 metus) ir fondo turto palyginimas</v>
      </c>
      <c r="B57" s="37"/>
      <c r="C57" s="37"/>
      <c r="D57" s="37"/>
      <c r="E57" s="37"/>
    </row>
    <row r="58" spans="1:5" s="55" customFormat="1" ht="13.5" x14ac:dyDescent="0.3">
      <c r="A58" s="53" t="str">
        <f>+'1996-2002'!A58</f>
        <v>Kuo pensijų fondas paveiksle pavaizduotas aukščiau, tuo jo uždirbama grąža yra didesnė. Kuo žemiau – tuo grąža mažesnė.</v>
      </c>
      <c r="B58" s="54"/>
      <c r="C58" s="54"/>
    </row>
    <row r="59" spans="1:5" s="55" customFormat="1" ht="13.5" x14ac:dyDescent="0.3">
      <c r="A59" s="53" t="str">
        <f>+'1996-2002'!A59</f>
        <v>Dešiniau pavaizduoti pensijų fondai turi daugiau dalyvių. Kairiau – mažiau.</v>
      </c>
      <c r="B59" s="54"/>
      <c r="C59" s="54"/>
    </row>
    <row r="60" spans="1:5" s="55" customFormat="1" ht="13.5" x14ac:dyDescent="0.3">
      <c r="A60" s="53" t="str">
        <f>+'1996-2002'!A60</f>
        <v>Kuo didesnis fondą vaizduojančio skritulio dydis – tuo fondas turi daugiau turto. Kuo mažesnis – mažiau.</v>
      </c>
      <c r="B60" s="54"/>
      <c r="C60" s="54"/>
    </row>
    <row r="65" spans="1:4" x14ac:dyDescent="0.35">
      <c r="A65" s="37" t="s">
        <v>0</v>
      </c>
      <c r="B65" s="37" t="s">
        <v>77</v>
      </c>
      <c r="C65" s="37" t="s">
        <v>78</v>
      </c>
      <c r="D65" s="37" t="s">
        <v>79</v>
      </c>
    </row>
    <row r="66" spans="1:4" x14ac:dyDescent="0.35">
      <c r="A66" s="32" t="str">
        <f>+B5</f>
        <v>INV-68/74</v>
      </c>
      <c r="B66" s="33">
        <f>+G5/1000</f>
        <v>23.225000000000001</v>
      </c>
      <c r="C66" s="33">
        <f>+J5</f>
        <v>5.589096636041968</v>
      </c>
      <c r="D66" s="33">
        <f>+F5</f>
        <v>206.05183324800001</v>
      </c>
    </row>
    <row r="67" spans="1:4" x14ac:dyDescent="0.35">
      <c r="A67" s="32" t="str">
        <f>+B4</f>
        <v>LMN-68/74</v>
      </c>
      <c r="B67" s="33">
        <f>+G4/1000</f>
        <v>18.135999999999999</v>
      </c>
      <c r="C67" s="33">
        <f>+J4</f>
        <v>4.525846431528624</v>
      </c>
      <c r="D67" s="33">
        <f>+F4</f>
        <v>127.33493951999999</v>
      </c>
    </row>
    <row r="68" spans="1:4" x14ac:dyDescent="0.35">
      <c r="A68" s="32" t="str">
        <f>+B6</f>
        <v>SBN-68/74</v>
      </c>
      <c r="B68" s="33">
        <f>+G6/1000</f>
        <v>53.381</v>
      </c>
      <c r="C68" s="33">
        <f>+J6</f>
        <v>5.3733379146198468</v>
      </c>
      <c r="D68" s="33">
        <f>+F6</f>
        <v>441.73316404000002</v>
      </c>
    </row>
    <row r="69" spans="1:4" x14ac:dyDescent="0.35">
      <c r="A69" s="32" t="str">
        <f>+B7</f>
        <v>SWD-68/74</v>
      </c>
      <c r="B69" s="33">
        <f>+G7/1000</f>
        <v>95.870999999999995</v>
      </c>
      <c r="C69" s="33">
        <f>+J7</f>
        <v>7.2765452859069768</v>
      </c>
      <c r="D69" s="33">
        <f>+F7</f>
        <v>653.53135449000001</v>
      </c>
    </row>
    <row r="70" spans="1:4" x14ac:dyDescent="0.35">
      <c r="A70" s="32" t="str">
        <f>+B8</f>
        <v>AVI-68/74</v>
      </c>
      <c r="B70" s="33">
        <f>+G8/1000</f>
        <v>39.466000000000001</v>
      </c>
      <c r="C70" s="33">
        <f>+J8</f>
        <v>6.0162550900284106</v>
      </c>
      <c r="D70" s="33">
        <f>+F8</f>
        <v>247.72351412999998</v>
      </c>
    </row>
  </sheetData>
  <mergeCells count="7">
    <mergeCell ref="S1:U1"/>
    <mergeCell ref="P1:Q1"/>
    <mergeCell ref="A3:C3"/>
    <mergeCell ref="D1:D2"/>
    <mergeCell ref="F1:F2"/>
    <mergeCell ref="G1:G2"/>
    <mergeCell ref="I1:M1"/>
  </mergeCells>
  <conditionalFormatting sqref="I4:I8">
    <cfRule type="cellIs" dxfId="63" priority="21" operator="greaterThanOrEqual">
      <formula>0</formula>
    </cfRule>
    <cfRule type="cellIs" dxfId="62" priority="22" operator="lessThan">
      <formula>0</formula>
    </cfRule>
  </conditionalFormatting>
  <conditionalFormatting sqref="J4:N8">
    <cfRule type="cellIs" dxfId="61" priority="19" operator="greaterThanOrEqual">
      <formula>0</formula>
    </cfRule>
    <cfRule type="cellIs" dxfId="60" priority="20" operator="lessThan">
      <formula>0</formula>
    </cfRule>
  </conditionalFormatting>
  <conditionalFormatting sqref="I3:N3">
    <cfRule type="cellIs" dxfId="59" priority="13" operator="greaterThanOrEqual">
      <formula>0</formula>
    </cfRule>
    <cfRule type="cellIs" dxfId="58" priority="14" operator="lessThan">
      <formula>0</formula>
    </cfRule>
  </conditionalFormatting>
  <conditionalFormatting sqref="P4:Q8">
    <cfRule type="cellIs" dxfId="57" priority="11" operator="greaterThanOrEqual">
      <formula>0</formula>
    </cfRule>
    <cfRule type="cellIs" dxfId="56" priority="12" operator="lessThan">
      <formula>0</formula>
    </cfRule>
  </conditionalFormatting>
  <conditionalFormatting sqref="S4:U9">
    <cfRule type="cellIs" dxfId="55" priority="9" operator="greaterThanOrEqual">
      <formula>0</formula>
    </cfRule>
    <cfRule type="cellIs" dxfId="54" priority="10" operator="lessThan">
      <formula>0</formula>
    </cfRule>
  </conditionalFormatting>
  <conditionalFormatting sqref="I9">
    <cfRule type="cellIs" dxfId="53" priority="7" operator="greaterThanOrEqual">
      <formula>0</formula>
    </cfRule>
    <cfRule type="cellIs" dxfId="52" priority="8" operator="lessThan">
      <formula>0</formula>
    </cfRule>
  </conditionalFormatting>
  <conditionalFormatting sqref="J9:N9">
    <cfRule type="cellIs" dxfId="51" priority="5" operator="greaterThanOrEqual">
      <formula>0</formula>
    </cfRule>
    <cfRule type="cellIs" dxfId="50" priority="6" operator="lessThan">
      <formula>0</formula>
    </cfRule>
  </conditionalFormatting>
  <conditionalFormatting sqref="P9:Q9">
    <cfRule type="cellIs" dxfId="49" priority="3" operator="greaterThanOrEqual">
      <formula>0</formula>
    </cfRule>
    <cfRule type="cellIs" dxfId="48" priority="4" operator="lessThan">
      <formula>0</formula>
    </cfRule>
  </conditionalFormatting>
  <hyperlinks>
    <hyperlink ref="C1" location="GCF_2024!A1" display="Grįžti į pagrindinį puslapį" xr:uid="{00000000-0004-0000-05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70"/>
  <sheetViews>
    <sheetView showGridLines="0" zoomScale="70" zoomScaleNormal="70" workbookViewId="0"/>
  </sheetViews>
  <sheetFormatPr defaultColWidth="8.81640625" defaultRowHeight="15.5" x14ac:dyDescent="0.35"/>
  <cols>
    <col min="1" max="1" width="43.54296875" style="16" customWidth="1"/>
    <col min="2" max="2" width="14.81640625" style="16" bestFit="1" customWidth="1"/>
    <col min="3" max="3" width="68.54296875" style="16" customWidth="1"/>
    <col min="4" max="4" width="17.453125" style="16" customWidth="1"/>
    <col min="5" max="5" width="16.1796875" style="16" bestFit="1" customWidth="1"/>
    <col min="6" max="6" width="19.453125" style="16" customWidth="1"/>
    <col min="7" max="7" width="13.54296875" style="16" customWidth="1"/>
    <col min="8" max="8" width="1.453125" style="16" customWidth="1"/>
    <col min="9" max="9" width="17.453125" style="16" customWidth="1"/>
    <col min="10" max="11" width="17" style="16" customWidth="1"/>
    <col min="12" max="12" width="18.453125" style="16" customWidth="1"/>
    <col min="13" max="14" width="17.1796875" style="16" customWidth="1"/>
    <col min="15" max="15" width="1.453125" style="16" customWidth="1"/>
    <col min="16" max="16" width="16" style="16" customWidth="1"/>
    <col min="17" max="17" width="18.81640625" style="16" customWidth="1"/>
    <col min="18" max="18" width="1.453125" style="16" customWidth="1"/>
    <col min="19" max="19" width="8.81640625" style="16"/>
    <col min="20" max="20" width="11" style="16" customWidth="1"/>
    <col min="21" max="21" width="13.453125" style="16" customWidth="1"/>
    <col min="22" max="16384" width="8.81640625" style="16"/>
  </cols>
  <sheetData>
    <row r="1" spans="1:23" ht="22.4" customHeight="1" x14ac:dyDescent="0.35">
      <c r="A1" s="25">
        <f>+GCF_2024!A1</f>
        <v>45382</v>
      </c>
      <c r="B1" s="26"/>
      <c r="C1" s="86" t="s">
        <v>76</v>
      </c>
      <c r="D1" s="102" t="s">
        <v>90</v>
      </c>
      <c r="E1" s="31" t="s">
        <v>75</v>
      </c>
      <c r="F1" s="102" t="s">
        <v>100</v>
      </c>
      <c r="G1" s="102" t="s">
        <v>71</v>
      </c>
      <c r="H1" s="28"/>
      <c r="I1" s="100" t="s">
        <v>72</v>
      </c>
      <c r="J1" s="106">
        <v>0</v>
      </c>
      <c r="K1" s="106"/>
      <c r="L1" s="106">
        <v>0</v>
      </c>
      <c r="M1" s="106">
        <v>0</v>
      </c>
      <c r="N1" s="88"/>
      <c r="O1" s="29"/>
      <c r="P1" s="104" t="s">
        <v>97</v>
      </c>
      <c r="Q1" s="105">
        <v>0</v>
      </c>
      <c r="R1" s="29"/>
      <c r="S1" s="100" t="s">
        <v>166</v>
      </c>
      <c r="T1" s="106">
        <v>0</v>
      </c>
      <c r="U1" s="106">
        <v>0</v>
      </c>
    </row>
    <row r="2" spans="1:23" ht="92.5" customHeight="1" x14ac:dyDescent="0.35">
      <c r="A2" s="24" t="str">
        <f>+GCF_2024!A2</f>
        <v xml:space="preserve">Pensijų kaupimo bendrovės pavadinimas
</v>
      </c>
      <c r="B2" s="24" t="str">
        <f>+GCF_2024!B2</f>
        <v xml:space="preserve">Fondo kodas
</v>
      </c>
      <c r="C2" s="24" t="str">
        <f>+GCF_2024!C2</f>
        <v xml:space="preserve">Pensijų fondo pavadinimas
</v>
      </c>
      <c r="D2" s="103">
        <v>0</v>
      </c>
      <c r="E2" s="24" t="s">
        <v>99</v>
      </c>
      <c r="F2" s="103">
        <v>0</v>
      </c>
      <c r="G2" s="103">
        <v>0</v>
      </c>
      <c r="H2" s="28"/>
      <c r="I2" s="64" t="s">
        <v>92</v>
      </c>
      <c r="J2" s="24" t="s">
        <v>156</v>
      </c>
      <c r="K2" s="24" t="s">
        <v>157</v>
      </c>
      <c r="L2" s="24" t="s">
        <v>94</v>
      </c>
      <c r="M2" s="24" t="s">
        <v>158</v>
      </c>
      <c r="N2" s="24" t="s">
        <v>159</v>
      </c>
      <c r="O2" s="30"/>
      <c r="P2" s="24" t="s">
        <v>111</v>
      </c>
      <c r="Q2" s="24" t="s">
        <v>112</v>
      </c>
      <c r="R2" s="30"/>
      <c r="S2" s="24" t="s">
        <v>149</v>
      </c>
      <c r="T2" s="24" t="s">
        <v>150</v>
      </c>
      <c r="U2" s="24" t="s">
        <v>151</v>
      </c>
    </row>
    <row r="3" spans="1:23" ht="29.15" customHeight="1" x14ac:dyDescent="0.35">
      <c r="A3" s="107" t="str">
        <f>+GCF_2024!A38</f>
        <v>Tikslinės pensijų fondų dalyvių grupės pensijų fondai, 1961-1967</v>
      </c>
      <c r="B3" s="107"/>
      <c r="C3" s="107"/>
      <c r="D3" s="44"/>
      <c r="E3" s="44"/>
      <c r="F3" s="45"/>
      <c r="G3" s="70" t="s">
        <v>98</v>
      </c>
      <c r="H3" s="45"/>
      <c r="I3" s="67">
        <v>3.7874461444060215</v>
      </c>
      <c r="J3" s="67">
        <v>2.5910162954335205</v>
      </c>
      <c r="K3" s="67">
        <v>7.270811192178277</v>
      </c>
      <c r="L3" s="67">
        <v>3.6306909304939659</v>
      </c>
      <c r="M3" s="67">
        <v>2.0674013312370723</v>
      </c>
      <c r="N3" s="67">
        <v>7.0667675473958003</v>
      </c>
      <c r="O3" s="45"/>
      <c r="P3" s="45"/>
      <c r="Q3" s="45"/>
      <c r="R3" s="45"/>
      <c r="S3" s="45"/>
      <c r="T3" s="45"/>
      <c r="U3" s="45"/>
    </row>
    <row r="4" spans="1:23" customFormat="1" x14ac:dyDescent="0.35">
      <c r="A4" s="32" t="str">
        <f>+GCF_2024!A39</f>
        <v xml:space="preserve">Luminor investicijų valdymas UAB </v>
      </c>
      <c r="B4" s="32" t="str">
        <f>+GCF_2024!B39</f>
        <v>LMN-61/67</v>
      </c>
      <c r="C4" s="32" t="str">
        <f>+GCF_2024!C39</f>
        <v>Luminor 1961–1967 tikslinės grupės pensijų fondas</v>
      </c>
      <c r="D4" s="66" t="s">
        <v>161</v>
      </c>
      <c r="E4" s="34">
        <v>35</v>
      </c>
      <c r="F4" s="33">
        <v>99.669389319999993</v>
      </c>
      <c r="G4" s="35">
        <v>16476</v>
      </c>
      <c r="H4" s="22"/>
      <c r="I4" s="36">
        <v>3.9173182627544989</v>
      </c>
      <c r="J4" s="36">
        <v>1.2812436560754037</v>
      </c>
      <c r="K4" s="36">
        <v>7.1555792221918546</v>
      </c>
      <c r="L4" s="36">
        <v>3.7745681897878747</v>
      </c>
      <c r="M4" s="36">
        <v>2.2013064067656352</v>
      </c>
      <c r="N4" s="36">
        <v>7.6847714033068337</v>
      </c>
      <c r="O4" s="23"/>
      <c r="P4" s="36">
        <v>8.2441942516104447</v>
      </c>
      <c r="Q4" s="36">
        <v>8.7639625024927241</v>
      </c>
      <c r="R4" s="23"/>
      <c r="S4" s="36">
        <v>0.49</v>
      </c>
      <c r="T4" s="36">
        <v>0.71000000000000008</v>
      </c>
      <c r="U4" s="36" t="s">
        <v>91</v>
      </c>
      <c r="V4" s="16"/>
      <c r="W4" s="58"/>
    </row>
    <row r="5" spans="1:23" customFormat="1" x14ac:dyDescent="0.35">
      <c r="A5" s="32" t="str">
        <f>+GCF_2024!A40</f>
        <v>UAB „SB Asset Management“</v>
      </c>
      <c r="B5" s="32" t="str">
        <f>+GCF_2024!B40</f>
        <v>INV-61/67</v>
      </c>
      <c r="C5" s="32" t="str">
        <f>+GCF_2024!C40</f>
        <v>INVL pensija 1961–1967 Index Plus</v>
      </c>
      <c r="D5" s="66" t="s">
        <v>161</v>
      </c>
      <c r="E5" s="34">
        <v>31.75</v>
      </c>
      <c r="F5" s="33">
        <v>127.96628257430001</v>
      </c>
      <c r="G5" s="35">
        <v>17483</v>
      </c>
      <c r="H5" s="22"/>
      <c r="I5" s="36">
        <v>3.4071550255536431</v>
      </c>
      <c r="J5" s="36">
        <v>2.5152040019012167</v>
      </c>
      <c r="K5" s="36">
        <v>7.2288751528194473</v>
      </c>
      <c r="L5" s="36">
        <v>3.772976407076345</v>
      </c>
      <c r="M5" s="36">
        <v>0.27148396142804287</v>
      </c>
      <c r="N5" s="36">
        <v>6.0313681967163912</v>
      </c>
      <c r="O5" s="23"/>
      <c r="P5" s="36">
        <v>6.543290199809185</v>
      </c>
      <c r="Q5" s="36">
        <v>9.1948908096542361</v>
      </c>
      <c r="R5" s="23"/>
      <c r="S5" s="36">
        <v>0.5</v>
      </c>
      <c r="T5" s="36">
        <v>0.86</v>
      </c>
      <c r="U5" s="36">
        <v>0.86</v>
      </c>
      <c r="V5" s="16"/>
      <c r="W5" s="58"/>
    </row>
    <row r="6" spans="1:23" customFormat="1" x14ac:dyDescent="0.35">
      <c r="A6" s="32" t="str">
        <f>+GCF_2024!A41</f>
        <v>UAB „SEB investicijų valdymas“</v>
      </c>
      <c r="B6" s="32" t="str">
        <f>+GCF_2024!B41</f>
        <v>SBN-61/67</v>
      </c>
      <c r="C6" s="32" t="str">
        <f>+GCF_2024!C41</f>
        <v>SEB 1961–1967 metų tikslinės grupės pensijų kaupimo fondas</v>
      </c>
      <c r="D6" s="66" t="s">
        <v>161</v>
      </c>
      <c r="E6" s="34">
        <v>35.299999999999997</v>
      </c>
      <c r="F6" s="33">
        <v>330.01760195999998</v>
      </c>
      <c r="G6" s="35">
        <v>46740</v>
      </c>
      <c r="H6" s="22"/>
      <c r="I6" s="36">
        <v>3.637204284503337</v>
      </c>
      <c r="J6" s="36">
        <v>2.216325180786094</v>
      </c>
      <c r="K6" s="36">
        <v>7.3394633208642812</v>
      </c>
      <c r="L6" s="36">
        <v>3.8565897536459781</v>
      </c>
      <c r="M6" s="36">
        <v>3.2347263773341961</v>
      </c>
      <c r="N6" s="36">
        <v>8.3280450249654248</v>
      </c>
      <c r="O6" s="23"/>
      <c r="P6" s="36">
        <v>7.5189060535146766</v>
      </c>
      <c r="Q6" s="36">
        <v>8.5809557533404419</v>
      </c>
      <c r="R6" s="23"/>
      <c r="S6" s="36">
        <v>0.5</v>
      </c>
      <c r="T6" s="36" t="s">
        <v>91</v>
      </c>
      <c r="U6" s="36">
        <v>0.7</v>
      </c>
      <c r="V6" s="16"/>
      <c r="W6" s="58"/>
    </row>
    <row r="7" spans="1:23" customFormat="1" x14ac:dyDescent="0.35">
      <c r="A7" s="32" t="str">
        <f>+GCF_2024!A42</f>
        <v>UAB „Swedbank investicijų valdymas“</v>
      </c>
      <c r="B7" s="32" t="str">
        <f>+GCF_2024!B42</f>
        <v>SWD-61/67</v>
      </c>
      <c r="C7" s="32" t="str">
        <f>+GCF_2024!C42</f>
        <v xml:space="preserve">Swedbank pensija 1961–1967 [7] </v>
      </c>
      <c r="D7" s="66" t="s">
        <v>161</v>
      </c>
      <c r="E7" s="34">
        <v>35</v>
      </c>
      <c r="F7" s="33">
        <v>490.24865923999999</v>
      </c>
      <c r="G7" s="35">
        <v>84077</v>
      </c>
      <c r="H7" s="22"/>
      <c r="I7" s="36">
        <v>3.6986817325800558</v>
      </c>
      <c r="J7" s="36">
        <v>3.3728935072843802</v>
      </c>
      <c r="K7" s="36">
        <v>8.0866857563612236</v>
      </c>
      <c r="L7" s="36">
        <v>3.3993064791716154</v>
      </c>
      <c r="M7" s="36">
        <v>1.3815619745920715</v>
      </c>
      <c r="N7" s="36">
        <v>6.8890347647417194</v>
      </c>
      <c r="O7" s="23"/>
      <c r="P7" s="36">
        <v>7.7532156390170854</v>
      </c>
      <c r="Q7" s="36">
        <v>9.3558994233442281</v>
      </c>
      <c r="R7" s="23"/>
      <c r="S7" s="36">
        <v>0.5</v>
      </c>
      <c r="T7" s="36" t="s">
        <v>91</v>
      </c>
      <c r="U7" s="36">
        <v>0.59660000000000002</v>
      </c>
      <c r="V7" s="16"/>
      <c r="W7" s="58"/>
    </row>
    <row r="8" spans="1:23" customFormat="1" x14ac:dyDescent="0.35">
      <c r="A8" s="32" t="str">
        <f>+GCF_2024!A43</f>
        <v>Allianz Lietuva gyvybės draudimas UAB</v>
      </c>
      <c r="B8" s="32" t="str">
        <f>+GCF_2024!B43</f>
        <v>AVI-61/67</v>
      </c>
      <c r="C8" s="32" t="str">
        <f>+GCF_2024!C43</f>
        <v>Allianz X1 1961–1967 tikslinės grupės pensijų fondas</v>
      </c>
      <c r="D8" s="66" t="s">
        <v>161</v>
      </c>
      <c r="E8" s="34">
        <v>35</v>
      </c>
      <c r="F8" s="33">
        <v>212.80373196000002</v>
      </c>
      <c r="G8" s="35">
        <v>37095</v>
      </c>
      <c r="H8" s="22"/>
      <c r="I8" s="36">
        <v>4.3863348797975599</v>
      </c>
      <c r="J8" s="36">
        <v>2.0298704260492961</v>
      </c>
      <c r="K8" s="36">
        <v>5.3639540182069956</v>
      </c>
      <c r="L8" s="36">
        <v>3.6604715503908203</v>
      </c>
      <c r="M8" s="36">
        <v>2.8543454492104825</v>
      </c>
      <c r="N8" s="36">
        <v>5.8533942253864213</v>
      </c>
      <c r="O8" s="23"/>
      <c r="P8" s="36">
        <v>6.8044766374924741</v>
      </c>
      <c r="Q8" s="36">
        <v>6.9208848578003117</v>
      </c>
      <c r="R8" s="23"/>
      <c r="S8" s="36">
        <v>0.5</v>
      </c>
      <c r="T8" s="36">
        <v>0.7</v>
      </c>
      <c r="U8" s="36" t="s">
        <v>91</v>
      </c>
      <c r="V8" s="16"/>
      <c r="W8" s="58"/>
    </row>
    <row r="9" spans="1:23" customFormat="1" x14ac:dyDescent="0.35">
      <c r="A9" s="32" t="str">
        <f>+GCF_2024!A44</f>
        <v>Goindex, UAB</v>
      </c>
      <c r="B9" s="32" t="str">
        <f>+GCF_2024!B44</f>
        <v>GOX-61/67</v>
      </c>
      <c r="C9" s="32" t="str">
        <f>+GCF_2024!C44</f>
        <v>Goindex pensija 1961–1967 tikslinės grupės pensijų fondas</v>
      </c>
      <c r="D9" s="66" t="s">
        <v>162</v>
      </c>
      <c r="E9" s="34">
        <v>40</v>
      </c>
      <c r="F9" s="33">
        <v>2.6189978369000002</v>
      </c>
      <c r="G9" s="35">
        <v>301</v>
      </c>
      <c r="H9" s="22"/>
      <c r="I9" s="36">
        <v>4.3118835133865607</v>
      </c>
      <c r="J9" s="36" t="s">
        <v>164</v>
      </c>
      <c r="K9" s="36" t="s">
        <v>164</v>
      </c>
      <c r="L9" s="36">
        <v>4.3824328120610545</v>
      </c>
      <c r="M9" s="36" t="s">
        <v>164</v>
      </c>
      <c r="N9" s="36" t="s">
        <v>164</v>
      </c>
      <c r="O9" s="23"/>
      <c r="P9" s="36" t="s">
        <v>164</v>
      </c>
      <c r="Q9" s="36" t="s">
        <v>164</v>
      </c>
      <c r="R9" s="23"/>
      <c r="S9" s="36">
        <v>0.45</v>
      </c>
      <c r="T9" s="36">
        <v>0.6</v>
      </c>
      <c r="U9" s="36" t="s">
        <v>91</v>
      </c>
      <c r="V9" s="16"/>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3" s="55" customFormat="1" ht="13.5" x14ac:dyDescent="0.3">
      <c r="A12" s="49" t="str">
        <f>+GCF_2024!A63</f>
        <v>[1] Apskaitos vieneto vertės pokytis. Juo atsižvelgiama į atskaitymus nuo turto.</v>
      </c>
      <c r="B12" s="53"/>
      <c r="C12" s="53"/>
    </row>
    <row r="13" spans="1:23"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3"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3" s="55" customFormat="1" ht="13.5" x14ac:dyDescent="0.3">
      <c r="A15" s="53" t="str">
        <f>+GCF_2024!A66</f>
        <v>[4] Svertiniam vidurkiui apskaičiuoti naudotas 2024-03-29 dienos fondų grynųjų aktyvų dydis.</v>
      </c>
      <c r="B15" s="54"/>
      <c r="C15" s="54"/>
    </row>
    <row r="16" spans="1:23"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s="55" customFormat="1" ht="13.5" x14ac:dyDescent="0.3">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s="55" customFormat="1" ht="13.5" x14ac:dyDescent="0.3">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s="55" customFormat="1" ht="13.5" x14ac:dyDescent="0.3">
      <c r="A21" s="56" t="str">
        <f>+GCF_2024!A72</f>
        <v>[10] Apskaičiuota taikant geometrinį vidurkį.</v>
      </c>
    </row>
    <row r="22" spans="1:5" s="55" customFormat="1" ht="13.5" x14ac:dyDescent="0.3">
      <c r="A22" s="56" t="str">
        <f>+GCF_2024!A73</f>
        <v>[11] Goindex, UAB valdomi pensijų fondai įsteigti 2022-07-05.</v>
      </c>
    </row>
    <row r="23" spans="1:5" s="55" customFormat="1" ht="13.5" x14ac:dyDescent="0.3">
      <c r="A23" s="56"/>
    </row>
    <row r="24" spans="1:5" x14ac:dyDescent="0.35">
      <c r="A24" s="56"/>
    </row>
    <row r="25" spans="1:5" x14ac:dyDescent="0.35">
      <c r="A25" s="37" t="str">
        <f>+'1996-2002'!A25</f>
        <v>Rizikos ir grąžos palyginimas (per praėjusius 3 metus)</v>
      </c>
      <c r="B25" s="37"/>
      <c r="C25" s="37"/>
      <c r="D25" s="37"/>
      <c r="E25" s="37"/>
    </row>
    <row r="26" spans="1:5" s="55" customFormat="1" ht="13.5" x14ac:dyDescent="0.3">
      <c r="A26" s="53" t="str">
        <f>+'1996-2002'!A26</f>
        <v>Kuo pensijų fondas paveiksle vaizduojamas aukščiau, tuo jo uždirbama grąža yra didesnė. Kuo žemiau – tuo grąža mažesnė.</v>
      </c>
      <c r="B26" s="54"/>
      <c r="C26" s="54"/>
    </row>
    <row r="27" spans="1:5" s="55" customFormat="1" ht="13.5" x14ac:dyDescent="0.3">
      <c r="A27" s="53" t="str">
        <f>+'1996-2002'!A27</f>
        <v>Dešiniau pavaizduoti pensijų fondai prisiima didesnę riziką (jų vieneto vertės svyruoja daugiau). Kairiau – mažesnę (jų vieneto vertės svyruoja mažiau).</v>
      </c>
      <c r="B27" s="54"/>
      <c r="C27" s="54"/>
    </row>
    <row r="28" spans="1:5" x14ac:dyDescent="0.35">
      <c r="A28" s="18"/>
      <c r="B28" s="18"/>
      <c r="C28" s="18"/>
    </row>
    <row r="35" spans="1:3" x14ac:dyDescent="0.35">
      <c r="A35" s="37" t="s">
        <v>0</v>
      </c>
      <c r="B35" s="37" t="s">
        <v>73</v>
      </c>
      <c r="C35" s="37" t="s">
        <v>72</v>
      </c>
    </row>
    <row r="36" spans="1:3" x14ac:dyDescent="0.35">
      <c r="A36" s="32" t="str">
        <f>+B4</f>
        <v>LMN-61/67</v>
      </c>
      <c r="B36" s="33">
        <f>+P4</f>
        <v>8.2441942516104447</v>
      </c>
      <c r="C36" s="33">
        <f>+J4</f>
        <v>1.2812436560754037</v>
      </c>
    </row>
    <row r="37" spans="1:3" x14ac:dyDescent="0.35">
      <c r="A37" s="32" t="str">
        <f>+B5</f>
        <v>INV-61/67</v>
      </c>
      <c r="B37" s="33">
        <f>+P5</f>
        <v>6.543290199809185</v>
      </c>
      <c r="C37" s="33">
        <f>+J5</f>
        <v>2.5152040019012167</v>
      </c>
    </row>
    <row r="38" spans="1:3" x14ac:dyDescent="0.35">
      <c r="A38" s="32" t="str">
        <f>+B6</f>
        <v>SBN-61/67</v>
      </c>
      <c r="B38" s="33">
        <f>+P6</f>
        <v>7.5189060535146766</v>
      </c>
      <c r="C38" s="33">
        <f>+J6</f>
        <v>2.216325180786094</v>
      </c>
    </row>
    <row r="39" spans="1:3" x14ac:dyDescent="0.35">
      <c r="A39" s="32" t="str">
        <f>+B7</f>
        <v>SWD-61/67</v>
      </c>
      <c r="B39" s="33">
        <f>+P7</f>
        <v>7.7532156390170854</v>
      </c>
      <c r="C39" s="33">
        <f>+J7</f>
        <v>3.3728935072843802</v>
      </c>
    </row>
    <row r="40" spans="1:3" x14ac:dyDescent="0.35">
      <c r="A40" s="32" t="str">
        <f>+B8</f>
        <v>AVI-61/67</v>
      </c>
      <c r="B40" s="33">
        <f>+P8</f>
        <v>6.8044766374924741</v>
      </c>
      <c r="C40" s="33">
        <f>+J8</f>
        <v>2.0298704260492961</v>
      </c>
    </row>
    <row r="57" spans="1:5" x14ac:dyDescent="0.35">
      <c r="A57" s="37" t="str">
        <f>+'1996-2002'!A57</f>
        <v>Dalyvių skaičiaus, grąžos (per praėjusius 3 metus) ir fondo turto palyginimas</v>
      </c>
      <c r="B57" s="37"/>
      <c r="C57" s="37"/>
      <c r="D57" s="37"/>
      <c r="E57" s="37"/>
    </row>
    <row r="58" spans="1:5" s="55" customFormat="1" ht="13.5" x14ac:dyDescent="0.3">
      <c r="A58" s="53" t="str">
        <f>+'1996-2002'!A58</f>
        <v>Kuo pensijų fondas paveiksle pavaizduotas aukščiau, tuo jo uždirbama grąža yra didesnė. Kuo žemiau – tuo grąža mažesnė.</v>
      </c>
      <c r="B58" s="54"/>
      <c r="C58" s="54"/>
    </row>
    <row r="59" spans="1:5" s="55" customFormat="1" ht="13.5" x14ac:dyDescent="0.3">
      <c r="A59" s="53" t="str">
        <f>+'1996-2002'!A59</f>
        <v>Dešiniau pavaizduoti pensijų fondai turi daugiau dalyvių. Kairiau – mažiau.</v>
      </c>
      <c r="B59" s="54"/>
      <c r="C59" s="54"/>
    </row>
    <row r="60" spans="1:5" s="55" customFormat="1" ht="13.5" x14ac:dyDescent="0.3">
      <c r="A60" s="53" t="str">
        <f>+'1996-2002'!A60</f>
        <v>Kuo didesnis fondą vaizduojančio skritulio dydis – tuo fondas turi daugiau turto. Kuo mažesnis – mažiau.</v>
      </c>
      <c r="B60" s="54"/>
      <c r="C60" s="54"/>
    </row>
    <row r="65" spans="1:4" x14ac:dyDescent="0.35">
      <c r="A65" s="37" t="s">
        <v>0</v>
      </c>
      <c r="B65" s="37" t="s">
        <v>77</v>
      </c>
      <c r="C65" s="37" t="s">
        <v>78</v>
      </c>
      <c r="D65" s="37" t="s">
        <v>79</v>
      </c>
    </row>
    <row r="66" spans="1:4" x14ac:dyDescent="0.35">
      <c r="A66" s="32" t="str">
        <f>+B4</f>
        <v>LMN-61/67</v>
      </c>
      <c r="B66" s="33">
        <f>+G4/1000</f>
        <v>16.475999999999999</v>
      </c>
      <c r="C66" s="33">
        <f>+J4</f>
        <v>1.2812436560754037</v>
      </c>
      <c r="D66" s="33">
        <f>+F4</f>
        <v>99.669389319999993</v>
      </c>
    </row>
    <row r="67" spans="1:4" x14ac:dyDescent="0.35">
      <c r="A67" s="32" t="str">
        <f>+B5</f>
        <v>INV-61/67</v>
      </c>
      <c r="B67" s="33">
        <f>+G5/1000</f>
        <v>17.483000000000001</v>
      </c>
      <c r="C67" s="33">
        <f>+J5</f>
        <v>2.5152040019012167</v>
      </c>
      <c r="D67" s="33">
        <f>+F5</f>
        <v>127.96628257430001</v>
      </c>
    </row>
    <row r="68" spans="1:4" x14ac:dyDescent="0.35">
      <c r="A68" s="32" t="str">
        <f>+B6</f>
        <v>SBN-61/67</v>
      </c>
      <c r="B68" s="33">
        <f>+G6/1000</f>
        <v>46.74</v>
      </c>
      <c r="C68" s="33">
        <f>+J6</f>
        <v>2.216325180786094</v>
      </c>
      <c r="D68" s="33">
        <f>+F6</f>
        <v>330.01760195999998</v>
      </c>
    </row>
    <row r="69" spans="1:4" x14ac:dyDescent="0.35">
      <c r="A69" s="32" t="str">
        <f>+B7</f>
        <v>SWD-61/67</v>
      </c>
      <c r="B69" s="33">
        <f>+G7/1000</f>
        <v>84.076999999999998</v>
      </c>
      <c r="C69" s="33">
        <f>+J7</f>
        <v>3.3728935072843802</v>
      </c>
      <c r="D69" s="33">
        <f>+F7</f>
        <v>490.24865923999999</v>
      </c>
    </row>
    <row r="70" spans="1:4" x14ac:dyDescent="0.35">
      <c r="A70" s="32" t="str">
        <f>+B8</f>
        <v>AVI-61/67</v>
      </c>
      <c r="B70" s="33">
        <f>+G8/1000</f>
        <v>37.094999999999999</v>
      </c>
      <c r="C70" s="33">
        <f>+J8</f>
        <v>2.0298704260492961</v>
      </c>
      <c r="D70" s="33">
        <f>+F8</f>
        <v>212.80373196000002</v>
      </c>
    </row>
  </sheetData>
  <mergeCells count="7">
    <mergeCell ref="S1:U1"/>
    <mergeCell ref="P1:Q1"/>
    <mergeCell ref="A3:C3"/>
    <mergeCell ref="D1:D2"/>
    <mergeCell ref="F1:F2"/>
    <mergeCell ref="G1:G2"/>
    <mergeCell ref="I1:M1"/>
  </mergeCells>
  <conditionalFormatting sqref="I4:I8">
    <cfRule type="cellIs" dxfId="47" priority="21" operator="greaterThanOrEqual">
      <formula>0</formula>
    </cfRule>
    <cfRule type="cellIs" dxfId="46" priority="22" operator="lessThan">
      <formula>0</formula>
    </cfRule>
  </conditionalFormatting>
  <conditionalFormatting sqref="J4:N8">
    <cfRule type="cellIs" dxfId="45" priority="19" operator="greaterThanOrEqual">
      <formula>0</formula>
    </cfRule>
    <cfRule type="cellIs" dxfId="44" priority="20" operator="lessThan">
      <formula>0</formula>
    </cfRule>
  </conditionalFormatting>
  <conditionalFormatting sqref="I3:N3">
    <cfRule type="cellIs" dxfId="43" priority="13" operator="greaterThanOrEqual">
      <formula>0</formula>
    </cfRule>
    <cfRule type="cellIs" dxfId="42" priority="14" operator="lessThan">
      <formula>0</formula>
    </cfRule>
  </conditionalFormatting>
  <conditionalFormatting sqref="P4:Q8">
    <cfRule type="cellIs" dxfId="41" priority="11" operator="greaterThanOrEqual">
      <formula>0</formula>
    </cfRule>
    <cfRule type="cellIs" dxfId="40" priority="12" operator="lessThan">
      <formula>0</formula>
    </cfRule>
  </conditionalFormatting>
  <conditionalFormatting sqref="S4:U9">
    <cfRule type="cellIs" dxfId="39" priority="9" operator="greaterThanOrEqual">
      <formula>0</formula>
    </cfRule>
    <cfRule type="cellIs" dxfId="38" priority="10" operator="lessThan">
      <formula>0</formula>
    </cfRule>
  </conditionalFormatting>
  <conditionalFormatting sqref="I9">
    <cfRule type="cellIs" dxfId="37" priority="7" operator="greaterThanOrEqual">
      <formula>0</formula>
    </cfRule>
    <cfRule type="cellIs" dxfId="36" priority="8" operator="lessThan">
      <formula>0</formula>
    </cfRule>
  </conditionalFormatting>
  <conditionalFormatting sqref="J9:N9">
    <cfRule type="cellIs" dxfId="35" priority="5" operator="greaterThanOrEqual">
      <formula>0</formula>
    </cfRule>
    <cfRule type="cellIs" dxfId="34" priority="6" operator="lessThan">
      <formula>0</formula>
    </cfRule>
  </conditionalFormatting>
  <conditionalFormatting sqref="P9:Q9">
    <cfRule type="cellIs" dxfId="33" priority="3" operator="greaterThanOrEqual">
      <formula>0</formula>
    </cfRule>
    <cfRule type="cellIs" dxfId="32" priority="4" operator="lessThan">
      <formula>0</formula>
    </cfRule>
  </conditionalFormatting>
  <hyperlinks>
    <hyperlink ref="C1" location="GCF_2024!A1" display="Grįžti į pagrindinį puslapį" xr:uid="{00000000-0004-0000-06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70"/>
  <sheetViews>
    <sheetView showGridLines="0" zoomScale="70" zoomScaleNormal="70" workbookViewId="0"/>
  </sheetViews>
  <sheetFormatPr defaultColWidth="8.81640625" defaultRowHeight="15.5" x14ac:dyDescent="0.35"/>
  <cols>
    <col min="1" max="1" width="41.81640625" style="16" customWidth="1"/>
    <col min="2" max="2" width="14.81640625" style="16" bestFit="1" customWidth="1"/>
    <col min="3" max="3" width="68.54296875" style="16" customWidth="1"/>
    <col min="4" max="4" width="17.453125" style="16" customWidth="1"/>
    <col min="5" max="5" width="16.1796875" style="16" bestFit="1" customWidth="1"/>
    <col min="6" max="6" width="19.453125" style="16" customWidth="1"/>
    <col min="7" max="7" width="13.54296875" style="16" customWidth="1"/>
    <col min="8" max="8" width="1.54296875" style="16" customWidth="1"/>
    <col min="9" max="9" width="18.453125" style="16" customWidth="1"/>
    <col min="10" max="11" width="17.54296875" style="16" customWidth="1"/>
    <col min="12" max="12" width="18" style="16" customWidth="1"/>
    <col min="13" max="14" width="19.1796875" style="16" customWidth="1"/>
    <col min="15" max="15" width="1.54296875" style="16" customWidth="1"/>
    <col min="16" max="16" width="23.453125" style="16" customWidth="1"/>
    <col min="17" max="17" width="21" style="16" customWidth="1"/>
    <col min="18" max="18" width="1.54296875" style="16" customWidth="1"/>
    <col min="19" max="19" width="8.81640625" style="16"/>
    <col min="20" max="21" width="11.453125" style="16" customWidth="1"/>
    <col min="22" max="16384" width="8.81640625" style="16"/>
  </cols>
  <sheetData>
    <row r="1" spans="1:23" ht="22.4" customHeight="1" x14ac:dyDescent="0.35">
      <c r="A1" s="25">
        <f>+GCF_2024!A1</f>
        <v>45382</v>
      </c>
      <c r="B1" s="26"/>
      <c r="C1" s="86" t="s">
        <v>76</v>
      </c>
      <c r="D1" s="102" t="s">
        <v>90</v>
      </c>
      <c r="E1" s="31" t="s">
        <v>75</v>
      </c>
      <c r="F1" s="102" t="s">
        <v>100</v>
      </c>
      <c r="G1" s="102" t="s">
        <v>71</v>
      </c>
      <c r="H1" s="28"/>
      <c r="I1" s="100" t="s">
        <v>72</v>
      </c>
      <c r="J1" s="106">
        <v>0</v>
      </c>
      <c r="K1" s="106"/>
      <c r="L1" s="106">
        <v>0</v>
      </c>
      <c r="M1" s="106">
        <v>0</v>
      </c>
      <c r="N1" s="88"/>
      <c r="O1" s="29"/>
      <c r="P1" s="104" t="s">
        <v>97</v>
      </c>
      <c r="Q1" s="105">
        <v>0</v>
      </c>
      <c r="R1" s="29"/>
      <c r="S1" s="100" t="s">
        <v>166</v>
      </c>
      <c r="T1" s="106">
        <v>0</v>
      </c>
      <c r="U1" s="106">
        <v>0</v>
      </c>
    </row>
    <row r="2" spans="1:23" ht="92.5" customHeight="1" x14ac:dyDescent="0.35">
      <c r="A2" s="24" t="str">
        <f>+GCF_2024!A2</f>
        <v xml:space="preserve">Pensijų kaupimo bendrovės pavadinimas
</v>
      </c>
      <c r="B2" s="24" t="str">
        <f>+GCF_2024!B2</f>
        <v xml:space="preserve">Fondo kodas
</v>
      </c>
      <c r="C2" s="24" t="str">
        <f>+GCF_2024!C2</f>
        <v xml:space="preserve">Pensijų fondo pavadinimas
</v>
      </c>
      <c r="D2" s="103">
        <v>0</v>
      </c>
      <c r="E2" s="24" t="s">
        <v>99</v>
      </c>
      <c r="F2" s="103">
        <v>0</v>
      </c>
      <c r="G2" s="103">
        <v>0</v>
      </c>
      <c r="H2" s="28"/>
      <c r="I2" s="64" t="s">
        <v>92</v>
      </c>
      <c r="J2" s="24" t="s">
        <v>156</v>
      </c>
      <c r="K2" s="24" t="s">
        <v>157</v>
      </c>
      <c r="L2" s="24" t="s">
        <v>94</v>
      </c>
      <c r="M2" s="24" t="s">
        <v>158</v>
      </c>
      <c r="N2" s="24" t="s">
        <v>159</v>
      </c>
      <c r="O2" s="30"/>
      <c r="P2" s="24" t="s">
        <v>111</v>
      </c>
      <c r="Q2" s="24" t="s">
        <v>112</v>
      </c>
      <c r="R2" s="30"/>
      <c r="S2" s="24" t="s">
        <v>149</v>
      </c>
      <c r="T2" s="24" t="s">
        <v>150</v>
      </c>
      <c r="U2" s="24" t="s">
        <v>151</v>
      </c>
    </row>
    <row r="3" spans="1:23" ht="29.15" customHeight="1" x14ac:dyDescent="0.35">
      <c r="A3" s="107" t="str">
        <f>+GCF_2024!A45</f>
        <v>Tikslinės pensijų fondų dalyvių grupės pensijų fondai, 1954-1960</v>
      </c>
      <c r="B3" s="107"/>
      <c r="C3" s="107"/>
      <c r="D3" s="44"/>
      <c r="E3" s="44"/>
      <c r="F3" s="45"/>
      <c r="G3" s="70" t="s">
        <v>98</v>
      </c>
      <c r="H3" s="45"/>
      <c r="I3" s="67">
        <v>2.060443352866359</v>
      </c>
      <c r="J3" s="67">
        <v>-0.3046592285222488</v>
      </c>
      <c r="K3" s="67">
        <v>2.3214776760970524</v>
      </c>
      <c r="L3" s="67">
        <v>1.5344658751155413</v>
      </c>
      <c r="M3" s="67">
        <v>-1.098718178567722</v>
      </c>
      <c r="N3" s="67">
        <v>1.6638587744899962</v>
      </c>
      <c r="O3" s="45"/>
      <c r="P3" s="45"/>
      <c r="Q3" s="45"/>
      <c r="R3" s="45"/>
      <c r="S3" s="45"/>
      <c r="T3" s="45"/>
      <c r="U3" s="45"/>
    </row>
    <row r="4" spans="1:23" customFormat="1" ht="14.5" x14ac:dyDescent="0.35">
      <c r="A4" s="32" t="str">
        <f>+GCF_2024!A46</f>
        <v xml:space="preserve">Luminor investicijų valdymas UAB </v>
      </c>
      <c r="B4" s="32" t="str">
        <f>+GCF_2024!B46</f>
        <v>LMN-54/60</v>
      </c>
      <c r="C4" s="32" t="str">
        <f>+GCF_2024!C46</f>
        <v>Luminor 1954–1960 tikslinės grupės pensijų fondas</v>
      </c>
      <c r="D4" s="66" t="s">
        <v>161</v>
      </c>
      <c r="E4" s="34">
        <v>10</v>
      </c>
      <c r="F4" s="33">
        <v>17.966132179999999</v>
      </c>
      <c r="G4" s="35">
        <v>3316</v>
      </c>
      <c r="H4" s="22"/>
      <c r="I4" s="36">
        <v>1.6427104722792629</v>
      </c>
      <c r="J4" s="36">
        <v>-1.2767607555109639</v>
      </c>
      <c r="K4" s="36">
        <v>1.9890449893815942</v>
      </c>
      <c r="L4" s="36">
        <v>1.2237400232306239</v>
      </c>
      <c r="M4" s="36">
        <v>-0.92290259592614499</v>
      </c>
      <c r="N4" s="36">
        <v>2.2222930320686229</v>
      </c>
      <c r="O4" s="23"/>
      <c r="P4" s="36">
        <v>6.3820683917885619</v>
      </c>
      <c r="Q4" s="36">
        <v>6.8903115603580982</v>
      </c>
      <c r="R4" s="23"/>
      <c r="S4" s="36">
        <v>0.49</v>
      </c>
      <c r="T4" s="36">
        <v>0.71000000000000008</v>
      </c>
      <c r="U4" s="36" t="s">
        <v>91</v>
      </c>
      <c r="V4" s="58"/>
      <c r="W4" s="58"/>
    </row>
    <row r="5" spans="1:23" customFormat="1" ht="14.5" x14ac:dyDescent="0.35">
      <c r="A5" s="32" t="str">
        <f>+GCF_2024!A47</f>
        <v>UAB „SB Asset Management“</v>
      </c>
      <c r="B5" s="32" t="str">
        <f>+GCF_2024!B47</f>
        <v>INV-54/60</v>
      </c>
      <c r="C5" s="32" t="str">
        <f>+GCF_2024!C47</f>
        <v>INVL pensija 1954–1960 Index Plus</v>
      </c>
      <c r="D5" s="66" t="s">
        <v>161</v>
      </c>
      <c r="E5" s="34">
        <v>10</v>
      </c>
      <c r="F5" s="33">
        <v>17.295014675999997</v>
      </c>
      <c r="G5" s="35">
        <v>2704</v>
      </c>
      <c r="H5" s="22"/>
      <c r="I5" s="36">
        <v>2.0752984389347917</v>
      </c>
      <c r="J5" s="36">
        <v>0.19567754157325812</v>
      </c>
      <c r="K5" s="36">
        <v>2.3366500168682469</v>
      </c>
      <c r="L5" s="36">
        <v>1.9708745799029037</v>
      </c>
      <c r="M5" s="36">
        <v>-2.2440788336752893</v>
      </c>
      <c r="N5" s="36">
        <v>0.52306265348065484</v>
      </c>
      <c r="O5" s="23"/>
      <c r="P5" s="36">
        <v>4.9859361129482078</v>
      </c>
      <c r="Q5" s="36">
        <v>7.0020174037696004</v>
      </c>
      <c r="R5" s="23"/>
      <c r="S5" s="36">
        <v>0.5</v>
      </c>
      <c r="T5" s="36">
        <v>0.54</v>
      </c>
      <c r="U5" s="36">
        <v>0.54</v>
      </c>
      <c r="V5" s="58"/>
      <c r="W5" s="58"/>
    </row>
    <row r="6" spans="1:23" customFormat="1" ht="14.5" x14ac:dyDescent="0.35">
      <c r="A6" s="32" t="str">
        <f>+GCF_2024!A48</f>
        <v>UAB „SEB investicijų valdymas“</v>
      </c>
      <c r="B6" s="32" t="str">
        <f>+GCF_2024!B48</f>
        <v>SBN-54/60</v>
      </c>
      <c r="C6" s="69" t="str">
        <f>+GCF_2024!C48</f>
        <v>SEB 1954–1960 metų tikslinės grupės pensijų kaupimo fondas</v>
      </c>
      <c r="D6" s="66" t="s">
        <v>161</v>
      </c>
      <c r="E6" s="34">
        <v>18.5</v>
      </c>
      <c r="F6" s="33">
        <v>54.67931162</v>
      </c>
      <c r="G6" s="35">
        <v>8486</v>
      </c>
      <c r="H6" s="22"/>
      <c r="I6" s="36">
        <v>2.4003664681630843</v>
      </c>
      <c r="J6" s="36">
        <v>-0.30235844849877402</v>
      </c>
      <c r="K6" s="36">
        <v>2.3683494880393008</v>
      </c>
      <c r="L6" s="36">
        <v>2.0120269753129083</v>
      </c>
      <c r="M6" s="36">
        <v>0.22090373005148045</v>
      </c>
      <c r="N6" s="36">
        <v>2.8007298084767873</v>
      </c>
      <c r="O6" s="23"/>
      <c r="P6" s="36">
        <v>5.6311419064153796</v>
      </c>
      <c r="Q6" s="36">
        <v>6.5202836527840295</v>
      </c>
      <c r="R6" s="23"/>
      <c r="S6" s="36">
        <v>0.5</v>
      </c>
      <c r="T6" s="36">
        <v>0.68</v>
      </c>
      <c r="U6" s="36" t="s">
        <v>91</v>
      </c>
      <c r="V6" s="58"/>
      <c r="W6" s="58"/>
    </row>
    <row r="7" spans="1:23" customFormat="1" ht="14.5" x14ac:dyDescent="0.35">
      <c r="A7" s="32" t="str">
        <f>+GCF_2024!A49</f>
        <v>UAB „Swedbank investicijų valdymas“</v>
      </c>
      <c r="B7" s="32" t="str">
        <f>+GCF_2024!B49</f>
        <v>SWD-54/60</v>
      </c>
      <c r="C7" s="32" t="str">
        <f>+GCF_2024!C49</f>
        <v>Swedbank pensija 1954–1960</v>
      </c>
      <c r="D7" s="66" t="s">
        <v>161</v>
      </c>
      <c r="E7" s="34">
        <v>15</v>
      </c>
      <c r="F7" s="33">
        <v>77.4060013</v>
      </c>
      <c r="G7" s="35">
        <v>12155</v>
      </c>
      <c r="H7" s="22"/>
      <c r="I7" s="36">
        <v>1.7585638395310355</v>
      </c>
      <c r="J7" s="36">
        <v>-0.45487607121007523</v>
      </c>
      <c r="K7" s="36">
        <v>2.4189751251640468</v>
      </c>
      <c r="L7" s="36">
        <v>1.2803352705196724</v>
      </c>
      <c r="M7" s="36">
        <v>-2.6778005586454379</v>
      </c>
      <c r="N7" s="36">
        <v>0.67218895469172146</v>
      </c>
      <c r="O7" s="23"/>
      <c r="P7" s="36">
        <v>5.1894731762154755</v>
      </c>
      <c r="Q7" s="36">
        <v>7.8054796562391671</v>
      </c>
      <c r="R7" s="23"/>
      <c r="S7" s="36">
        <v>0.5</v>
      </c>
      <c r="T7" s="36" t="s">
        <v>91</v>
      </c>
      <c r="U7" s="36">
        <v>0.52249999999999996</v>
      </c>
      <c r="V7" s="58"/>
      <c r="W7" s="58"/>
    </row>
    <row r="8" spans="1:23" customFormat="1" ht="14.5" x14ac:dyDescent="0.35">
      <c r="A8" s="32" t="str">
        <f>+GCF_2024!A50</f>
        <v>Allianz Lietuva gyvybės draudimas UAB</v>
      </c>
      <c r="B8" s="32" t="str">
        <f>+GCF_2024!B50</f>
        <v>AVI-54/60</v>
      </c>
      <c r="C8" s="32" t="str">
        <f>+GCF_2024!C50</f>
        <v>Allianz B 1954–1960 tikslinės grupės pensijų fondas</v>
      </c>
      <c r="D8" s="66" t="s">
        <v>161</v>
      </c>
      <c r="E8" s="34">
        <v>15</v>
      </c>
      <c r="F8" s="33">
        <v>41.270464780000005</v>
      </c>
      <c r="G8" s="35">
        <v>7277</v>
      </c>
      <c r="H8" s="22"/>
      <c r="I8" s="36">
        <v>2.3598001110494149</v>
      </c>
      <c r="J8" s="36">
        <v>0.18754392221285165</v>
      </c>
      <c r="K8" s="36">
        <v>2.21487159909044</v>
      </c>
      <c r="L8" s="36">
        <v>1.3307698039008997</v>
      </c>
      <c r="M8" s="36">
        <v>0.51804913677944153</v>
      </c>
      <c r="N8" s="36">
        <v>2.2525376740505587</v>
      </c>
      <c r="O8" s="23"/>
      <c r="P8" s="36">
        <v>4.2249905869467845</v>
      </c>
      <c r="Q8" s="36">
        <v>3.9725045732203847</v>
      </c>
      <c r="R8" s="23"/>
      <c r="S8" s="36">
        <v>0.5</v>
      </c>
      <c r="T8" s="36">
        <v>0.6</v>
      </c>
      <c r="U8" s="36" t="s">
        <v>91</v>
      </c>
      <c r="V8" s="58"/>
      <c r="W8" s="58"/>
    </row>
    <row r="9" spans="1:23" customFormat="1" ht="14.5" x14ac:dyDescent="0.35">
      <c r="A9" s="32" t="str">
        <f>+GCF_2024!A51</f>
        <v>Goindex, UAB</v>
      </c>
      <c r="B9" s="32" t="str">
        <f>+GCF_2024!B51</f>
        <v>GOX-54/60</v>
      </c>
      <c r="C9" s="32" t="str">
        <f>+GCF_2024!C51</f>
        <v>Goindex pensija 1954–1960 tikslinės grupės pensijų fondas</v>
      </c>
      <c r="D9" s="66" t="s">
        <v>162</v>
      </c>
      <c r="E9" s="34">
        <v>0</v>
      </c>
      <c r="F9" s="33">
        <v>0.14459590429999999</v>
      </c>
      <c r="G9" s="35">
        <v>19</v>
      </c>
      <c r="H9" s="22"/>
      <c r="I9" s="36">
        <v>-0.19372336303757898</v>
      </c>
      <c r="J9" s="36" t="s">
        <v>164</v>
      </c>
      <c r="K9" s="36" t="s">
        <v>164</v>
      </c>
      <c r="L9" s="36">
        <v>2.8675205505646062E-2</v>
      </c>
      <c r="M9" s="36" t="s">
        <v>164</v>
      </c>
      <c r="N9" s="36" t="s">
        <v>164</v>
      </c>
      <c r="O9" s="23"/>
      <c r="P9" s="36" t="s">
        <v>164</v>
      </c>
      <c r="Q9" s="36" t="s">
        <v>164</v>
      </c>
      <c r="R9" s="23"/>
      <c r="S9" s="36">
        <v>0.45</v>
      </c>
      <c r="T9" s="36">
        <v>0.59</v>
      </c>
      <c r="U9" s="36" t="s">
        <v>91</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3" s="55" customFormat="1" ht="13.5" x14ac:dyDescent="0.3">
      <c r="A12" s="49" t="str">
        <f>+GCF_2024!A63</f>
        <v>[1] Apskaitos vieneto vertės pokytis. Juo atsižvelgiama į atskaitymus nuo turto.</v>
      </c>
      <c r="B12" s="53"/>
      <c r="C12" s="53"/>
    </row>
    <row r="13" spans="1:23"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3"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3" s="55" customFormat="1" ht="13.5" x14ac:dyDescent="0.3">
      <c r="A15" s="53" t="str">
        <f>+GCF_2024!A66</f>
        <v>[4] Svertiniam vidurkiui apskaičiuoti naudotas 2024-03-29 dienos fondų grynųjų aktyvų dydis.</v>
      </c>
      <c r="B15" s="54"/>
      <c r="C15" s="54"/>
    </row>
    <row r="16" spans="1:23"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s="55" customFormat="1" ht="13.5" x14ac:dyDescent="0.3">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s="55" customFormat="1" ht="13.5" x14ac:dyDescent="0.3">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s="55" customFormat="1" ht="13.5" x14ac:dyDescent="0.3">
      <c r="A21" s="56" t="str">
        <f>+GCF_2024!A72</f>
        <v>[10] Apskaičiuota taikant geometrinį vidurkį.</v>
      </c>
    </row>
    <row r="22" spans="1:5" s="55" customFormat="1" ht="13.5" x14ac:dyDescent="0.3">
      <c r="A22" s="56" t="str">
        <f>+GCF_2024!A73</f>
        <v>[11] Goindex, UAB valdomi pensijų fondai įsteigti 2022-07-05.</v>
      </c>
    </row>
    <row r="23" spans="1:5" s="55" customFormat="1" ht="13.5" x14ac:dyDescent="0.3">
      <c r="A23" s="56"/>
    </row>
    <row r="24" spans="1:5" x14ac:dyDescent="0.35">
      <c r="A24" s="56"/>
    </row>
    <row r="25" spans="1:5" x14ac:dyDescent="0.35">
      <c r="A25" s="37" t="str">
        <f>+'1996-2002'!A25</f>
        <v>Rizikos ir grąžos palyginimas (per praėjusius 3 metus)</v>
      </c>
      <c r="B25" s="37"/>
      <c r="C25" s="37"/>
      <c r="D25" s="37"/>
      <c r="E25" s="37"/>
    </row>
    <row r="26" spans="1:5" s="55" customFormat="1" ht="13.5" x14ac:dyDescent="0.3">
      <c r="A26" s="53" t="str">
        <f>+'1996-2002'!A26</f>
        <v>Kuo pensijų fondas paveiksle vaizduojamas aukščiau, tuo jo uždirbama grąža yra didesnė. Kuo žemiau – tuo grąža mažesnė.</v>
      </c>
      <c r="B26" s="54"/>
      <c r="C26" s="54"/>
    </row>
    <row r="27" spans="1:5" s="55" customFormat="1" ht="13.5" x14ac:dyDescent="0.3">
      <c r="A27" s="53" t="str">
        <f>+'1996-2002'!A27</f>
        <v>Dešiniau pavaizduoti pensijų fondai prisiima didesnę riziką (jų vieneto vertės svyruoja daugiau). Kairiau – mažesnę (jų vieneto vertės svyruoja mažiau).</v>
      </c>
      <c r="B27" s="54"/>
      <c r="C27" s="54"/>
    </row>
    <row r="28" spans="1:5" x14ac:dyDescent="0.35">
      <c r="A28" s="18"/>
      <c r="B28" s="18"/>
      <c r="C28" s="18"/>
    </row>
    <row r="35" spans="1:3" x14ac:dyDescent="0.35">
      <c r="A35" s="37" t="s">
        <v>0</v>
      </c>
      <c r="B35" s="37" t="s">
        <v>73</v>
      </c>
      <c r="C35" s="37" t="s">
        <v>72</v>
      </c>
    </row>
    <row r="36" spans="1:3" x14ac:dyDescent="0.35">
      <c r="A36" s="32" t="str">
        <f>+B4</f>
        <v>LMN-54/60</v>
      </c>
      <c r="B36" s="33">
        <f>+P4</f>
        <v>6.3820683917885619</v>
      </c>
      <c r="C36" s="33">
        <f>+J4</f>
        <v>-1.2767607555109639</v>
      </c>
    </row>
    <row r="37" spans="1:3" x14ac:dyDescent="0.35">
      <c r="A37" s="32" t="str">
        <f>+B5</f>
        <v>INV-54/60</v>
      </c>
      <c r="B37" s="33">
        <f>+P5</f>
        <v>4.9859361129482078</v>
      </c>
      <c r="C37" s="33">
        <f>+J5</f>
        <v>0.19567754157325812</v>
      </c>
    </row>
    <row r="38" spans="1:3" x14ac:dyDescent="0.35">
      <c r="A38" s="32" t="str">
        <f>+B6</f>
        <v>SBN-54/60</v>
      </c>
      <c r="B38" s="33">
        <f>+P6</f>
        <v>5.6311419064153796</v>
      </c>
      <c r="C38" s="33">
        <f>+J6</f>
        <v>-0.30235844849877402</v>
      </c>
    </row>
    <row r="39" spans="1:3" x14ac:dyDescent="0.35">
      <c r="A39" s="32" t="str">
        <f>+B7</f>
        <v>SWD-54/60</v>
      </c>
      <c r="B39" s="33">
        <f>+P7</f>
        <v>5.1894731762154755</v>
      </c>
      <c r="C39" s="33">
        <f>+J7</f>
        <v>-0.45487607121007523</v>
      </c>
    </row>
    <row r="40" spans="1:3" x14ac:dyDescent="0.35">
      <c r="A40" s="32" t="str">
        <f>+B8</f>
        <v>AVI-54/60</v>
      </c>
      <c r="B40" s="33">
        <f>+P8</f>
        <v>4.2249905869467845</v>
      </c>
      <c r="C40" s="33">
        <f>+J8</f>
        <v>0.18754392221285165</v>
      </c>
    </row>
    <row r="57" spans="1:5" x14ac:dyDescent="0.35">
      <c r="A57" s="37" t="str">
        <f>+'1996-2002'!A57</f>
        <v>Dalyvių skaičiaus, grąžos (per praėjusius 3 metus) ir fondo turto palyginimas</v>
      </c>
      <c r="B57" s="37"/>
      <c r="C57" s="37"/>
      <c r="D57" s="37"/>
      <c r="E57" s="37"/>
    </row>
    <row r="58" spans="1:5" s="55" customFormat="1" ht="13.5" x14ac:dyDescent="0.3">
      <c r="A58" s="53" t="str">
        <f>+'1996-2002'!A58</f>
        <v>Kuo pensijų fondas paveiksle pavaizduotas aukščiau, tuo jo uždirbama grąža yra didesnė. Kuo žemiau – tuo grąža mažesnė.</v>
      </c>
      <c r="B58" s="54"/>
      <c r="C58" s="54"/>
    </row>
    <row r="59" spans="1:5" s="55" customFormat="1" ht="13.5" x14ac:dyDescent="0.3">
      <c r="A59" s="53" t="str">
        <f>+'1996-2002'!A59</f>
        <v>Dešiniau pavaizduoti pensijų fondai turi daugiau dalyvių. Kairiau – mažiau.</v>
      </c>
      <c r="B59" s="54"/>
      <c r="C59" s="54"/>
    </row>
    <row r="60" spans="1:5" s="55" customFormat="1" ht="13.5" x14ac:dyDescent="0.3">
      <c r="A60" s="53" t="str">
        <f>+'1996-2002'!A60</f>
        <v>Kuo didesnis fondą vaizduojančio skritulio dydis – tuo fondas turi daugiau turto. Kuo mažesnis – mažiau.</v>
      </c>
      <c r="B60" s="54"/>
      <c r="C60" s="54"/>
    </row>
    <row r="65" spans="1:4" x14ac:dyDescent="0.35">
      <c r="A65" s="37" t="s">
        <v>0</v>
      </c>
      <c r="B65" s="37" t="s">
        <v>77</v>
      </c>
      <c r="C65" s="37" t="s">
        <v>78</v>
      </c>
      <c r="D65" s="37" t="s">
        <v>79</v>
      </c>
    </row>
    <row r="66" spans="1:4" x14ac:dyDescent="0.35">
      <c r="A66" s="32" t="str">
        <f>+B4</f>
        <v>LMN-54/60</v>
      </c>
      <c r="B66" s="33">
        <f>+G4/1000</f>
        <v>3.3159999999999998</v>
      </c>
      <c r="C66" s="33">
        <f>+J4</f>
        <v>-1.2767607555109639</v>
      </c>
      <c r="D66" s="33">
        <f>+F4</f>
        <v>17.966132179999999</v>
      </c>
    </row>
    <row r="67" spans="1:4" x14ac:dyDescent="0.35">
      <c r="A67" s="32" t="str">
        <f>+B5</f>
        <v>INV-54/60</v>
      </c>
      <c r="B67" s="33">
        <f>+G5/1000</f>
        <v>2.7040000000000002</v>
      </c>
      <c r="C67" s="33">
        <f>+J5</f>
        <v>0.19567754157325812</v>
      </c>
      <c r="D67" s="33">
        <f>+F5</f>
        <v>17.295014675999997</v>
      </c>
    </row>
    <row r="68" spans="1:4" x14ac:dyDescent="0.35">
      <c r="A68" s="32" t="str">
        <f>+B6</f>
        <v>SBN-54/60</v>
      </c>
      <c r="B68" s="33">
        <f>+G6/1000</f>
        <v>8.4860000000000007</v>
      </c>
      <c r="C68" s="33">
        <f>+J6</f>
        <v>-0.30235844849877402</v>
      </c>
      <c r="D68" s="33">
        <f>+F6</f>
        <v>54.67931162</v>
      </c>
    </row>
    <row r="69" spans="1:4" x14ac:dyDescent="0.35">
      <c r="A69" s="32" t="str">
        <f>+B7</f>
        <v>SWD-54/60</v>
      </c>
      <c r="B69" s="33">
        <f>+G7/1000</f>
        <v>12.154999999999999</v>
      </c>
      <c r="C69" s="33">
        <f>+J7</f>
        <v>-0.45487607121007523</v>
      </c>
      <c r="D69" s="33">
        <f>+F7</f>
        <v>77.4060013</v>
      </c>
    </row>
    <row r="70" spans="1:4" x14ac:dyDescent="0.35">
      <c r="A70" s="32" t="str">
        <f>+B8</f>
        <v>AVI-54/60</v>
      </c>
      <c r="B70" s="33">
        <f>+G8/1000</f>
        <v>7.2770000000000001</v>
      </c>
      <c r="C70" s="33">
        <f>+J8</f>
        <v>0.18754392221285165</v>
      </c>
      <c r="D70" s="33">
        <f>+F8</f>
        <v>41.270464780000005</v>
      </c>
    </row>
  </sheetData>
  <mergeCells count="7">
    <mergeCell ref="S1:U1"/>
    <mergeCell ref="P1:Q1"/>
    <mergeCell ref="A3:C3"/>
    <mergeCell ref="D1:D2"/>
    <mergeCell ref="F1:F2"/>
    <mergeCell ref="G1:G2"/>
    <mergeCell ref="I1:M1"/>
  </mergeCells>
  <conditionalFormatting sqref="I4:I8">
    <cfRule type="cellIs" dxfId="31" priority="21" operator="greaterThanOrEqual">
      <formula>0</formula>
    </cfRule>
    <cfRule type="cellIs" dxfId="30" priority="22" operator="lessThan">
      <formula>0</formula>
    </cfRule>
  </conditionalFormatting>
  <conditionalFormatting sqref="J4:N8">
    <cfRule type="cellIs" dxfId="29" priority="19" operator="greaterThanOrEqual">
      <formula>0</formula>
    </cfRule>
    <cfRule type="cellIs" dxfId="28" priority="20" operator="lessThan">
      <formula>0</formula>
    </cfRule>
  </conditionalFormatting>
  <conditionalFormatting sqref="I3:N3">
    <cfRule type="cellIs" dxfId="27" priority="13" operator="greaterThanOrEqual">
      <formula>0</formula>
    </cfRule>
    <cfRule type="cellIs" dxfId="26" priority="14" operator="lessThan">
      <formula>0</formula>
    </cfRule>
  </conditionalFormatting>
  <conditionalFormatting sqref="P4:Q8">
    <cfRule type="cellIs" dxfId="25" priority="11" operator="greaterThanOrEqual">
      <formula>0</formula>
    </cfRule>
    <cfRule type="cellIs" dxfId="24" priority="12" operator="lessThan">
      <formula>0</formula>
    </cfRule>
  </conditionalFormatting>
  <conditionalFormatting sqref="S4:U9">
    <cfRule type="cellIs" dxfId="23" priority="9" operator="greaterThanOrEqual">
      <formula>0</formula>
    </cfRule>
    <cfRule type="cellIs" dxfId="22" priority="10" operator="lessThan">
      <formula>0</formula>
    </cfRule>
  </conditionalFormatting>
  <conditionalFormatting sqref="I9">
    <cfRule type="cellIs" dxfId="21" priority="7" operator="greaterThanOrEqual">
      <formula>0</formula>
    </cfRule>
    <cfRule type="cellIs" dxfId="20" priority="8" operator="lessThan">
      <formula>0</formula>
    </cfRule>
  </conditionalFormatting>
  <conditionalFormatting sqref="J9:N9">
    <cfRule type="cellIs" dxfId="19" priority="5" operator="greaterThanOrEqual">
      <formula>0</formula>
    </cfRule>
    <cfRule type="cellIs" dxfId="18" priority="6" operator="lessThan">
      <formula>0</formula>
    </cfRule>
  </conditionalFormatting>
  <conditionalFormatting sqref="P9:Q9">
    <cfRule type="cellIs" dxfId="17" priority="3" operator="greaterThanOrEqual">
      <formula>0</formula>
    </cfRule>
    <cfRule type="cellIs" dxfId="16" priority="4" operator="lessThan">
      <formula>0</formula>
    </cfRule>
  </conditionalFormatting>
  <hyperlinks>
    <hyperlink ref="C1" location="GCF_2024!A1" display="Grįžti į pagrindinį puslapį" xr:uid="{00000000-0004-0000-07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0"/>
  <sheetViews>
    <sheetView showGridLines="0" zoomScale="70" zoomScaleNormal="70" workbookViewId="0"/>
  </sheetViews>
  <sheetFormatPr defaultColWidth="8.81640625" defaultRowHeight="15.5" x14ac:dyDescent="0.35"/>
  <cols>
    <col min="1" max="1" width="43.54296875" style="16" customWidth="1"/>
    <col min="2" max="2" width="14.81640625" style="16" bestFit="1" customWidth="1"/>
    <col min="3" max="3" width="50" style="16" customWidth="1"/>
    <col min="4" max="4" width="16" style="16" customWidth="1"/>
    <col min="5" max="5" width="16.1796875" style="16" bestFit="1" customWidth="1"/>
    <col min="6" max="6" width="19.453125" style="16" customWidth="1"/>
    <col min="7" max="7" width="12.453125" style="16" customWidth="1"/>
    <col min="8" max="8" width="3.453125" style="16" customWidth="1"/>
    <col min="9" max="9" width="17.54296875" style="16" customWidth="1"/>
    <col min="10" max="10" width="18.1796875" style="16" customWidth="1"/>
    <col min="11" max="11" width="17.81640625" style="16" customWidth="1"/>
    <col min="12" max="12" width="15" style="16" customWidth="1"/>
    <col min="13" max="13" width="18.1796875" style="16" customWidth="1"/>
    <col min="14" max="14" width="18.54296875" style="16" customWidth="1"/>
    <col min="15" max="15" width="3.453125" style="16" customWidth="1"/>
    <col min="16" max="16" width="17.54296875" style="16" customWidth="1"/>
    <col min="17" max="17" width="17.1796875" style="16" customWidth="1"/>
    <col min="18" max="18" width="3.453125" style="16" customWidth="1"/>
    <col min="19" max="19" width="11" style="16" customWidth="1"/>
    <col min="20" max="20" width="11.1796875" style="16" customWidth="1"/>
    <col min="21" max="21" width="12.453125" style="16" customWidth="1"/>
    <col min="22" max="16384" width="8.81640625" style="16"/>
  </cols>
  <sheetData>
    <row r="1" spans="1:21" ht="22.4" customHeight="1" x14ac:dyDescent="0.35">
      <c r="A1" s="25">
        <f>+GCF_2024!A1</f>
        <v>45382</v>
      </c>
      <c r="B1" s="26"/>
      <c r="C1" s="86" t="s">
        <v>76</v>
      </c>
      <c r="D1" s="102" t="s">
        <v>90</v>
      </c>
      <c r="E1" s="31" t="s">
        <v>75</v>
      </c>
      <c r="F1" s="102" t="s">
        <v>100</v>
      </c>
      <c r="G1" s="102" t="s">
        <v>71</v>
      </c>
      <c r="H1" s="28"/>
      <c r="I1" s="100" t="s">
        <v>72</v>
      </c>
      <c r="J1" s="106">
        <v>0</v>
      </c>
      <c r="K1" s="106"/>
      <c r="L1" s="106">
        <v>0</v>
      </c>
      <c r="M1" s="106">
        <v>0</v>
      </c>
      <c r="N1" s="88"/>
      <c r="O1" s="29"/>
      <c r="P1" s="104" t="s">
        <v>97</v>
      </c>
      <c r="Q1" s="105">
        <v>0</v>
      </c>
      <c r="R1" s="29"/>
      <c r="S1" s="100" t="s">
        <v>166</v>
      </c>
      <c r="T1" s="106">
        <v>0</v>
      </c>
      <c r="U1" s="106">
        <v>0</v>
      </c>
    </row>
    <row r="2" spans="1:21" ht="92.5" customHeight="1" x14ac:dyDescent="0.35">
      <c r="A2" s="24" t="str">
        <f>+GCF_2024!A2</f>
        <v xml:space="preserve">Pensijų kaupimo bendrovės pavadinimas
</v>
      </c>
      <c r="B2" s="24" t="str">
        <f>+GCF_2024!B2</f>
        <v xml:space="preserve">Fondo kodas
</v>
      </c>
      <c r="C2" s="24" t="str">
        <f>+GCF_2024!C2</f>
        <v xml:space="preserve">Pensijų fondo pavadinimas
</v>
      </c>
      <c r="D2" s="103">
        <v>0</v>
      </c>
      <c r="E2" s="24" t="s">
        <v>99</v>
      </c>
      <c r="F2" s="103">
        <v>0</v>
      </c>
      <c r="G2" s="103">
        <v>0</v>
      </c>
      <c r="H2" s="28"/>
      <c r="I2" s="64" t="s">
        <v>92</v>
      </c>
      <c r="J2" s="24" t="s">
        <v>156</v>
      </c>
      <c r="K2" s="24" t="s">
        <v>157</v>
      </c>
      <c r="L2" s="24" t="s">
        <v>94</v>
      </c>
      <c r="M2" s="24" t="s">
        <v>158</v>
      </c>
      <c r="N2" s="24" t="s">
        <v>159</v>
      </c>
      <c r="O2" s="30"/>
      <c r="P2" s="24" t="s">
        <v>111</v>
      </c>
      <c r="Q2" s="24" t="s">
        <v>112</v>
      </c>
      <c r="R2" s="30"/>
      <c r="S2" s="24" t="s">
        <v>149</v>
      </c>
      <c r="T2" s="24" t="s">
        <v>150</v>
      </c>
      <c r="U2" s="24" t="s">
        <v>151</v>
      </c>
    </row>
    <row r="3" spans="1:21" ht="29.15" customHeight="1" x14ac:dyDescent="0.35">
      <c r="A3" s="107" t="str">
        <f>+GCF_2024!A52</f>
        <v>Pensijų turto išsaugojimo pensijų fondai</v>
      </c>
      <c r="B3" s="107"/>
      <c r="C3" s="107"/>
      <c r="D3" s="44"/>
      <c r="E3" s="44"/>
      <c r="F3" s="45"/>
      <c r="G3" s="70" t="s">
        <v>98</v>
      </c>
      <c r="H3" s="45"/>
      <c r="I3" s="67">
        <v>1.7945126804002889</v>
      </c>
      <c r="J3" s="67">
        <v>-0.33450881680553707</v>
      </c>
      <c r="K3" s="67">
        <v>1.901692084208209</v>
      </c>
      <c r="L3" s="67">
        <v>1.2337393145903337</v>
      </c>
      <c r="M3" s="67">
        <v>-1.3006149261371724</v>
      </c>
      <c r="N3" s="67">
        <v>1.0316834378786672</v>
      </c>
      <c r="O3" s="45"/>
      <c r="P3" s="45"/>
      <c r="Q3" s="45"/>
      <c r="R3" s="45"/>
      <c r="S3" s="45"/>
      <c r="T3" s="45"/>
      <c r="U3" s="45"/>
    </row>
    <row r="4" spans="1:21" customFormat="1" ht="14.5" x14ac:dyDescent="0.35">
      <c r="A4" s="32" t="str">
        <f>+GCF_2024!A53</f>
        <v xml:space="preserve">Luminor investicijų valdymas UAB </v>
      </c>
      <c r="B4" s="32" t="str">
        <f>+GCF_2024!B53</f>
        <v>LMN-TIPF</v>
      </c>
      <c r="C4" s="32" t="str">
        <f>+GCF_2024!C53</f>
        <v>Luminor turto išsaugojimo fondas</v>
      </c>
      <c r="D4" s="66" t="s">
        <v>161</v>
      </c>
      <c r="E4" s="34">
        <v>10</v>
      </c>
      <c r="F4" s="33">
        <v>8.6755345100000003</v>
      </c>
      <c r="G4" s="35">
        <v>2363</v>
      </c>
      <c r="H4" s="22"/>
      <c r="I4" s="36">
        <v>1.1894484412469986</v>
      </c>
      <c r="J4" s="36">
        <v>-0.95471222531506861</v>
      </c>
      <c r="K4" s="36">
        <v>1.0483332289540126</v>
      </c>
      <c r="L4" s="36">
        <v>0.71026715709365806</v>
      </c>
      <c r="M4" s="36">
        <v>-0.38885865802686936</v>
      </c>
      <c r="N4" s="36">
        <v>1.3740093872165238</v>
      </c>
      <c r="O4" s="23"/>
      <c r="P4" s="36">
        <v>4.6735311577836764</v>
      </c>
      <c r="Q4" s="36">
        <v>4.8465881799853845</v>
      </c>
      <c r="R4" s="23"/>
      <c r="S4" s="36">
        <v>0.19</v>
      </c>
      <c r="T4" s="36">
        <v>0.35000000000000003</v>
      </c>
      <c r="U4" s="36" t="s">
        <v>91</v>
      </c>
    </row>
    <row r="5" spans="1:21" customFormat="1" ht="14.5" x14ac:dyDescent="0.35">
      <c r="A5" s="32" t="str">
        <f>+GCF_2024!A54</f>
        <v>UAB „SB Asset Management“</v>
      </c>
      <c r="B5" s="32" t="str">
        <f>+GCF_2024!B54</f>
        <v>INV-TIPF</v>
      </c>
      <c r="C5" s="32" t="str">
        <f>+GCF_2024!C54</f>
        <v>INVL pensijų turto išsaugojimo fondas</v>
      </c>
      <c r="D5" s="66" t="s">
        <v>161</v>
      </c>
      <c r="E5" s="34">
        <v>17</v>
      </c>
      <c r="F5" s="33">
        <v>10.4704210249</v>
      </c>
      <c r="G5" s="35">
        <v>1991</v>
      </c>
      <c r="H5" s="22"/>
      <c r="I5" s="36">
        <v>2.1108416419653331</v>
      </c>
      <c r="J5" s="36">
        <v>0.25048728444545532</v>
      </c>
      <c r="K5" s="36">
        <v>2.7499497802666806</v>
      </c>
      <c r="L5" s="36">
        <v>1.9983522502538209</v>
      </c>
      <c r="M5" s="36">
        <v>-0.40236420872609147</v>
      </c>
      <c r="N5" s="36">
        <v>2.6197581684388016</v>
      </c>
      <c r="O5" s="23"/>
      <c r="P5" s="36">
        <v>4.3913568230274045</v>
      </c>
      <c r="Q5" s="36">
        <v>4.6389796005277582</v>
      </c>
      <c r="R5" s="23"/>
      <c r="S5" s="36">
        <v>0.2</v>
      </c>
      <c r="T5" s="36">
        <v>0.3</v>
      </c>
      <c r="U5" s="36">
        <v>0.3</v>
      </c>
    </row>
    <row r="6" spans="1:21" customFormat="1" ht="14.5" x14ac:dyDescent="0.35">
      <c r="A6" s="32" t="str">
        <f>+GCF_2024!A55</f>
        <v>UAB „SEB investicijų valdymas“</v>
      </c>
      <c r="B6" s="32" t="str">
        <f>+GCF_2024!B55</f>
        <v>SBN-TIPF</v>
      </c>
      <c r="C6" s="32" t="str">
        <f>+GCF_2024!C55</f>
        <v>SEB turto išsaugojimo pensijų kaupimo fondas</v>
      </c>
      <c r="D6" s="66" t="s">
        <v>161</v>
      </c>
      <c r="E6" s="34">
        <v>15</v>
      </c>
      <c r="F6" s="33">
        <v>40.61919177</v>
      </c>
      <c r="G6" s="35">
        <v>5630</v>
      </c>
      <c r="H6" s="22"/>
      <c r="I6" s="36">
        <v>1.8741258741258759</v>
      </c>
      <c r="J6" s="36">
        <v>-0.24590263184445238</v>
      </c>
      <c r="K6" s="36">
        <v>2.1341684359550861</v>
      </c>
      <c r="L6" s="36">
        <v>1.3654304737009904</v>
      </c>
      <c r="M6" s="36">
        <v>-0.57989567365299699</v>
      </c>
      <c r="N6" s="36">
        <v>1.8225586261438664</v>
      </c>
      <c r="O6" s="23"/>
      <c r="P6" s="36">
        <v>4.9432855707281176</v>
      </c>
      <c r="Q6" s="36">
        <v>5.9970478346794698</v>
      </c>
      <c r="R6" s="23"/>
      <c r="S6" s="36">
        <v>0.2</v>
      </c>
      <c r="T6" s="36">
        <v>0.32</v>
      </c>
      <c r="U6" s="36" t="s">
        <v>91</v>
      </c>
    </row>
    <row r="7" spans="1:21" customFormat="1" ht="14.5" x14ac:dyDescent="0.35">
      <c r="A7" s="32" t="str">
        <f>+GCF_2024!A56</f>
        <v>UAB „Swedbank investicijų valdymas“</v>
      </c>
      <c r="B7" s="32" t="str">
        <f>+GCF_2024!B56</f>
        <v>SWD-TIPF</v>
      </c>
      <c r="C7" s="32" t="str">
        <f>+GCF_2024!C56</f>
        <v>Swedbank turto išsaugojimo pensijų fondas</v>
      </c>
      <c r="D7" s="66" t="s">
        <v>161</v>
      </c>
      <c r="E7" s="34">
        <v>15</v>
      </c>
      <c r="F7" s="33">
        <v>52.474123609999999</v>
      </c>
      <c r="G7" s="35">
        <v>6885</v>
      </c>
      <c r="H7" s="22"/>
      <c r="I7" s="36">
        <v>1.7290799815071756</v>
      </c>
      <c r="J7" s="36">
        <v>2.7282649589377428E-2</v>
      </c>
      <c r="K7" s="36">
        <v>2.3648795556395319</v>
      </c>
      <c r="L7" s="36">
        <v>1.2802046765066244</v>
      </c>
      <c r="M7" s="36">
        <v>-2.6778478766189551</v>
      </c>
      <c r="N7" s="36">
        <v>9.5802040271442124E-2</v>
      </c>
      <c r="O7" s="23"/>
      <c r="P7" s="36">
        <v>5.2969705831025617</v>
      </c>
      <c r="Q7" s="36">
        <v>7.8055058525768439</v>
      </c>
      <c r="R7" s="23"/>
      <c r="S7" s="36">
        <v>0.2</v>
      </c>
      <c r="T7" s="36" t="s">
        <v>91</v>
      </c>
      <c r="U7" s="36">
        <v>0.22639999999999999</v>
      </c>
    </row>
    <row r="8" spans="1:21" customFormat="1" ht="14.5" x14ac:dyDescent="0.35">
      <c r="A8" s="32" t="str">
        <f>+GCF_2024!A57</f>
        <v>Allianz Lietuva gyvybės draudimas UAB</v>
      </c>
      <c r="B8" s="32" t="str">
        <f>+GCF_2024!B57</f>
        <v>AVI-TIPF</v>
      </c>
      <c r="C8" s="69" t="str">
        <f>+GCF_2024!C57</f>
        <v>Allianz S turto išsaugojimo pensijų fondas</v>
      </c>
      <c r="D8" s="66" t="s">
        <v>161</v>
      </c>
      <c r="E8" s="34">
        <v>10</v>
      </c>
      <c r="F8" s="33">
        <v>23.489563969999999</v>
      </c>
      <c r="G8" s="35">
        <v>5891</v>
      </c>
      <c r="H8" s="22"/>
      <c r="I8" s="36">
        <v>1.9175926836463741</v>
      </c>
      <c r="J8" s="36">
        <v>-1.3276460747667862</v>
      </c>
      <c r="K8" s="36">
        <v>0.40202060430125641</v>
      </c>
      <c r="L8" s="36">
        <v>0.75472505125306899</v>
      </c>
      <c r="M8" s="36">
        <v>-0.20740508957978188</v>
      </c>
      <c r="N8" s="36">
        <v>0.92044993714646139</v>
      </c>
      <c r="O8" s="23"/>
      <c r="P8" s="36">
        <v>3.9770742131084633</v>
      </c>
      <c r="Q8" s="36">
        <v>3.4997270887927479</v>
      </c>
      <c r="R8" s="23"/>
      <c r="S8" s="36">
        <v>0.2</v>
      </c>
      <c r="T8" s="36">
        <v>0.33</v>
      </c>
      <c r="U8" s="36" t="s">
        <v>91</v>
      </c>
    </row>
    <row r="9" spans="1:21" customFormat="1" ht="14.5" x14ac:dyDescent="0.35">
      <c r="A9" s="32" t="str">
        <f>+GCF_2024!A58</f>
        <v>Goindex, UAB</v>
      </c>
      <c r="B9" s="32" t="str">
        <f>+GCF_2024!B58</f>
        <v>GOX-TIPF</v>
      </c>
      <c r="C9" s="69" t="str">
        <f>+GCF_2024!C58</f>
        <v>Goindex turto išsaugojimo pensijų fondas</v>
      </c>
      <c r="D9" s="66" t="s">
        <v>162</v>
      </c>
      <c r="E9" s="34">
        <v>0</v>
      </c>
      <c r="F9" s="33">
        <v>0.36708741449999999</v>
      </c>
      <c r="G9" s="35">
        <v>26</v>
      </c>
      <c r="H9" s="22"/>
      <c r="I9" s="36">
        <v>-0.26014066865788221</v>
      </c>
      <c r="J9" s="36" t="s">
        <v>164</v>
      </c>
      <c r="K9" s="36" t="s">
        <v>164</v>
      </c>
      <c r="L9" s="36">
        <v>-0.15436565364207455</v>
      </c>
      <c r="M9" s="36" t="s">
        <v>164</v>
      </c>
      <c r="N9" s="36" t="s">
        <v>164</v>
      </c>
      <c r="O9" s="23"/>
      <c r="P9" s="36" t="s">
        <v>164</v>
      </c>
      <c r="Q9" s="36" t="s">
        <v>164</v>
      </c>
      <c r="R9" s="23"/>
      <c r="S9" s="36">
        <v>0.18</v>
      </c>
      <c r="T9" s="36">
        <v>0.34</v>
      </c>
      <c r="U9" s="36" t="s">
        <v>91</v>
      </c>
    </row>
    <row r="10" spans="1:21" x14ac:dyDescent="0.35">
      <c r="A10" s="17"/>
      <c r="B10" s="17"/>
      <c r="C10" s="17"/>
      <c r="D10" s="17"/>
      <c r="E10" s="17"/>
      <c r="F10" s="17"/>
      <c r="G10" s="17"/>
      <c r="H10" s="17"/>
      <c r="I10" s="17"/>
      <c r="J10" s="17"/>
      <c r="K10" s="17"/>
      <c r="L10" s="17"/>
      <c r="M10" s="17"/>
      <c r="N10" s="17"/>
      <c r="O10" s="17"/>
      <c r="P10" s="17"/>
      <c r="Q10" s="17"/>
      <c r="R10" s="17"/>
    </row>
    <row r="11" spans="1:21"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1" s="55" customFormat="1" ht="13.5" x14ac:dyDescent="0.3">
      <c r="A12" s="49" t="str">
        <f>+GCF_2024!A63</f>
        <v>[1] Apskaitos vieneto vertės pokytis. Juo atsižvelgiama į atskaitymus nuo turto.</v>
      </c>
      <c r="B12" s="53"/>
      <c r="C12" s="53"/>
    </row>
    <row r="13" spans="1:21"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1"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1" s="55" customFormat="1" ht="13.5" x14ac:dyDescent="0.3">
      <c r="A15" s="53" t="str">
        <f>+GCF_2024!A66</f>
        <v>[4] Svertiniam vidurkiui apskaičiuoti naudotas 2024-03-29 dienos fondų grynųjų aktyvų dydis.</v>
      </c>
      <c r="B15" s="54"/>
      <c r="C15" s="54"/>
    </row>
    <row r="16" spans="1:21"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x14ac:dyDescent="0.35">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x14ac:dyDescent="0.35">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x14ac:dyDescent="0.35">
      <c r="A21" s="56" t="str">
        <f>+GCF_2024!A72</f>
        <v>[10] Apskaičiuota taikant geometrinį vidurkį.</v>
      </c>
    </row>
    <row r="22" spans="1:5" x14ac:dyDescent="0.35">
      <c r="A22" s="56" t="str">
        <f>+GCF_2024!A73</f>
        <v>[11] Goindex, UAB valdomi pensijų fondai įsteigti 2022-07-05.</v>
      </c>
    </row>
    <row r="23" spans="1:5" x14ac:dyDescent="0.35">
      <c r="A23" s="56"/>
    </row>
    <row r="24" spans="1:5" x14ac:dyDescent="0.35">
      <c r="A24" s="56"/>
    </row>
    <row r="25" spans="1:5" x14ac:dyDescent="0.35">
      <c r="A25" s="37" t="str">
        <f>+'1996-2002'!A25</f>
        <v>Rizikos ir grąžos palyginimas (per praėjusius 3 metus)</v>
      </c>
      <c r="B25" s="37"/>
      <c r="C25" s="37"/>
      <c r="D25" s="37"/>
      <c r="E25" s="37"/>
    </row>
    <row r="26" spans="1:5" s="55" customFormat="1" ht="13.5" x14ac:dyDescent="0.3">
      <c r="A26" s="53" t="str">
        <f>+'1996-2002'!A26</f>
        <v>Kuo pensijų fondas paveiksle vaizduojamas aukščiau, tuo jo uždirbama grąža yra didesnė. Kuo žemiau – tuo grąža mažesnė.</v>
      </c>
      <c r="B26" s="54"/>
      <c r="C26" s="54"/>
    </row>
    <row r="27" spans="1:5" s="55" customFormat="1" ht="13.5" x14ac:dyDescent="0.3">
      <c r="A27" s="53" t="str">
        <f>+'1996-2002'!A27</f>
        <v>Dešiniau pavaizduoti pensijų fondai prisiima didesnę riziką (jų vieneto vertės svyruoja daugiau). Kairiau – mažesnę (jų vieneto vertės svyruoja mažiau).</v>
      </c>
      <c r="B27" s="54"/>
      <c r="C27" s="54"/>
    </row>
    <row r="28" spans="1:5" x14ac:dyDescent="0.35">
      <c r="A28" s="18"/>
      <c r="B28" s="18"/>
      <c r="C28" s="18"/>
    </row>
    <row r="35" spans="1:3" x14ac:dyDescent="0.35">
      <c r="A35" s="37" t="s">
        <v>0</v>
      </c>
      <c r="B35" s="37" t="s">
        <v>73</v>
      </c>
      <c r="C35" s="37" t="s">
        <v>72</v>
      </c>
    </row>
    <row r="36" spans="1:3" x14ac:dyDescent="0.35">
      <c r="A36" s="32" t="str">
        <f>+B4</f>
        <v>LMN-TIPF</v>
      </c>
      <c r="B36" s="33">
        <f>+P4</f>
        <v>4.6735311577836764</v>
      </c>
      <c r="C36" s="33">
        <f>+J4</f>
        <v>-0.95471222531506861</v>
      </c>
    </row>
    <row r="37" spans="1:3" x14ac:dyDescent="0.35">
      <c r="A37" s="32" t="str">
        <f>+B5</f>
        <v>INV-TIPF</v>
      </c>
      <c r="B37" s="33">
        <f>+P5</f>
        <v>4.3913568230274045</v>
      </c>
      <c r="C37" s="33">
        <f>+J5</f>
        <v>0.25048728444545532</v>
      </c>
    </row>
    <row r="38" spans="1:3" x14ac:dyDescent="0.35">
      <c r="A38" s="32" t="str">
        <f>+B6</f>
        <v>SBN-TIPF</v>
      </c>
      <c r="B38" s="33">
        <f>+P6</f>
        <v>4.9432855707281176</v>
      </c>
      <c r="C38" s="33">
        <f>+J6</f>
        <v>-0.24590263184445238</v>
      </c>
    </row>
    <row r="39" spans="1:3" x14ac:dyDescent="0.35">
      <c r="A39" s="32" t="str">
        <f>+B7</f>
        <v>SWD-TIPF</v>
      </c>
      <c r="B39" s="33">
        <f>+P7</f>
        <v>5.2969705831025617</v>
      </c>
      <c r="C39" s="33">
        <f>+J7</f>
        <v>2.7282649589377428E-2</v>
      </c>
    </row>
    <row r="40" spans="1:3" x14ac:dyDescent="0.35">
      <c r="A40" s="32" t="str">
        <f>+B8</f>
        <v>AVI-TIPF</v>
      </c>
      <c r="B40" s="33">
        <f>+P8</f>
        <v>3.9770742131084633</v>
      </c>
      <c r="C40" s="33">
        <f>+J8</f>
        <v>-1.3276460747667862</v>
      </c>
    </row>
    <row r="57" spans="1:5" x14ac:dyDescent="0.35">
      <c r="A57" s="37" t="str">
        <f>+'1996-2002'!A57</f>
        <v>Dalyvių skaičiaus, grąžos (per praėjusius 3 metus) ir fondo turto palyginimas</v>
      </c>
      <c r="B57" s="37"/>
      <c r="C57" s="37"/>
      <c r="D57" s="37"/>
      <c r="E57" s="37"/>
    </row>
    <row r="58" spans="1:5" s="55" customFormat="1" ht="13.5" x14ac:dyDescent="0.3">
      <c r="A58" s="53" t="str">
        <f>+'1996-2002'!A58</f>
        <v>Kuo pensijų fondas paveiksle pavaizduotas aukščiau, tuo jo uždirbama grąža yra didesnė. Kuo žemiau – tuo grąža mažesnė.</v>
      </c>
      <c r="B58" s="54"/>
      <c r="C58" s="54"/>
    </row>
    <row r="59" spans="1:5" s="55" customFormat="1" ht="13.5" x14ac:dyDescent="0.3">
      <c r="A59" s="53" t="str">
        <f>+'1996-2002'!A59</f>
        <v>Dešiniau pavaizduoti pensijų fondai turi daugiau dalyvių. Kairiau – mažiau.</v>
      </c>
      <c r="B59" s="54"/>
      <c r="C59" s="54"/>
    </row>
    <row r="60" spans="1:5" s="55" customFormat="1" ht="13.5" x14ac:dyDescent="0.3">
      <c r="A60" s="53" t="str">
        <f>+'1996-2002'!A60</f>
        <v>Kuo didesnis fondą vaizduojančio skritulio dydis – tuo fondas turi daugiau turto. Kuo mažesnis – mažiau.</v>
      </c>
      <c r="B60" s="54"/>
      <c r="C60" s="54"/>
    </row>
    <row r="65" spans="1:4" x14ac:dyDescent="0.35">
      <c r="A65" s="37" t="s">
        <v>0</v>
      </c>
      <c r="B65" s="37" t="s">
        <v>77</v>
      </c>
      <c r="C65" s="37" t="s">
        <v>78</v>
      </c>
      <c r="D65" s="37" t="s">
        <v>79</v>
      </c>
    </row>
    <row r="66" spans="1:4" x14ac:dyDescent="0.35">
      <c r="A66" s="32" t="str">
        <f>+B4</f>
        <v>LMN-TIPF</v>
      </c>
      <c r="B66" s="33">
        <f>+G4/1000</f>
        <v>2.363</v>
      </c>
      <c r="C66" s="33">
        <f>+J4</f>
        <v>-0.95471222531506861</v>
      </c>
      <c r="D66" s="33">
        <f>+F4</f>
        <v>8.6755345100000003</v>
      </c>
    </row>
    <row r="67" spans="1:4" x14ac:dyDescent="0.35">
      <c r="A67" s="32" t="str">
        <f>+B5</f>
        <v>INV-TIPF</v>
      </c>
      <c r="B67" s="33">
        <f>+G5/1000</f>
        <v>1.9910000000000001</v>
      </c>
      <c r="C67" s="33">
        <f>+J5</f>
        <v>0.25048728444545532</v>
      </c>
      <c r="D67" s="33">
        <f>+F5</f>
        <v>10.4704210249</v>
      </c>
    </row>
    <row r="68" spans="1:4" x14ac:dyDescent="0.35">
      <c r="A68" s="32" t="str">
        <f>+B6</f>
        <v>SBN-TIPF</v>
      </c>
      <c r="B68" s="33">
        <f>+G6/1000</f>
        <v>5.63</v>
      </c>
      <c r="C68" s="33">
        <f>+J6</f>
        <v>-0.24590263184445238</v>
      </c>
      <c r="D68" s="33">
        <f>+F6</f>
        <v>40.61919177</v>
      </c>
    </row>
    <row r="69" spans="1:4" x14ac:dyDescent="0.35">
      <c r="A69" s="32" t="str">
        <f>+B7</f>
        <v>SWD-TIPF</v>
      </c>
      <c r="B69" s="33">
        <f>+G7/1000</f>
        <v>6.8849999999999998</v>
      </c>
      <c r="C69" s="33">
        <f>+J7</f>
        <v>2.7282649589377428E-2</v>
      </c>
      <c r="D69" s="33">
        <f>+F7</f>
        <v>52.474123609999999</v>
      </c>
    </row>
    <row r="70" spans="1:4" x14ac:dyDescent="0.35">
      <c r="A70" s="32" t="str">
        <f>+B8</f>
        <v>AVI-TIPF</v>
      </c>
      <c r="B70" s="33">
        <f>+G8/1000</f>
        <v>5.891</v>
      </c>
      <c r="C70" s="33">
        <f>+J8</f>
        <v>-1.3276460747667862</v>
      </c>
      <c r="D70" s="33">
        <f>+F8</f>
        <v>23.489563969999999</v>
      </c>
    </row>
  </sheetData>
  <mergeCells count="7">
    <mergeCell ref="S1:U1"/>
    <mergeCell ref="P1:Q1"/>
    <mergeCell ref="A3:C3"/>
    <mergeCell ref="D1:D2"/>
    <mergeCell ref="F1:F2"/>
    <mergeCell ref="G1:G2"/>
    <mergeCell ref="I1:M1"/>
  </mergeCells>
  <conditionalFormatting sqref="I4:I8">
    <cfRule type="cellIs" dxfId="15" priority="21" operator="greaterThanOrEqual">
      <formula>0</formula>
    </cfRule>
    <cfRule type="cellIs" dxfId="14" priority="22" operator="lessThan">
      <formula>0</formula>
    </cfRule>
  </conditionalFormatting>
  <conditionalFormatting sqref="J4:N8">
    <cfRule type="cellIs" dxfId="13" priority="19" operator="greaterThanOrEqual">
      <formula>0</formula>
    </cfRule>
    <cfRule type="cellIs" dxfId="12" priority="20" operator="lessThan">
      <formula>0</formula>
    </cfRule>
  </conditionalFormatting>
  <conditionalFormatting sqref="I3:N3">
    <cfRule type="cellIs" dxfId="11" priority="13" operator="greaterThanOrEqual">
      <formula>0</formula>
    </cfRule>
    <cfRule type="cellIs" dxfId="10" priority="14" operator="lessThan">
      <formula>0</formula>
    </cfRule>
  </conditionalFormatting>
  <conditionalFormatting sqref="P4:Q8">
    <cfRule type="cellIs" dxfId="9" priority="11" operator="greaterThanOrEqual">
      <formula>0</formula>
    </cfRule>
    <cfRule type="cellIs" dxfId="8" priority="12" operator="lessThan">
      <formula>0</formula>
    </cfRule>
  </conditionalFormatting>
  <conditionalFormatting sqref="S4:U9">
    <cfRule type="cellIs" dxfId="7" priority="9" operator="greaterThanOrEqual">
      <formula>0</formula>
    </cfRule>
    <cfRule type="cellIs" dxfId="6" priority="10" operator="lessThan">
      <formula>0</formula>
    </cfRule>
  </conditionalFormatting>
  <conditionalFormatting sqref="I9">
    <cfRule type="cellIs" dxfId="5" priority="7" operator="greaterThanOrEqual">
      <formula>0</formula>
    </cfRule>
    <cfRule type="cellIs" dxfId="4" priority="8" operator="lessThan">
      <formula>0</formula>
    </cfRule>
  </conditionalFormatting>
  <conditionalFormatting sqref="J9:N9">
    <cfRule type="cellIs" dxfId="3" priority="5" operator="greaterThanOrEqual">
      <formula>0</formula>
    </cfRule>
    <cfRule type="cellIs" dxfId="2" priority="6" operator="lessThan">
      <formula>0</formula>
    </cfRule>
  </conditionalFormatting>
  <conditionalFormatting sqref="P9:Q9">
    <cfRule type="cellIs" dxfId="1" priority="3" operator="greaterThanOrEqual">
      <formula>0</formula>
    </cfRule>
    <cfRule type="cellIs" dxfId="0" priority="4" operator="lessThan">
      <formula>0</formula>
    </cfRule>
  </conditionalFormatting>
  <hyperlinks>
    <hyperlink ref="C1" location="GCF_2024!A1" display="Grįžti į pagrindinį puslapį" xr:uid="{00000000-0004-0000-08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tint="-4.9989318521683403E-2"/>
  </sheetPr>
  <dimension ref="A1:O69"/>
  <sheetViews>
    <sheetView showGridLines="0" zoomScale="70" zoomScaleNormal="70" workbookViewId="0">
      <selection sqref="A1:A2"/>
    </sheetView>
  </sheetViews>
  <sheetFormatPr defaultColWidth="8.81640625" defaultRowHeight="13.5" x14ac:dyDescent="0.25"/>
  <cols>
    <col min="1" max="1" width="12.54296875" style="4" customWidth="1"/>
    <col min="2" max="2" width="15.81640625" style="4" customWidth="1"/>
    <col min="3" max="3" width="15.54296875" style="4" customWidth="1"/>
    <col min="4" max="4" width="15.453125" style="4" customWidth="1"/>
    <col min="5" max="5" width="14.1796875" style="4" customWidth="1"/>
    <col min="6" max="7" width="18.453125" style="4" customWidth="1"/>
    <col min="8" max="16384" width="8.81640625" style="2"/>
  </cols>
  <sheetData>
    <row r="1" spans="1:15" ht="13.75" customHeight="1" x14ac:dyDescent="0.25">
      <c r="A1" s="102" t="s">
        <v>74</v>
      </c>
      <c r="B1" s="100" t="s">
        <v>80</v>
      </c>
      <c r="C1" s="106"/>
      <c r="D1" s="106"/>
      <c r="E1" s="106"/>
      <c r="F1" s="106"/>
      <c r="G1" s="106"/>
      <c r="O1" s="19"/>
    </row>
    <row r="2" spans="1:15" ht="59.15" customHeight="1" x14ac:dyDescent="0.25">
      <c r="A2" s="103" t="s">
        <v>74</v>
      </c>
      <c r="B2" s="24" t="s">
        <v>88</v>
      </c>
      <c r="C2" s="24" t="s">
        <v>160</v>
      </c>
      <c r="D2" s="24" t="s">
        <v>89</v>
      </c>
      <c r="E2" s="24" t="s">
        <v>36</v>
      </c>
      <c r="F2" s="24" t="s">
        <v>116</v>
      </c>
      <c r="G2" s="24" t="s">
        <v>131</v>
      </c>
      <c r="H2" s="86" t="s">
        <v>76</v>
      </c>
    </row>
    <row r="3" spans="1:15" x14ac:dyDescent="0.25">
      <c r="A3" s="57">
        <v>20</v>
      </c>
      <c r="B3" s="34">
        <v>98</v>
      </c>
      <c r="C3" s="34">
        <v>97</v>
      </c>
      <c r="D3" s="34">
        <v>97</v>
      </c>
      <c r="E3" s="34">
        <v>90</v>
      </c>
      <c r="F3" s="34">
        <v>90</v>
      </c>
      <c r="G3" s="34">
        <v>100</v>
      </c>
    </row>
    <row r="4" spans="1:15" x14ac:dyDescent="0.25">
      <c r="A4" s="57">
        <v>21</v>
      </c>
      <c r="B4" s="34">
        <v>98</v>
      </c>
      <c r="C4" s="34">
        <v>97</v>
      </c>
      <c r="D4" s="34">
        <v>97</v>
      </c>
      <c r="E4" s="34">
        <v>90</v>
      </c>
      <c r="F4" s="34">
        <v>90</v>
      </c>
      <c r="G4" s="34">
        <v>100</v>
      </c>
    </row>
    <row r="5" spans="1:15" x14ac:dyDescent="0.25">
      <c r="A5" s="57">
        <v>22</v>
      </c>
      <c r="B5" s="34">
        <v>98</v>
      </c>
      <c r="C5" s="34">
        <v>97</v>
      </c>
      <c r="D5" s="34">
        <v>97</v>
      </c>
      <c r="E5" s="34">
        <v>90</v>
      </c>
      <c r="F5" s="34">
        <v>90</v>
      </c>
      <c r="G5" s="34">
        <v>100</v>
      </c>
    </row>
    <row r="6" spans="1:15" x14ac:dyDescent="0.25">
      <c r="A6" s="57">
        <v>23</v>
      </c>
      <c r="B6" s="34">
        <v>98</v>
      </c>
      <c r="C6" s="34">
        <v>97</v>
      </c>
      <c r="D6" s="34">
        <v>97</v>
      </c>
      <c r="E6" s="34">
        <v>90</v>
      </c>
      <c r="F6" s="34">
        <v>90</v>
      </c>
      <c r="G6" s="34">
        <v>100</v>
      </c>
    </row>
    <row r="7" spans="1:15" x14ac:dyDescent="0.25">
      <c r="A7" s="57">
        <v>24</v>
      </c>
      <c r="B7" s="34">
        <v>98</v>
      </c>
      <c r="C7" s="34">
        <v>97</v>
      </c>
      <c r="D7" s="34">
        <v>97</v>
      </c>
      <c r="E7" s="34">
        <v>90</v>
      </c>
      <c r="F7" s="34">
        <v>90</v>
      </c>
      <c r="G7" s="34">
        <v>100</v>
      </c>
    </row>
    <row r="8" spans="1:15" x14ac:dyDescent="0.25">
      <c r="A8" s="57">
        <v>25</v>
      </c>
      <c r="B8" s="34">
        <v>98</v>
      </c>
      <c r="C8" s="34">
        <v>97</v>
      </c>
      <c r="D8" s="34">
        <v>97</v>
      </c>
      <c r="E8" s="34">
        <v>90</v>
      </c>
      <c r="F8" s="34">
        <v>90</v>
      </c>
      <c r="G8" s="34">
        <v>100</v>
      </c>
    </row>
    <row r="9" spans="1:15" x14ac:dyDescent="0.25">
      <c r="A9" s="57">
        <v>26</v>
      </c>
      <c r="B9" s="34">
        <v>98</v>
      </c>
      <c r="C9" s="34">
        <v>97</v>
      </c>
      <c r="D9" s="34">
        <v>97</v>
      </c>
      <c r="E9" s="34">
        <v>90</v>
      </c>
      <c r="F9" s="34">
        <v>90</v>
      </c>
      <c r="G9" s="34">
        <v>100</v>
      </c>
    </row>
    <row r="10" spans="1:15" x14ac:dyDescent="0.25">
      <c r="A10" s="57">
        <v>27</v>
      </c>
      <c r="B10" s="34">
        <v>98</v>
      </c>
      <c r="C10" s="34">
        <v>97</v>
      </c>
      <c r="D10" s="34">
        <v>97</v>
      </c>
      <c r="E10" s="34">
        <v>90</v>
      </c>
      <c r="F10" s="34">
        <v>90</v>
      </c>
      <c r="G10" s="34">
        <v>100</v>
      </c>
    </row>
    <row r="11" spans="1:15" x14ac:dyDescent="0.25">
      <c r="A11" s="57">
        <v>28</v>
      </c>
      <c r="B11" s="34">
        <v>98</v>
      </c>
      <c r="C11" s="34">
        <v>97</v>
      </c>
      <c r="D11" s="34">
        <v>97</v>
      </c>
      <c r="E11" s="34">
        <v>90</v>
      </c>
      <c r="F11" s="34">
        <v>90</v>
      </c>
      <c r="G11" s="34">
        <v>100</v>
      </c>
    </row>
    <row r="12" spans="1:15" x14ac:dyDescent="0.25">
      <c r="A12" s="57">
        <v>29</v>
      </c>
      <c r="B12" s="34">
        <v>98</v>
      </c>
      <c r="C12" s="34">
        <v>97</v>
      </c>
      <c r="D12" s="34">
        <v>97</v>
      </c>
      <c r="E12" s="34">
        <v>90</v>
      </c>
      <c r="F12" s="34">
        <v>90</v>
      </c>
      <c r="G12" s="34">
        <v>100</v>
      </c>
    </row>
    <row r="13" spans="1:15" x14ac:dyDescent="0.25">
      <c r="A13" s="57">
        <v>30</v>
      </c>
      <c r="B13" s="34">
        <v>98</v>
      </c>
      <c r="C13" s="34">
        <v>97</v>
      </c>
      <c r="D13" s="34">
        <v>97</v>
      </c>
      <c r="E13" s="34">
        <v>90</v>
      </c>
      <c r="F13" s="34">
        <v>90</v>
      </c>
      <c r="G13" s="34">
        <v>100</v>
      </c>
    </row>
    <row r="14" spans="1:15" x14ac:dyDescent="0.25">
      <c r="A14" s="57">
        <v>31</v>
      </c>
      <c r="B14" s="34">
        <v>98</v>
      </c>
      <c r="C14" s="34">
        <v>97</v>
      </c>
      <c r="D14" s="34">
        <v>97</v>
      </c>
      <c r="E14" s="34">
        <v>90</v>
      </c>
      <c r="F14" s="34">
        <v>90</v>
      </c>
      <c r="G14" s="34">
        <v>100</v>
      </c>
    </row>
    <row r="15" spans="1:15" x14ac:dyDescent="0.25">
      <c r="A15" s="57">
        <v>32</v>
      </c>
      <c r="B15" s="34">
        <v>98</v>
      </c>
      <c r="C15" s="34">
        <v>97</v>
      </c>
      <c r="D15" s="34">
        <v>97</v>
      </c>
      <c r="E15" s="34">
        <v>90</v>
      </c>
      <c r="F15" s="34">
        <v>90</v>
      </c>
      <c r="G15" s="34">
        <v>100</v>
      </c>
    </row>
    <row r="16" spans="1:15" x14ac:dyDescent="0.25">
      <c r="A16" s="57">
        <v>33</v>
      </c>
      <c r="B16" s="34">
        <v>98</v>
      </c>
      <c r="C16" s="34">
        <v>97</v>
      </c>
      <c r="D16" s="34">
        <v>97</v>
      </c>
      <c r="E16" s="34">
        <v>90</v>
      </c>
      <c r="F16" s="34">
        <v>90</v>
      </c>
      <c r="G16" s="34">
        <v>100</v>
      </c>
    </row>
    <row r="17" spans="1:7" x14ac:dyDescent="0.25">
      <c r="A17" s="57">
        <v>34</v>
      </c>
      <c r="B17" s="34">
        <v>98</v>
      </c>
      <c r="C17" s="34">
        <v>97</v>
      </c>
      <c r="D17" s="34">
        <v>97</v>
      </c>
      <c r="E17" s="34">
        <v>90</v>
      </c>
      <c r="F17" s="34">
        <v>90</v>
      </c>
      <c r="G17" s="34">
        <v>100</v>
      </c>
    </row>
    <row r="18" spans="1:7" x14ac:dyDescent="0.25">
      <c r="A18" s="57">
        <v>35</v>
      </c>
      <c r="B18" s="34">
        <v>98</v>
      </c>
      <c r="C18" s="34">
        <v>97</v>
      </c>
      <c r="D18" s="34">
        <v>97</v>
      </c>
      <c r="E18" s="34">
        <v>90</v>
      </c>
      <c r="F18" s="34">
        <v>90</v>
      </c>
      <c r="G18" s="34">
        <v>100</v>
      </c>
    </row>
    <row r="19" spans="1:7" x14ac:dyDescent="0.25">
      <c r="A19" s="57">
        <v>36</v>
      </c>
      <c r="B19" s="34">
        <v>98</v>
      </c>
      <c r="C19" s="34">
        <v>97</v>
      </c>
      <c r="D19" s="34">
        <v>97</v>
      </c>
      <c r="E19" s="34">
        <v>90</v>
      </c>
      <c r="F19" s="34">
        <v>90</v>
      </c>
      <c r="G19" s="34">
        <v>100</v>
      </c>
    </row>
    <row r="20" spans="1:7" x14ac:dyDescent="0.25">
      <c r="A20" s="57">
        <v>37</v>
      </c>
      <c r="B20" s="34">
        <v>98</v>
      </c>
      <c r="C20" s="34">
        <v>97</v>
      </c>
      <c r="D20" s="34">
        <v>97</v>
      </c>
      <c r="E20" s="34">
        <v>90</v>
      </c>
      <c r="F20" s="34">
        <v>90</v>
      </c>
      <c r="G20" s="34">
        <v>100</v>
      </c>
    </row>
    <row r="21" spans="1:7" x14ac:dyDescent="0.25">
      <c r="A21" s="57">
        <v>38</v>
      </c>
      <c r="B21" s="34">
        <v>98</v>
      </c>
      <c r="C21" s="34">
        <v>97</v>
      </c>
      <c r="D21" s="34">
        <v>97</v>
      </c>
      <c r="E21" s="34">
        <v>90</v>
      </c>
      <c r="F21" s="34">
        <v>90</v>
      </c>
      <c r="G21" s="34">
        <v>100</v>
      </c>
    </row>
    <row r="22" spans="1:7" x14ac:dyDescent="0.25">
      <c r="A22" s="57">
        <v>39</v>
      </c>
      <c r="B22" s="34">
        <v>98</v>
      </c>
      <c r="C22" s="34">
        <v>97</v>
      </c>
      <c r="D22" s="34">
        <v>97</v>
      </c>
      <c r="E22" s="34">
        <v>90</v>
      </c>
      <c r="F22" s="34">
        <v>90</v>
      </c>
      <c r="G22" s="34">
        <v>100</v>
      </c>
    </row>
    <row r="23" spans="1:7" x14ac:dyDescent="0.25">
      <c r="A23" s="57">
        <v>40</v>
      </c>
      <c r="B23" s="34">
        <v>98</v>
      </c>
      <c r="C23" s="34">
        <v>97</v>
      </c>
      <c r="D23" s="34">
        <v>97</v>
      </c>
      <c r="E23" s="34">
        <v>90</v>
      </c>
      <c r="F23" s="34">
        <v>90</v>
      </c>
      <c r="G23" s="34">
        <v>100</v>
      </c>
    </row>
    <row r="24" spans="1:7" x14ac:dyDescent="0.25">
      <c r="A24" s="57">
        <v>41</v>
      </c>
      <c r="B24" s="34">
        <v>98</v>
      </c>
      <c r="C24" s="34">
        <v>97</v>
      </c>
      <c r="D24" s="34">
        <v>97</v>
      </c>
      <c r="E24" s="34">
        <v>90</v>
      </c>
      <c r="F24" s="34">
        <v>90</v>
      </c>
      <c r="G24" s="34">
        <v>100</v>
      </c>
    </row>
    <row r="25" spans="1:7" x14ac:dyDescent="0.25">
      <c r="A25" s="57">
        <v>42</v>
      </c>
      <c r="B25" s="34">
        <v>98</v>
      </c>
      <c r="C25" s="34">
        <v>97</v>
      </c>
      <c r="D25" s="34">
        <v>97</v>
      </c>
      <c r="E25" s="34">
        <v>90</v>
      </c>
      <c r="F25" s="34">
        <v>90</v>
      </c>
      <c r="G25" s="34">
        <v>100</v>
      </c>
    </row>
    <row r="26" spans="1:7" x14ac:dyDescent="0.25">
      <c r="A26" s="57">
        <v>43</v>
      </c>
      <c r="B26" s="34">
        <v>98</v>
      </c>
      <c r="C26" s="34">
        <v>97</v>
      </c>
      <c r="D26" s="34">
        <v>97</v>
      </c>
      <c r="E26" s="34">
        <v>90</v>
      </c>
      <c r="F26" s="34">
        <v>90</v>
      </c>
      <c r="G26" s="34">
        <v>100</v>
      </c>
    </row>
    <row r="27" spans="1:7" x14ac:dyDescent="0.25">
      <c r="A27" s="57">
        <v>44</v>
      </c>
      <c r="B27" s="34">
        <v>98</v>
      </c>
      <c r="C27" s="34">
        <v>97</v>
      </c>
      <c r="D27" s="34">
        <v>97</v>
      </c>
      <c r="E27" s="34">
        <v>90</v>
      </c>
      <c r="F27" s="34">
        <v>90</v>
      </c>
      <c r="G27" s="34">
        <v>100</v>
      </c>
    </row>
    <row r="28" spans="1:7" x14ac:dyDescent="0.25">
      <c r="A28" s="57">
        <v>45</v>
      </c>
      <c r="B28" s="34">
        <v>98</v>
      </c>
      <c r="C28" s="34">
        <v>97</v>
      </c>
      <c r="D28" s="34">
        <v>97</v>
      </c>
      <c r="E28" s="34">
        <v>90</v>
      </c>
      <c r="F28" s="34">
        <v>90</v>
      </c>
      <c r="G28" s="34">
        <v>100</v>
      </c>
    </row>
    <row r="29" spans="1:7" x14ac:dyDescent="0.25">
      <c r="A29" s="57">
        <v>46</v>
      </c>
      <c r="B29" s="34">
        <v>98</v>
      </c>
      <c r="C29" s="34">
        <v>97</v>
      </c>
      <c r="D29" s="34">
        <v>97</v>
      </c>
      <c r="E29" s="34">
        <v>90</v>
      </c>
      <c r="F29" s="34">
        <v>90</v>
      </c>
      <c r="G29" s="34">
        <v>100</v>
      </c>
    </row>
    <row r="30" spans="1:7" x14ac:dyDescent="0.25">
      <c r="A30" s="57">
        <v>47</v>
      </c>
      <c r="B30" s="34">
        <v>98</v>
      </c>
      <c r="C30" s="34">
        <v>97</v>
      </c>
      <c r="D30" s="34">
        <v>97</v>
      </c>
      <c r="E30" s="34">
        <v>90</v>
      </c>
      <c r="F30" s="34">
        <v>90</v>
      </c>
      <c r="G30" s="34">
        <v>100</v>
      </c>
    </row>
    <row r="31" spans="1:7" x14ac:dyDescent="0.25">
      <c r="A31" s="57">
        <v>48</v>
      </c>
      <c r="B31" s="34">
        <v>92.9</v>
      </c>
      <c r="C31" s="34">
        <v>91.88</v>
      </c>
      <c r="D31" s="34">
        <v>95</v>
      </c>
      <c r="E31" s="34">
        <v>90</v>
      </c>
      <c r="F31" s="34">
        <v>90</v>
      </c>
      <c r="G31" s="34">
        <v>100</v>
      </c>
    </row>
    <row r="32" spans="1:7" x14ac:dyDescent="0.25">
      <c r="A32" s="57">
        <v>49</v>
      </c>
      <c r="B32" s="34">
        <v>87.9</v>
      </c>
      <c r="C32" s="34">
        <v>86.77</v>
      </c>
      <c r="D32" s="34">
        <v>90</v>
      </c>
      <c r="E32" s="34">
        <v>90</v>
      </c>
      <c r="F32" s="34">
        <v>90</v>
      </c>
      <c r="G32" s="34">
        <v>100</v>
      </c>
    </row>
    <row r="33" spans="1:7" x14ac:dyDescent="0.25">
      <c r="A33" s="57">
        <v>50</v>
      </c>
      <c r="B33" s="34">
        <v>82.899999999999991</v>
      </c>
      <c r="C33" s="34">
        <v>81.64</v>
      </c>
      <c r="D33" s="34">
        <v>85</v>
      </c>
      <c r="E33" s="34">
        <v>85</v>
      </c>
      <c r="F33" s="34">
        <v>85</v>
      </c>
      <c r="G33" s="34">
        <v>100</v>
      </c>
    </row>
    <row r="34" spans="1:7" x14ac:dyDescent="0.25">
      <c r="A34" s="57">
        <v>51</v>
      </c>
      <c r="B34" s="34">
        <v>78</v>
      </c>
      <c r="C34" s="34">
        <v>76.530000000000015</v>
      </c>
      <c r="D34" s="34">
        <v>80</v>
      </c>
      <c r="E34" s="34">
        <v>80</v>
      </c>
      <c r="F34" s="34">
        <v>80</v>
      </c>
      <c r="G34" s="34">
        <v>100</v>
      </c>
    </row>
    <row r="35" spans="1:7" x14ac:dyDescent="0.25">
      <c r="A35" s="57">
        <v>52</v>
      </c>
      <c r="B35" s="34">
        <v>73.099999999999994</v>
      </c>
      <c r="C35" s="34">
        <v>71.41</v>
      </c>
      <c r="D35" s="34">
        <v>75</v>
      </c>
      <c r="E35" s="34">
        <v>75</v>
      </c>
      <c r="F35" s="34">
        <v>75</v>
      </c>
      <c r="G35" s="34">
        <v>100</v>
      </c>
    </row>
    <row r="36" spans="1:7" x14ac:dyDescent="0.25">
      <c r="A36" s="57">
        <v>53</v>
      </c>
      <c r="B36" s="34">
        <v>68.099999999999994</v>
      </c>
      <c r="C36" s="34">
        <v>66.3</v>
      </c>
      <c r="D36" s="34">
        <v>70</v>
      </c>
      <c r="E36" s="34">
        <v>70</v>
      </c>
      <c r="F36" s="34">
        <v>70</v>
      </c>
      <c r="G36" s="34">
        <v>100</v>
      </c>
    </row>
    <row r="37" spans="1:7" x14ac:dyDescent="0.25">
      <c r="A37" s="57">
        <v>54</v>
      </c>
      <c r="B37" s="34">
        <v>63.3</v>
      </c>
      <c r="C37" s="34">
        <v>61.18</v>
      </c>
      <c r="D37" s="34">
        <v>65</v>
      </c>
      <c r="E37" s="34">
        <v>65</v>
      </c>
      <c r="F37" s="34">
        <v>65</v>
      </c>
      <c r="G37" s="34">
        <v>100</v>
      </c>
    </row>
    <row r="38" spans="1:7" x14ac:dyDescent="0.25">
      <c r="A38" s="57">
        <v>55</v>
      </c>
      <c r="B38" s="34">
        <v>58.5</v>
      </c>
      <c r="C38" s="34">
        <v>56.06</v>
      </c>
      <c r="D38" s="34">
        <v>60</v>
      </c>
      <c r="E38" s="34">
        <v>60</v>
      </c>
      <c r="F38" s="34">
        <v>60</v>
      </c>
      <c r="G38" s="34">
        <v>90</v>
      </c>
    </row>
    <row r="39" spans="1:7" x14ac:dyDescent="0.25">
      <c r="A39" s="57">
        <v>56</v>
      </c>
      <c r="B39" s="34">
        <v>53.800000000000004</v>
      </c>
      <c r="C39" s="34">
        <v>50.94</v>
      </c>
      <c r="D39" s="34">
        <v>55.000000000000007</v>
      </c>
      <c r="E39" s="34">
        <v>55.000000000000007</v>
      </c>
      <c r="F39" s="34">
        <v>55.000000000000007</v>
      </c>
      <c r="G39" s="34">
        <v>80</v>
      </c>
    </row>
    <row r="40" spans="1:7" x14ac:dyDescent="0.25">
      <c r="A40" s="57">
        <v>57</v>
      </c>
      <c r="B40" s="34">
        <v>49.1</v>
      </c>
      <c r="C40" s="34">
        <v>45.82</v>
      </c>
      <c r="D40" s="34">
        <v>50</v>
      </c>
      <c r="E40" s="34">
        <v>50</v>
      </c>
      <c r="F40" s="34">
        <v>50</v>
      </c>
      <c r="G40" s="34">
        <v>70</v>
      </c>
    </row>
    <row r="41" spans="1:7" x14ac:dyDescent="0.25">
      <c r="A41" s="57">
        <v>58</v>
      </c>
      <c r="B41" s="34">
        <v>44.4</v>
      </c>
      <c r="C41" s="34">
        <v>40.71</v>
      </c>
      <c r="D41" s="34">
        <v>45</v>
      </c>
      <c r="E41" s="34">
        <v>45</v>
      </c>
      <c r="F41" s="34">
        <v>45</v>
      </c>
      <c r="G41" s="34">
        <v>60</v>
      </c>
    </row>
    <row r="42" spans="1:7" x14ac:dyDescent="0.25">
      <c r="A42" s="57">
        <v>59</v>
      </c>
      <c r="B42" s="34">
        <v>39.800000000000004</v>
      </c>
      <c r="C42" s="34">
        <v>35.589999999999996</v>
      </c>
      <c r="D42" s="34">
        <v>40</v>
      </c>
      <c r="E42" s="34">
        <v>40</v>
      </c>
      <c r="F42" s="34">
        <v>40</v>
      </c>
      <c r="G42" s="34">
        <v>50</v>
      </c>
    </row>
    <row r="43" spans="1:7" x14ac:dyDescent="0.25">
      <c r="A43" s="57">
        <v>60</v>
      </c>
      <c r="B43" s="34">
        <v>35.299999999999997</v>
      </c>
      <c r="C43" s="34">
        <v>30.470000000000002</v>
      </c>
      <c r="D43" s="34">
        <v>35</v>
      </c>
      <c r="E43" s="34">
        <v>35</v>
      </c>
      <c r="F43" s="34">
        <v>35</v>
      </c>
      <c r="G43" s="34">
        <v>40</v>
      </c>
    </row>
    <row r="44" spans="1:7" x14ac:dyDescent="0.25">
      <c r="A44" s="57">
        <v>61</v>
      </c>
      <c r="B44" s="34">
        <v>30.8</v>
      </c>
      <c r="C44" s="34">
        <v>25.35</v>
      </c>
      <c r="D44" s="34">
        <v>30</v>
      </c>
      <c r="E44" s="34">
        <v>30</v>
      </c>
      <c r="F44" s="34">
        <v>30</v>
      </c>
      <c r="G44" s="34">
        <v>30</v>
      </c>
    </row>
    <row r="45" spans="1:7" x14ac:dyDescent="0.25">
      <c r="A45" s="57">
        <v>62</v>
      </c>
      <c r="B45" s="34">
        <v>26.6</v>
      </c>
      <c r="C45" s="34">
        <v>20.239999999999998</v>
      </c>
      <c r="D45" s="34">
        <v>25</v>
      </c>
      <c r="E45" s="34">
        <v>25</v>
      </c>
      <c r="F45" s="34">
        <v>25</v>
      </c>
      <c r="G45" s="34">
        <v>20</v>
      </c>
    </row>
    <row r="46" spans="1:7" x14ac:dyDescent="0.25">
      <c r="A46" s="57">
        <v>63</v>
      </c>
      <c r="B46" s="34">
        <v>22.400000000000002</v>
      </c>
      <c r="C46" s="34">
        <v>15.120000000000001</v>
      </c>
      <c r="D46" s="34">
        <v>20</v>
      </c>
      <c r="E46" s="34">
        <v>20</v>
      </c>
      <c r="F46" s="34">
        <v>20</v>
      </c>
      <c r="G46" s="34">
        <v>10</v>
      </c>
    </row>
    <row r="47" spans="1:7" x14ac:dyDescent="0.25">
      <c r="A47" s="57">
        <v>64</v>
      </c>
      <c r="B47" s="34">
        <v>18.5</v>
      </c>
      <c r="C47" s="34">
        <v>10</v>
      </c>
      <c r="D47" s="34">
        <v>15</v>
      </c>
      <c r="E47" s="34">
        <v>15</v>
      </c>
      <c r="F47" s="34">
        <v>15</v>
      </c>
      <c r="G47" s="34">
        <v>0</v>
      </c>
    </row>
    <row r="48" spans="1:7" x14ac:dyDescent="0.25">
      <c r="A48" s="57">
        <v>65</v>
      </c>
      <c r="B48" s="34">
        <v>18.5</v>
      </c>
      <c r="C48" s="34">
        <v>10</v>
      </c>
      <c r="D48" s="34">
        <v>15</v>
      </c>
      <c r="E48" s="34">
        <v>10</v>
      </c>
      <c r="F48" s="34">
        <v>15</v>
      </c>
      <c r="G48" s="34">
        <v>0</v>
      </c>
    </row>
    <row r="49" spans="1:7" x14ac:dyDescent="0.25">
      <c r="A49" s="57">
        <v>66</v>
      </c>
      <c r="B49" s="34">
        <v>18.5</v>
      </c>
      <c r="C49" s="34">
        <v>10</v>
      </c>
      <c r="D49" s="34">
        <v>15</v>
      </c>
      <c r="E49" s="34">
        <v>10</v>
      </c>
      <c r="F49" s="34">
        <v>15</v>
      </c>
      <c r="G49" s="34">
        <v>0</v>
      </c>
    </row>
    <row r="50" spans="1:7" x14ac:dyDescent="0.25">
      <c r="A50" s="57">
        <v>67</v>
      </c>
      <c r="B50" s="34">
        <v>18.5</v>
      </c>
      <c r="C50" s="34">
        <v>10</v>
      </c>
      <c r="D50" s="34">
        <v>15</v>
      </c>
      <c r="E50" s="34">
        <v>10</v>
      </c>
      <c r="F50" s="34">
        <v>15</v>
      </c>
      <c r="G50" s="34">
        <v>0</v>
      </c>
    </row>
    <row r="51" spans="1:7" x14ac:dyDescent="0.25">
      <c r="A51" s="57">
        <v>68</v>
      </c>
      <c r="B51" s="34">
        <v>18.5</v>
      </c>
      <c r="C51" s="34">
        <v>10</v>
      </c>
      <c r="D51" s="34">
        <v>15</v>
      </c>
      <c r="E51" s="34">
        <v>10</v>
      </c>
      <c r="F51" s="34">
        <v>15</v>
      </c>
      <c r="G51" s="34">
        <v>0</v>
      </c>
    </row>
    <row r="52" spans="1:7" ht="14" x14ac:dyDescent="0.3">
      <c r="A52" s="49" t="s">
        <v>81</v>
      </c>
      <c r="B52" s="49"/>
      <c r="C52" s="49"/>
      <c r="D52" s="49"/>
      <c r="E52" s="49"/>
      <c r="F52" s="49"/>
      <c r="G52" s="49"/>
    </row>
    <row r="53" spans="1:7" x14ac:dyDescent="0.25">
      <c r="D53" s="3"/>
    </row>
    <row r="54" spans="1:7" x14ac:dyDescent="0.25">
      <c r="D54" s="3"/>
    </row>
    <row r="55" spans="1:7" x14ac:dyDescent="0.25">
      <c r="D55" s="3"/>
    </row>
    <row r="56" spans="1:7" x14ac:dyDescent="0.25">
      <c r="D56" s="3"/>
    </row>
    <row r="57" spans="1:7" x14ac:dyDescent="0.25">
      <c r="D57" s="3"/>
    </row>
    <row r="58" spans="1:7" x14ac:dyDescent="0.25">
      <c r="D58" s="3"/>
    </row>
    <row r="59" spans="1:7" x14ac:dyDescent="0.25">
      <c r="D59" s="3"/>
    </row>
    <row r="65" spans="3:3" x14ac:dyDescent="0.25">
      <c r="C65" s="3"/>
    </row>
    <row r="66" spans="3:3" x14ac:dyDescent="0.25">
      <c r="C66" s="3"/>
    </row>
    <row r="67" spans="3:3" x14ac:dyDescent="0.25">
      <c r="C67" s="3"/>
    </row>
    <row r="68" spans="3:3" x14ac:dyDescent="0.25">
      <c r="C68" s="3"/>
    </row>
    <row r="69" spans="3:3" x14ac:dyDescent="0.25">
      <c r="C69" s="3"/>
    </row>
  </sheetData>
  <mergeCells count="2">
    <mergeCell ref="A1:A2"/>
    <mergeCell ref="B1:G1"/>
  </mergeCells>
  <hyperlinks>
    <hyperlink ref="H2" location="GCF_2024!A1" display="Grįžti į pagrindinį puslapį" xr:uid="{00000000-0004-0000-09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GCF_2024</vt:lpstr>
      <vt:lpstr>1996-2002</vt:lpstr>
      <vt:lpstr>1989-1995</vt:lpstr>
      <vt:lpstr>1982-1988</vt:lpstr>
      <vt:lpstr>1975-1981</vt:lpstr>
      <vt:lpstr>1968-1974</vt:lpstr>
      <vt:lpstr>1961-1967</vt:lpstr>
      <vt:lpstr>1954-1960</vt:lpstr>
      <vt:lpstr>TIF</vt:lpstr>
      <vt:lpstr>Strategijų_palyginimas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2025-01-13T14:46:23Z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b353df4-ce5a-45e5-acaf-15ad54a53efc_Enabled">
    <vt:lpwstr>true</vt:lpwstr>
  </property>
  <property fmtid="{D5CDD505-2E9C-101B-9397-08002B2CF9AE}" pid="3" name="MSIP_Label_cb353df4-ce5a-45e5-acaf-15ad54a53efc_SetDate">
    <vt:lpwstr>2024-01-12T12:30:38Z</vt:lpwstr>
  </property>
  <property fmtid="{D5CDD505-2E9C-101B-9397-08002B2CF9AE}" pid="4" name="MSIP_Label_cb353df4-ce5a-45e5-acaf-15ad54a53efc_Method">
    <vt:lpwstr>Privileged</vt:lpwstr>
  </property>
  <property fmtid="{D5CDD505-2E9C-101B-9397-08002B2CF9AE}" pid="5" name="MSIP_Label_cb353df4-ce5a-45e5-acaf-15ad54a53efc_Name">
    <vt:lpwstr>LB RIBOTO NAUDOJIMO Dešinėje (Right)</vt:lpwstr>
  </property>
  <property fmtid="{D5CDD505-2E9C-101B-9397-08002B2CF9AE}" pid="6" name="MSIP_Label_cb353df4-ce5a-45e5-acaf-15ad54a53efc_SiteId">
    <vt:lpwstr>5a40b399-6903-4594-ad73-dc4ed7ed91c0</vt:lpwstr>
  </property>
  <property fmtid="{D5CDD505-2E9C-101B-9397-08002B2CF9AE}" pid="7" name="MSIP_Label_cb353df4-ce5a-45e5-acaf-15ad54a53efc_ActionId">
    <vt:lpwstr>96910c1f-f703-49f7-b290-64371842dd7f</vt:lpwstr>
  </property>
  <property fmtid="{D5CDD505-2E9C-101B-9397-08002B2CF9AE}" pid="8" name="MSIP_Label_cb353df4-ce5a-45e5-acaf-15ad54a53efc_ContentBits">
    <vt:lpwstr>3</vt:lpwstr>
  </property>
</Properties>
</file>