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filterPrivacy="1" defaultThemeVersion="124226"/>
  <xr:revisionPtr revIDLastSave="0" documentId="13_ncr:1_{96D75A75-4366-4DB6-9916-66D327092CC1}" xr6:coauthVersionLast="47" xr6:coauthVersionMax="47" xr10:uidLastSave="{00000000-0000-0000-0000-000000000000}"/>
  <bookViews>
    <workbookView xWindow="28680" yWindow="645" windowWidth="29040" windowHeight="15720" tabRatio="814" xr2:uid="{00000000-000D-0000-FFFF-FFFF00000000}"/>
  </bookViews>
  <sheets>
    <sheet name="GCF_2024" sheetId="12" r:id="rId1"/>
    <sheet name="2003-2009" sheetId="24" r:id="rId2"/>
    <sheet name="1996-2002" sheetId="14" r:id="rId3"/>
    <sheet name="1989-1995" sheetId="16" r:id="rId4"/>
    <sheet name="1982-1988" sheetId="17" r:id="rId5"/>
    <sheet name="1975-1981" sheetId="18" r:id="rId6"/>
    <sheet name="1968-1974" sheetId="19" r:id="rId7"/>
    <sheet name="1961-1967" sheetId="20" r:id="rId8"/>
    <sheet name="1954-1960" sheetId="21" r:id="rId9"/>
    <sheet name="TIF" sheetId="22" r:id="rId10"/>
    <sheet name="Strategijų_palyginimas" sheetId="3" r:id="rId11"/>
  </sheets>
  <definedNames>
    <definedName name="_xlnm._FilterDatabase" localSheetId="0" hidden="1">GCF_2024!$A$1:$Y$65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<sst xmlns="http://schemas.openxmlformats.org/spreadsheetml/2006/main" count="1432" uniqueCount="189">
  <si>
    <t>Fondas</t>
  </si>
  <si>
    <t>SBN-96/02</t>
  </si>
  <si>
    <t>INV-96/02</t>
  </si>
  <si>
    <t>SWD-96/02</t>
  </si>
  <si>
    <t>LMN-96/02</t>
  </si>
  <si>
    <t>AVI-96/02</t>
  </si>
  <si>
    <t>SBN-89/95</t>
  </si>
  <si>
    <t>INV-89/95</t>
  </si>
  <si>
    <t>SWD-89/95</t>
  </si>
  <si>
    <t>LMN-89/95</t>
  </si>
  <si>
    <t>AVI-89/95</t>
  </si>
  <si>
    <t>SBN-82/88</t>
  </si>
  <si>
    <t>INV-82/88</t>
  </si>
  <si>
    <t>SWD-82/88</t>
  </si>
  <si>
    <t>LMN-82/88</t>
  </si>
  <si>
    <t>AVI-82/88</t>
  </si>
  <si>
    <t>SBN-75/81</t>
  </si>
  <si>
    <t>INV-75/81</t>
  </si>
  <si>
    <t>SWD-75/81</t>
  </si>
  <si>
    <t>LMN-75/81</t>
  </si>
  <si>
    <t>AVI-75/81</t>
  </si>
  <si>
    <t>SBN-68/74</t>
  </si>
  <si>
    <t>INV-68/74</t>
  </si>
  <si>
    <t>SWD-68/74</t>
  </si>
  <si>
    <t>LMN-68/74</t>
  </si>
  <si>
    <t>AVI-68/74</t>
  </si>
  <si>
    <t>SWD-61/67</t>
  </si>
  <si>
    <t>LMN-61/67</t>
  </si>
  <si>
    <t>SBN-61/67</t>
  </si>
  <si>
    <t>INV-61/67</t>
  </si>
  <si>
    <t>AVI-61/67</t>
  </si>
  <si>
    <t>SWD-54/60</t>
  </si>
  <si>
    <t>LMN-54/60</t>
  </si>
  <si>
    <t>SBN-54/60</t>
  </si>
  <si>
    <t>AVI-54/60</t>
  </si>
  <si>
    <t>INV-54/60</t>
  </si>
  <si>
    <t xml:space="preserve">Luminor investicijų valdymas UAB </t>
  </si>
  <si>
    <t>SBN-TIPF</t>
  </si>
  <si>
    <t>INV-TIPF</t>
  </si>
  <si>
    <t>SWD-TIPF</t>
  </si>
  <si>
    <t>LMN-TIPF</t>
  </si>
  <si>
    <t>AVI-TIPF</t>
  </si>
  <si>
    <t xml:space="preserve">Pensijų kaupimo bendrovės pavadinimas
</t>
  </si>
  <si>
    <t xml:space="preserve">Fondo kodas
</t>
  </si>
  <si>
    <t xml:space="preserve">Pensijų fondo pavadinimas
</t>
  </si>
  <si>
    <t>Tikslinės pensijų fondų dalyvių grupės pensijų fondai, 1996-2002</t>
  </si>
  <si>
    <t>Luminor 1996–2002 tikslinės grupės pensijų fondas</t>
  </si>
  <si>
    <t>SEB 1996–2002 metų tikslinės grupės pensijų kaupimo fondas</t>
  </si>
  <si>
    <t>Tikslinės pensijų fondų dalyvių grupės pensijų fondai, 1989-1995</t>
  </si>
  <si>
    <t>Luminor 1989–1995 tikslinės grupės pensijų fondas</t>
  </si>
  <si>
    <t>SEB 1989–1995 metų tikslinės grupės pensijų kaupimo fondas</t>
  </si>
  <si>
    <t>Tikslinės pensijų fondų dalyvių grupės pensijų fondai, 1982-1988</t>
  </si>
  <si>
    <t>Luminor 1982–1988 tikslinės grupės pensijų fondas</t>
  </si>
  <si>
    <t>SEB 1982–1988 metų tikslinės grupės pensijų kaupimo fondas</t>
  </si>
  <si>
    <t>Tikslinės pensijų fondų dalyvių grupės pensijų fondai, 1975-1981</t>
  </si>
  <si>
    <t>Luminor 1975–1981 tikslinės grupės pensijų fondas</t>
  </si>
  <si>
    <t>SEB 1975–1981 metų tikslinės grupės pensijų kaupimo fondas</t>
  </si>
  <si>
    <t>Tikslinės pensijų fondų dalyvių grupės pensijų fondai, 1968-1974</t>
  </si>
  <si>
    <t>Luminor 1968–1974 tikslinės grupės pensijų fondas</t>
  </si>
  <si>
    <t>SEB 1968–1974 metų tikslinės grupės pensijų kaupimo fondas</t>
  </si>
  <si>
    <t>Tikslinės pensijų fondų dalyvių grupės pensijų fondai, 1961-1967</t>
  </si>
  <si>
    <t>Luminor 1961–1967 tikslinės grupės pensijų fondas</t>
  </si>
  <si>
    <t>SEB 1961–1967 metų tikslinės grupės pensijų kaupimo fondas</t>
  </si>
  <si>
    <t>Tikslinės pensijų fondų dalyvių grupės pensijų fondai, 1954-1960</t>
  </si>
  <si>
    <t>Luminor 1954–1960 tikslinės grupės pensijų fondas</t>
  </si>
  <si>
    <t>SEB 1954–1960 metų tikslinės grupės pensijų kaupimo fondas</t>
  </si>
  <si>
    <t>Swedbank pensija 1954–1960</t>
  </si>
  <si>
    <t>Pensijų turto išsaugojimo pensijų fondai</t>
  </si>
  <si>
    <t>INVL pensijų turto išsaugojimo fondas</t>
  </si>
  <si>
    <t>SEB turto išsaugojimo pensijų kaupimo fondas</t>
  </si>
  <si>
    <t>Swedbank turto išsaugojimo pensijų fondas</t>
  </si>
  <si>
    <t>Dalyvių skaičius</t>
  </si>
  <si>
    <t>Grąža</t>
  </si>
  <si>
    <t>Rizika</t>
  </si>
  <si>
    <t>Dalyvio amžius</t>
  </si>
  <si>
    <t xml:space="preserve">Strategija </t>
  </si>
  <si>
    <t>Grįžti į pagrindinį puslapį</t>
  </si>
  <si>
    <t>Dalyvių sk. (tūkst.)</t>
  </si>
  <si>
    <t>Grąža (proc.)</t>
  </si>
  <si>
    <t>Fondo turtas (mln. Eur)</t>
  </si>
  <si>
    <t>Rizikingų turto klasių dalis *</t>
  </si>
  <si>
    <t>* Rizikingų turto klasių dalis gali būti padidinta arba sumažinta iki 10 procentinių punktų.</t>
  </si>
  <si>
    <r>
      <rPr>
        <b/>
        <u/>
        <sz val="10"/>
        <rFont val="Verdana"/>
        <family val="2"/>
        <charset val="186"/>
      </rPr>
      <t>Pastaba:</t>
    </r>
    <r>
      <rPr>
        <b/>
        <sz val="10"/>
        <rFont val="Verdana"/>
        <family val="2"/>
        <charset val="186"/>
      </rPr>
      <t xml:space="preserve"> </t>
    </r>
    <r>
      <rPr>
        <sz val="10"/>
        <rFont val="Verdana"/>
        <family val="2"/>
        <charset val="186"/>
      </rPr>
      <t>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r>
  </si>
  <si>
    <t>Kuo pensijų fondas paveiksle vaizduojamas aukščiau, tuo jo uždirbama grąža yra didesnė. Kuo žemiau – tuo grąža mažesnė.</t>
  </si>
  <si>
    <t>Dešiniau pavaizduoti pensijų fondai prisiima didesnę riziką (jų vieneto vertės svyruoja daugiau). Kairiau – mažesnę (jų vieneto vertės svyruoja mažiau).</t>
  </si>
  <si>
    <t>Kuo pensijų fondas paveiksle pavaizduotas aukščiau, tuo jo uždirbama grąža yra didesnė. Kuo žemiau – tuo grąža mažesnė.</t>
  </si>
  <si>
    <t>Dešiniau pavaizduoti pensijų fondai turi daugiau dalyvių. Kairiau – mažiau.</t>
  </si>
  <si>
    <t>Kuo didesnis fondą vaizduojančio skritulio dydis – tuo fondas turi daugiau turto. Kuo mažesnis – mažiau.</t>
  </si>
  <si>
    <t>UAB „SEB investicijų valdymas“</t>
  </si>
  <si>
    <t>UAB „Swedbank investicijų valdymas“</t>
  </si>
  <si>
    <t>Veiklos 
laikotarpis, metais</t>
  </si>
  <si>
    <t>-</t>
  </si>
  <si>
    <t>vieneto vertės pokytis nuo metų pradžios, proc. [1]</t>
  </si>
  <si>
    <t>[1] Apskaitos vieneto vertės pokytis. Juo atsižvelgiama į atskaitymus nuo turto.</t>
  </si>
  <si>
    <t>lyginamojo indekso vertės pokytis nuo metų pradžios, proc. [2]</t>
  </si>
  <si>
    <t xml:space="preserve">[2] Lyginamasis indeksas apibrėžiamas kaip pensijų kaupimo bendrovės pasirinktas orientacinis investicijų portfelis, atitinkantis fondo investavimo strategiją, su kurio vertės pokyčio reikšme lyginama fondo investicijų portfelio investicijų grąža. </t>
  </si>
  <si>
    <t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t>
  </si>
  <si>
    <t xml:space="preserve">Rizika [3] </t>
  </si>
  <si>
    <t>Svertinis vidurkis [4]:</t>
  </si>
  <si>
    <t>rizikingų aktyvų dalis fonde, proc. [5]</t>
  </si>
  <si>
    <t>Grynųjų aktyvų vertė, mln. Eur [6]</t>
  </si>
  <si>
    <t>[6] Grynieji aktyvai – pensijų fondą sudarančio turto ir įsipareigojimų verčių skirtumas.</t>
  </si>
  <si>
    <t xml:space="preserve">Swedbank pensija 1996–2002 [7] </t>
  </si>
  <si>
    <t xml:space="preserve">Swedbank pensija 1989–1995 [7] </t>
  </si>
  <si>
    <t xml:space="preserve">Swedbank pensija 1982–1988 [7] </t>
  </si>
  <si>
    <t xml:space="preserve">Swedbank pensija 1975–1981 [7] </t>
  </si>
  <si>
    <t xml:space="preserve">Swedbank pensija 1968–1974 [7] </t>
  </si>
  <si>
    <t xml:space="preserve">Swedbank pensija 1961–1967 [7] </t>
  </si>
  <si>
    <r>
      <t xml:space="preserve">[7] Šie </t>
    </r>
    <r>
      <rPr>
        <sz val="10"/>
        <rFont val="Verdana"/>
        <family val="2"/>
      </rPr>
      <t>UAB „Swedbank investicijų valdymas“</t>
    </r>
    <r>
      <rPr>
        <sz val="10"/>
        <rFont val="Verdana"/>
        <family val="2"/>
        <charset val="186"/>
      </rPr>
      <t xml:space="preserve"> valdomi pensijų fondai pradėjo veiklą 2018-03-01, tačiau dėl 2019 m. sausio mėnesį įsigaliojusios pensijų pertvark</t>
    </r>
    <r>
      <rPr>
        <sz val="10"/>
        <rFont val="Verdana"/>
        <family val="2"/>
      </rPr>
      <t>os paga</t>
    </r>
    <r>
      <rPr>
        <sz val="10"/>
        <rFont val="Verdana"/>
        <family val="2"/>
        <charset val="186"/>
      </rPr>
      <t>l galiojančius teisės aktus buvo įsteigti iš naujo, todėl jų rezultatai skaičiuojami nuo 2019 m. sausio 1 d. (kaip ir visų II pakopos pensijų fondų).</t>
    </r>
  </si>
  <si>
    <t>Visų pensijų fondų svertinis vidurkis [4]:</t>
  </si>
  <si>
    <t>Luminor turto išsaugojimo fondas</t>
  </si>
  <si>
    <t xml:space="preserve">vieneto vertės standartinis nuokrypis, per praėjusius 3 metus, proc. </t>
  </si>
  <si>
    <t xml:space="preserve">lyginamojo indekso standartinis nuokrypis, per praėjusius 3 metus, proc. </t>
  </si>
  <si>
    <t>Rizikos ir grąžos palyginimas (per praėjusius 3 metus)</t>
  </si>
  <si>
    <t>Dalyvių skaičiaus, grąžos (per praėjusius 3 metus) ir fondo turto palyginimas</t>
  </si>
  <si>
    <t>[5] Investicijų į akcijas dalis, numatyta pensijų fondo strategijoje. Rizikingų turto klasių dalis gali būti padidinta arba sumažinta iki 10 procentinių punktų.</t>
  </si>
  <si>
    <t>Allianz Lietuva gyvybės draudimas UAB</t>
  </si>
  <si>
    <t>Allianz Y3 1996–2002 tikslinės grupės pensijų fondas</t>
  </si>
  <si>
    <t>Allianz Y2 1989–1995 tikslinės grupės pensijų fondas</t>
  </si>
  <si>
    <t>Allianz Y1 1982–1988 tikslinės grupės pensijų fondas</t>
  </si>
  <si>
    <t>Allianz X3 1975–1981 tikslinės grupės pensijų fondas</t>
  </si>
  <si>
    <t>Allianz X2 1968–1974 tikslinės grupės pensijų fondas</t>
  </si>
  <si>
    <t>Allianz X1 1961–1967 tikslinės grupės pensijų fondas</t>
  </si>
  <si>
    <t>Allianz B 1954–1960 tikslinės grupės pensijų fondas</t>
  </si>
  <si>
    <t>INVL pensija 1996–2002 Index Plus</t>
  </si>
  <si>
    <t>INVL pensija 1989–1995 Index Plus</t>
  </si>
  <si>
    <t>INVL pensija 1982–1988 Index Plus</t>
  </si>
  <si>
    <t>INVL pensija 1975–1981 Index Plus</t>
  </si>
  <si>
    <t>INVL pensija 1968–1974 Index Plus</t>
  </si>
  <si>
    <t>INVL pensija 1961–1967 Index Plus</t>
  </si>
  <si>
    <t>INVL pensija 1954–1960 Index Plus</t>
  </si>
  <si>
    <t>Goindex, UAB</t>
  </si>
  <si>
    <t>GOX-96/02</t>
  </si>
  <si>
    <t>GOX-89/95</t>
  </si>
  <si>
    <t>GOX-82/88</t>
  </si>
  <si>
    <t>GOX-75/81</t>
  </si>
  <si>
    <t>GOX-68/74</t>
  </si>
  <si>
    <t>GOX-61/67</t>
  </si>
  <si>
    <t>GOX-54/60</t>
  </si>
  <si>
    <t>GOX-TIPF</t>
  </si>
  <si>
    <t>Goindex pensija 1954–1960 tikslinės grupės pensijų fondas</t>
  </si>
  <si>
    <t>Goindex pensija 1961–1967 tikslinės grupės pensijų fondas</t>
  </si>
  <si>
    <t>Goindex pensija 1968–1974 tikslinės grupės pensijų fondas</t>
  </si>
  <si>
    <t>Goindex pensija 1975–1981 tikslinės grupės pensijų fondas</t>
  </si>
  <si>
    <t>Goindex pensija 1982–1988 tikslinės grupės pensijų fondas</t>
  </si>
  <si>
    <t>Goindex pensija 1989–1995 tikslinės grupės pensijų fondas</t>
  </si>
  <si>
    <t>Goindex pensija 1996–2002 tikslinės grupės pensijų fondas</t>
  </si>
  <si>
    <t>Goindex turto išsaugojimo pensijų fondas</t>
  </si>
  <si>
    <t>Allianz S turto išsaugojimo pensijų fondas</t>
  </si>
  <si>
    <t>BAR, proc. [8]</t>
  </si>
  <si>
    <t>Sąlyginis BIK, proc. [9]</t>
  </si>
  <si>
    <t>Tikėtinas  sąlyginis BIK, proc. [9]</t>
  </si>
  <si>
    <t>[8]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t>
  </si>
  <si>
    <t>[9]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t>
  </si>
  <si>
    <t>Goindex, UAB [11]</t>
  </si>
  <si>
    <t>[11] Goindex, UAB valdomi pensijų fondai įsteigti 2022-07-05</t>
  </si>
  <si>
    <t>[10] Apskaičiuota taikant geometrinį vidurkį.</t>
  </si>
  <si>
    <t>vidutinis metinis vieneto vertės pokytis [10] per praėjusius 3 metus, proc.</t>
  </si>
  <si>
    <t>vidutinis lyginamojo indekso vertės pokytis [10] per praėjusius 3 metus, proc.</t>
  </si>
  <si>
    <t>UAB "SB Asset Management"</t>
  </si>
  <si>
    <t>UAB „SB Asset Management“</t>
  </si>
  <si>
    <t>Veikia trumpiau</t>
  </si>
  <si>
    <t>SBN-03/09</t>
  </si>
  <si>
    <t>SWD-03/09</t>
  </si>
  <si>
    <t>GOX-03/09</t>
  </si>
  <si>
    <t>AVI-03/09</t>
  </si>
  <si>
    <t>LMN-03/09</t>
  </si>
  <si>
    <t>INV-03/09</t>
  </si>
  <si>
    <t>3 mėn.</t>
  </si>
  <si>
    <t>Luminor 2003-2009 tikslinės grupės pensijų fondas</t>
  </si>
  <si>
    <t>SEB 2003-2009 metų tikslinės grupės pensijų kaupimo fondas</t>
  </si>
  <si>
    <t>Goindex pensija 2003-2009 tikslinės grupės pensijų fondas</t>
  </si>
  <si>
    <t>Swedbank pensija 2003-2009</t>
  </si>
  <si>
    <t>Allianz D1 2003-2009 tikslinės grupės pensijų fondas</t>
  </si>
  <si>
    <t>SB pensija 2003-2009 Index Plus</t>
  </si>
  <si>
    <t>6 m. 3 mėn.</t>
  </si>
  <si>
    <t>2 m. 8 mėn.</t>
  </si>
  <si>
    <t>vidutinis metinis vieneto vertės pokytis [10] per praėjusius 5 metus, proc.</t>
  </si>
  <si>
    <t>vidutinis lyginamojo indekso vertės pokytis [10] per praėjusius 5 metus, proc.</t>
  </si>
  <si>
    <t>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</si>
  <si>
    <t>[4] Svertiniam vidurkiui apskaičiuoti naudotas 2025-03-31 dienos fondų grynųjų aktyvų dydis.</t>
  </si>
  <si>
    <t>[7]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t>
  </si>
  <si>
    <t>Tikslinės pensijų fondų dalyvių grupės pensijų fondai, 2003-2009</t>
  </si>
  <si>
    <t>vieneto vertės pokytis [1] per praėjusius 1 metus, proc.</t>
  </si>
  <si>
    <t>lyginamojo indekso vertės pokytis [2] per praėjusius 1 metus, proc.</t>
  </si>
  <si>
    <t>vidutinis metinis vieneto vertės pokytis [1] nuo GCF [12] pradžios</t>
  </si>
  <si>
    <t>vidutinis metinis lyginamojo indekso vertės pokytis [2] nuo GCF [12] pradžios</t>
  </si>
  <si>
    <t>[12] Apskaičiuota nuo faktinės GCF (t. y., gyvenimo ciklo fondų) pradžios. Išskyrus Goindex, UAB pensijų fondus, kurių grąža apskaičiuota nuo fondų veiklos pradžios (2022 m. liepos mėn.) ir 2003-2009 m. tikslinės pensijų fondų dalyvių grupės pensijų fondus, kurių grąža apskaičiuota nuo fondų veiklos pradžios (2025 m.).</t>
  </si>
  <si>
    <t>Išlaidų rodikliai (2024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</si>
</sst>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 _€_-;\-* #,##0.00\ _€_-;_-* &quot;-&quot;??\ _€_-;_-@_-"/>
    <numFmt numFmtId="165" formatCode="_-* #,##0\ _€_-;\-* #,##0\ _€_-;_-* &quot;-&quot;??\ _€_-;_-@_-"/>
    <numFmt numFmtId="166" formatCode="0.00_ ;[Red]\-0.00\ "/>
    <numFmt numFmtId="167" formatCode="0.000"/>
    <numFmt numFmtId="168" formatCode="0.0%"/>
    <numFmt numFmtId="169" formatCode="_-* #,##0.000\ _€_-;\-* #,##0.000\ _€_-;_-* &quot;-&quot;??\ _€_-;_-@_-"/>
  </numFmts>
  <fonts count="34" x14ac:knownFonts="1">
    <font>
      <sz val="11"/>
      <color theme="1"/>
      <name val="Calibri"/>
      <family val="2"/>
      <scheme val="minor"/>
    </font>
    <font>
      <sz val="11"/>
      <color theme="1"/>
      <name val="Calibri"/>
      <family val="2"/>
      <charset val="186"/>
      <scheme val="minor"/>
    </font>
    <font>
      <sz val="11"/>
      <color theme="1"/>
      <name val="Calibri"/>
      <family val="2"/>
      <scheme val="minor"/>
    </font>
    <font>
      <b/>
      <sz val="11"/>
      <color theme="1"/>
      <name val="Calibri"/>
      <family val="2"/>
      <charset val="186"/>
      <scheme val="minor"/>
    </font>
    <font>
      <sz val="11"/>
      <color theme="1"/>
      <name val="Verdana"/>
      <family val="2"/>
      <charset val="186"/>
    </font>
    <font>
      <b/>
      <sz val="11"/>
      <color theme="1"/>
      <name val="Verdana"/>
      <family val="2"/>
      <charset val="186"/>
    </font>
    <font>
      <b/>
      <sz val="10"/>
      <color theme="1"/>
      <name val="Verdana"/>
      <family val="2"/>
      <charset val="186"/>
    </font>
    <font>
      <u/>
      <sz val="11"/>
      <color theme="10"/>
      <name val="Calibri"/>
      <family val="2"/>
      <scheme val="minor"/>
    </font>
    <font>
      <sz val="9"/>
      <color theme="1"/>
      <name val="Verdana"/>
      <family val="2"/>
      <charset val="186"/>
    </font>
    <font>
      <b/>
      <sz val="9"/>
      <color rgb="FFC00000"/>
      <name val="Verdana"/>
      <family val="2"/>
      <charset val="186"/>
    </font>
    <font>
      <sz val="9"/>
      <name val="Verdana"/>
      <family val="2"/>
      <charset val="186"/>
    </font>
    <font>
      <sz val="9"/>
      <color theme="0" tint="-0.499984740745262"/>
      <name val="Verdana"/>
      <family val="2"/>
      <charset val="186"/>
    </font>
    <font>
      <sz val="10"/>
      <name val="Arial"/>
      <family val="2"/>
      <charset val="186"/>
    </font>
    <font>
      <b/>
      <sz val="9"/>
      <name val="Verdana"/>
      <family val="2"/>
      <charset val="186"/>
    </font>
    <font>
      <sz val="12"/>
      <color theme="1"/>
      <name val="Calibri"/>
      <family val="2"/>
      <scheme val="minor"/>
    </font>
    <font>
      <b/>
      <i/>
      <u/>
      <sz val="10"/>
      <color rgb="FFFF0000"/>
      <name val="Verdana"/>
      <family val="2"/>
      <charset val="186"/>
    </font>
    <font>
      <b/>
      <sz val="10"/>
      <name val="Verdana"/>
      <family val="2"/>
      <charset val="186"/>
    </font>
    <font>
      <b/>
      <sz val="11"/>
      <color rgb="FFFF0000"/>
      <name val="Verdana"/>
      <family val="2"/>
      <charset val="186"/>
    </font>
    <font>
      <b/>
      <sz val="10"/>
      <color rgb="FFFF0000"/>
      <name val="Verdana"/>
      <family val="2"/>
      <charset val="186"/>
    </font>
    <font>
      <b/>
      <sz val="10"/>
      <color theme="0"/>
      <name val="Verdana"/>
      <family val="2"/>
      <charset val="186"/>
    </font>
    <font>
      <sz val="10"/>
      <name val="Verdana"/>
      <family val="2"/>
    </font>
    <font>
      <b/>
      <u/>
      <sz val="10"/>
      <color theme="0"/>
      <name val="Verdana"/>
      <family val="2"/>
      <charset val="186"/>
    </font>
    <font>
      <sz val="9"/>
      <color theme="0"/>
      <name val="Verdana"/>
      <family val="2"/>
      <charset val="186"/>
    </font>
    <font>
      <sz val="10"/>
      <color theme="1"/>
      <name val="Verdana"/>
      <family val="2"/>
      <charset val="186"/>
    </font>
    <font>
      <sz val="10"/>
      <color theme="0"/>
      <name val="Verdana"/>
      <family val="2"/>
      <charset val="186"/>
    </font>
    <font>
      <b/>
      <sz val="10"/>
      <color theme="0"/>
      <name val="Verdana"/>
      <family val="2"/>
    </font>
    <font>
      <b/>
      <u/>
      <sz val="11"/>
      <color theme="1"/>
      <name val="Verdana"/>
      <family val="2"/>
      <charset val="186"/>
    </font>
    <font>
      <b/>
      <sz val="11"/>
      <name val="Verdana"/>
      <family val="2"/>
      <charset val="186"/>
    </font>
    <font>
      <sz val="10"/>
      <name val="Verdana"/>
      <family val="2"/>
      <charset val="186"/>
    </font>
    <font>
      <sz val="10"/>
      <color rgb="FFFF0000"/>
      <name val="Verdana"/>
      <family val="2"/>
      <charset val="186"/>
    </font>
    <font>
      <sz val="10"/>
      <color theme="1"/>
      <name val="Calibri"/>
      <family val="2"/>
      <scheme val="minor"/>
    </font>
    <font>
      <sz val="10"/>
      <name val="Calibri"/>
      <family val="2"/>
      <scheme val="minor"/>
    </font>
    <font>
      <b/>
      <u/>
      <sz val="10"/>
      <name val="Verdana"/>
      <family val="2"/>
      <charset val="186"/>
    </font>
    <font>
      <sz val="8"/>
      <name val="Calibri"/>
      <family val="2"/>
      <scheme val="minor"/>
    </font>
  </fonts>
  <fills count="4">
    <fill>
      <patternFill patternType="none"/>
    </fill>
    <fill>
      <patternFill patternType="gray125"/>
    </fill>
    <fill>
      <patternFill patternType="solid">
        <fgColor theme="0"/>
        <bgColor indexed="64"/>
      </patternFill>
    </fill>
    <fill>
      <patternFill patternType="solid">
        <fgColor rgb="FF00B07D"/>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style="thin">
        <color theme="0"/>
      </left>
      <right/>
      <top/>
      <bottom/>
      <diagonal/>
    </border>
    <border>
      <left/>
      <right/>
      <top style="thin">
        <color theme="0" tint="-0.249977111117893"/>
      </top>
      <bottom style="thin">
        <color theme="0" tint="-0.249977111117893"/>
      </bottom>
      <diagonal/>
    </border>
    <border>
      <left style="thin">
        <color theme="0"/>
      </left>
      <right/>
      <top/>
      <bottom style="thin">
        <color theme="0"/>
      </bottom>
      <diagonal/>
    </border>
    <border>
      <left/>
      <right/>
      <top/>
      <bottom style="thin">
        <color theme="0"/>
      </bottom>
      <diagonal/>
    </border>
  </borders>
  <cellStyleXfs count="9">
    <xf numFmtId="0" fontId="0" fillId="0" borderId="0"/>
    <xf numFmtId="164" fontId="2" fillId="0" borderId="0" applyFont="0" applyFill="0" applyBorder="0" applyAlignment="0" applyProtection="0"/>
    <xf numFmtId="9" fontId="2" fillId="0" borderId="0" applyFont="0" applyFill="0" applyBorder="0" applyAlignment="0" applyProtection="0"/>
    <xf numFmtId="0" fontId="7" fillId="0" borderId="0" applyNumberFormat="0" applyFill="0" applyBorder="0" applyAlignment="0" applyProtection="0"/>
    <xf numFmtId="0" fontId="12" fillId="0" borderId="0"/>
    <xf numFmtId="0" fontId="2" fillId="0" borderId="0"/>
    <xf numFmtId="9" fontId="2" fillId="0" borderId="0" applyFont="0" applyFill="0" applyBorder="0" applyAlignment="0" applyProtection="0"/>
    <xf numFmtId="0" fontId="1" fillId="0" borderId="0"/>
    <xf numFmtId="9" fontId="1" fillId="0" borderId="0" applyFont="0" applyFill="0" applyBorder="0" applyAlignment="0" applyProtection="0"/>
  </cellStyleXfs>
  <cellXfs count="106">
    <xf numFmtId="0" fontId="0" fillId="0" borderId="0" xfId="0"/>
    <xf numFmtId="0" fontId="0" fillId="0" borderId="0" xfId="0" applyFill="1"/>
    <xf numFmtId="0" fontId="4" fillId="0" borderId="0" xfId="0" applyFont="1"/>
    <xf numFmtId="10" fontId="4" fillId="0" borderId="0" xfId="0" applyNumberFormat="1" applyFont="1" applyFill="1"/>
    <xf numFmtId="0" fontId="4" fillId="0" borderId="0" xfId="0" applyFont="1" applyFill="1"/>
    <xf numFmtId="14" fontId="0" fillId="0" borderId="0" xfId="0" applyNumberFormat="1"/>
    <xf numFmtId="165" fontId="0" fillId="0" borderId="0" xfId="1" applyNumberFormat="1" applyFont="1"/>
    <xf numFmtId="0" fontId="8" fillId="0" borderId="0" xfId="0" applyFont="1"/>
    <xf numFmtId="2" fontId="8" fillId="0" borderId="0" xfId="0" applyNumberFormat="1" applyFont="1" applyBorder="1"/>
    <xf numFmtId="166" fontId="8" fillId="0" borderId="0" xfId="0" applyNumberFormat="1" applyFont="1" applyBorder="1" applyAlignment="1">
      <alignment horizontal="center"/>
    </xf>
    <xf numFmtId="166" fontId="11" fillId="0" borderId="0" xfId="0" applyNumberFormat="1" applyFont="1" applyBorder="1" applyAlignment="1">
      <alignment horizontal="center"/>
    </xf>
    <xf numFmtId="0" fontId="8" fillId="0" borderId="0" xfId="0" applyFont="1" applyFill="1"/>
    <xf numFmtId="166" fontId="8" fillId="0" borderId="0" xfId="0" applyNumberFormat="1" applyFont="1" applyFill="1" applyBorder="1" applyAlignment="1">
      <alignment horizontal="center"/>
    </xf>
    <xf numFmtId="166" fontId="11" fillId="0" borderId="0" xfId="0" applyNumberFormat="1" applyFont="1" applyFill="1" applyBorder="1" applyAlignment="1">
      <alignment horizontal="center"/>
    </xf>
    <xf numFmtId="0" fontId="13" fillId="2" borderId="0" xfId="4" applyFont="1" applyFill="1" applyAlignment="1"/>
    <xf numFmtId="0" fontId="14" fillId="0" borderId="0" xfId="0" applyFont="1"/>
    <xf numFmtId="14" fontId="14" fillId="0" borderId="0" xfId="0" applyNumberFormat="1" applyFont="1"/>
    <xf numFmtId="0" fontId="14" fillId="0" borderId="0" xfId="0" applyFont="1" applyAlignment="1"/>
    <xf numFmtId="0" fontId="17" fillId="0" borderId="0" xfId="0" applyFont="1"/>
    <xf numFmtId="9" fontId="9" fillId="0" borderId="0" xfId="2" applyFont="1" applyFill="1" applyBorder="1"/>
    <xf numFmtId="164" fontId="8" fillId="0" borderId="0" xfId="1" applyNumberFormat="1" applyFont="1" applyFill="1" applyBorder="1"/>
    <xf numFmtId="0" fontId="8" fillId="0" borderId="0" xfId="0" applyFont="1" applyBorder="1"/>
    <xf numFmtId="0" fontId="10" fillId="0" borderId="0" xfId="0" applyFont="1" applyBorder="1"/>
    <xf numFmtId="0" fontId="19" fillId="3" borderId="1" xfId="0" applyFont="1" applyFill="1" applyBorder="1" applyAlignment="1">
      <alignment horizontal="center" vertical="center" wrapText="1"/>
    </xf>
    <xf numFmtId="0" fontId="18" fillId="0" borderId="0" xfId="0" applyFont="1" applyBorder="1"/>
    <xf numFmtId="14" fontId="15" fillId="0" borderId="0" xfId="0" applyNumberFormat="1" applyFont="1" applyBorder="1" applyAlignment="1">
      <alignment horizontal="left"/>
    </xf>
    <xf numFmtId="0" fontId="8" fillId="0" borderId="0" xfId="0" applyFont="1" applyFill="1" applyBorder="1" applyAlignment="1">
      <alignment horizontal="left"/>
    </xf>
    <xf numFmtId="0" fontId="8" fillId="0" borderId="0" xfId="0" applyFont="1" applyFill="1" applyBorder="1" applyAlignment="1">
      <alignment horizontal="center"/>
    </xf>
    <xf numFmtId="0" fontId="22" fillId="0" borderId="0" xfId="0" applyFont="1" applyFill="1" applyBorder="1" applyAlignment="1">
      <alignment horizontal="left"/>
    </xf>
    <xf numFmtId="0" fontId="21" fillId="3" borderId="1" xfId="3" applyFont="1" applyFill="1" applyBorder="1" applyAlignment="1">
      <alignment horizontal="center" vertical="center" wrapText="1"/>
    </xf>
    <xf numFmtId="0" fontId="23" fillId="0" borderId="6" xfId="0" applyFont="1" applyFill="1" applyBorder="1" applyAlignment="1">
      <alignment wrapText="1"/>
    </xf>
    <xf numFmtId="2" fontId="23" fillId="0" borderId="6" xfId="0" applyNumberFormat="1" applyFont="1" applyFill="1" applyBorder="1" applyAlignment="1">
      <alignment horizontal="center" vertical="center"/>
    </xf>
    <xf numFmtId="1" fontId="23" fillId="0" borderId="6" xfId="0" applyNumberFormat="1" applyFont="1" applyFill="1" applyBorder="1" applyAlignment="1">
      <alignment horizontal="center" vertical="center"/>
    </xf>
    <xf numFmtId="165" fontId="23" fillId="0" borderId="6" xfId="1" applyNumberFormat="1" applyFont="1" applyFill="1" applyBorder="1" applyAlignment="1">
      <alignment horizontal="center" vertical="center"/>
    </xf>
    <xf numFmtId="2" fontId="23" fillId="0" borderId="6" xfId="0" applyNumberFormat="1" applyFont="1" applyFill="1" applyBorder="1" applyAlignment="1">
      <alignment horizontal="center" vertical="center" wrapText="1"/>
    </xf>
    <xf numFmtId="0" fontId="19" fillId="3" borderId="0" xfId="0" applyFont="1" applyFill="1" applyAlignment="1">
      <alignment vertical="center"/>
    </xf>
    <xf numFmtId="9" fontId="19" fillId="3" borderId="0" xfId="2" applyFont="1" applyFill="1" applyBorder="1" applyAlignment="1">
      <alignment vertical="center"/>
    </xf>
    <xf numFmtId="0" fontId="24" fillId="3" borderId="0" xfId="0" applyFont="1" applyFill="1" applyAlignment="1">
      <alignment vertical="center"/>
    </xf>
    <xf numFmtId="0" fontId="25" fillId="3" borderId="0" xfId="0" applyFont="1" applyFill="1" applyAlignment="1">
      <alignment horizontal="right" vertical="center"/>
    </xf>
    <xf numFmtId="2" fontId="19" fillId="3" borderId="0" xfId="0" applyNumberFormat="1" applyFont="1" applyFill="1" applyAlignment="1">
      <alignment vertical="center" wrapText="1"/>
    </xf>
    <xf numFmtId="0" fontId="0" fillId="0" borderId="0" xfId="0" applyFill="1" applyBorder="1"/>
    <xf numFmtId="0" fontId="0" fillId="0" borderId="0" xfId="0" applyBorder="1"/>
    <xf numFmtId="0" fontId="5" fillId="0" borderId="0" xfId="0" applyFont="1" applyFill="1" applyBorder="1" applyAlignment="1">
      <alignment wrapText="1"/>
    </xf>
    <xf numFmtId="2" fontId="4" fillId="0" borderId="0" xfId="0" applyNumberFormat="1" applyFont="1" applyFill="1" applyBorder="1" applyAlignment="1">
      <alignment horizontal="center"/>
    </xf>
    <xf numFmtId="0" fontId="27" fillId="0" borderId="0" xfId="0" applyFont="1" applyFill="1" applyBorder="1" applyAlignment="1">
      <alignment horizontal="right"/>
    </xf>
    <xf numFmtId="0" fontId="0" fillId="0" borderId="0" xfId="0" applyFont="1" applyBorder="1" applyAlignment="1"/>
    <xf numFmtId="9" fontId="0" fillId="0" borderId="0" xfId="2" applyFont="1"/>
    <xf numFmtId="0" fontId="28" fillId="2" borderId="0" xfId="4" applyFont="1" applyFill="1" applyBorder="1" applyAlignment="1"/>
    <xf numFmtId="0" fontId="31" fillId="0" borderId="0" xfId="0" applyFont="1" applyBorder="1"/>
    <xf numFmtId="0" fontId="28" fillId="0" borderId="0" xfId="0" applyFont="1" applyBorder="1"/>
    <xf numFmtId="0" fontId="28" fillId="0" borderId="0" xfId="0" applyFont="1" applyBorder="1" applyAlignment="1"/>
    <xf numFmtId="0" fontId="28" fillId="2" borderId="0" xfId="4" applyFont="1" applyFill="1" applyAlignment="1"/>
    <xf numFmtId="0" fontId="23" fillId="0" borderId="0" xfId="0" applyFont="1"/>
    <xf numFmtId="0" fontId="30" fillId="0" borderId="0" xfId="0" applyFont="1"/>
    <xf numFmtId="0" fontId="23" fillId="0" borderId="0" xfId="0" applyFont="1" applyAlignment="1"/>
    <xf numFmtId="1" fontId="6" fillId="0" borderId="6" xfId="0" applyNumberFormat="1" applyFont="1" applyFill="1" applyBorder="1" applyAlignment="1">
      <alignment horizontal="center" vertical="center"/>
    </xf>
    <xf numFmtId="2" fontId="0" fillId="0" borderId="0" xfId="0" applyNumberFormat="1"/>
    <xf numFmtId="167" fontId="0" fillId="0" borderId="0" xfId="0" applyNumberFormat="1"/>
    <xf numFmtId="165" fontId="0" fillId="0" borderId="0" xfId="0" applyNumberFormat="1"/>
    <xf numFmtId="168" fontId="0" fillId="0" borderId="0" xfId="2" applyNumberFormat="1" applyFont="1"/>
    <xf numFmtId="164" fontId="0" fillId="0" borderId="0" xfId="1" applyFont="1"/>
    <xf numFmtId="9" fontId="0" fillId="0" borderId="0" xfId="2" applyNumberFormat="1" applyFont="1"/>
    <xf numFmtId="1" fontId="28" fillId="0" borderId="6" xfId="0" applyNumberFormat="1" applyFont="1" applyFill="1" applyBorder="1" applyAlignment="1">
      <alignment horizontal="center" vertical="center"/>
    </xf>
    <xf numFmtId="2" fontId="6" fillId="0" borderId="0" xfId="0" applyNumberFormat="1" applyFont="1" applyFill="1" applyBorder="1" applyAlignment="1">
      <alignment horizontal="center" wrapText="1"/>
    </xf>
    <xf numFmtId="2" fontId="6" fillId="0" borderId="0" xfId="0" applyNumberFormat="1" applyFont="1" applyFill="1" applyBorder="1" applyAlignment="1">
      <alignment horizontal="right" wrapText="1"/>
    </xf>
    <xf numFmtId="0" fontId="23" fillId="0" borderId="6" xfId="0" applyFont="1" applyFill="1" applyBorder="1" applyAlignment="1">
      <alignment horizontal="left" wrapText="1"/>
    </xf>
    <xf numFmtId="2" fontId="5" fillId="0" borderId="0" xfId="0" applyNumberFormat="1" applyFont="1" applyFill="1" applyBorder="1" applyAlignment="1">
      <alignment horizontal="right"/>
    </xf>
    <xf numFmtId="10" fontId="0" fillId="0" borderId="0" xfId="2" applyNumberFormat="1" applyFont="1"/>
    <xf numFmtId="2" fontId="28" fillId="2" borderId="0" xfId="4" applyNumberFormat="1" applyFont="1" applyFill="1" applyBorder="1" applyAlignment="1"/>
    <xf numFmtId="9" fontId="0" fillId="0" borderId="0" xfId="2" applyFont="1" applyBorder="1" applyAlignment="1"/>
    <xf numFmtId="168" fontId="0" fillId="0" borderId="0" xfId="0" applyNumberFormat="1"/>
    <xf numFmtId="1" fontId="0" fillId="0" borderId="0" xfId="0" applyNumberFormat="1"/>
    <xf numFmtId="168" fontId="0" fillId="0" borderId="0" xfId="2" applyNumberFormat="1" applyFont="1" applyAlignment="1">
      <alignment horizontal="left"/>
    </xf>
    <xf numFmtId="0" fontId="0" fillId="0" borderId="0" xfId="0" applyAlignment="1">
      <alignment horizontal="left"/>
    </xf>
    <xf numFmtId="9" fontId="0" fillId="0" borderId="0" xfId="2" applyFont="1" applyAlignment="1">
      <alignment horizontal="left"/>
    </xf>
    <xf numFmtId="14" fontId="0" fillId="0" borderId="0" xfId="1" applyNumberFormat="1" applyFont="1" applyAlignment="1">
      <alignment horizontal="left"/>
    </xf>
    <xf numFmtId="0" fontId="0" fillId="0" borderId="0" xfId="1" applyNumberFormat="1" applyFont="1" applyAlignment="1">
      <alignment horizontal="left"/>
    </xf>
    <xf numFmtId="168" fontId="0" fillId="0" borderId="0" xfId="2" applyNumberFormat="1" applyFont="1" applyAlignment="1">
      <alignment horizontal="center"/>
    </xf>
    <xf numFmtId="9" fontId="3" fillId="0" borderId="0" xfId="2" applyNumberFormat="1" applyFont="1"/>
    <xf numFmtId="9" fontId="0" fillId="0" borderId="0" xfId="2" applyFont="1" applyAlignment="1">
      <alignment horizontal="center"/>
    </xf>
    <xf numFmtId="2" fontId="23" fillId="0" borderId="6" xfId="0" applyNumberFormat="1" applyFont="1" applyBorder="1" applyAlignment="1">
      <alignment horizontal="center" vertical="center"/>
    </xf>
    <xf numFmtId="0" fontId="5" fillId="0" borderId="0" xfId="0" applyFont="1" applyAlignment="1">
      <alignment wrapText="1"/>
    </xf>
    <xf numFmtId="0" fontId="29" fillId="0" borderId="0" xfId="0" applyFont="1"/>
    <xf numFmtId="0" fontId="19" fillId="3" borderId="0" xfId="0" applyFont="1" applyFill="1" applyBorder="1" applyAlignment="1">
      <alignment horizontal="center" vertical="center" wrapText="1"/>
    </xf>
    <xf numFmtId="0" fontId="28" fillId="2" borderId="0" xfId="4" applyFont="1" applyFill="1"/>
    <xf numFmtId="2" fontId="23" fillId="2" borderId="6" xfId="0" applyNumberFormat="1" applyFont="1" applyFill="1" applyBorder="1" applyAlignment="1">
      <alignment horizontal="center" vertical="center"/>
    </xf>
    <xf numFmtId="14" fontId="7" fillId="0" borderId="0" xfId="3" applyNumberFormat="1" applyAlignment="1">
      <alignment vertical="top"/>
    </xf>
    <xf numFmtId="1" fontId="16" fillId="0" borderId="6" xfId="0" applyNumberFormat="1" applyFont="1" applyFill="1" applyBorder="1" applyAlignment="1">
      <alignment horizontal="center" vertical="center"/>
    </xf>
    <xf numFmtId="1" fontId="28" fillId="0" borderId="6" xfId="0" applyNumberFormat="1" applyFont="1" applyFill="1" applyBorder="1" applyAlignment="1">
      <alignment horizontal="right" vertical="center"/>
    </xf>
    <xf numFmtId="2" fontId="28" fillId="0" borderId="6" xfId="0" applyNumberFormat="1" applyFont="1" applyBorder="1" applyAlignment="1">
      <alignment horizontal="center" vertical="center"/>
    </xf>
    <xf numFmtId="169" fontId="8" fillId="0" borderId="0" xfId="1" applyNumberFormat="1" applyFont="1" applyFill="1" applyBorder="1"/>
    <xf numFmtId="0" fontId="19" fillId="3" borderId="0" xfId="0" applyFont="1" applyFill="1" applyBorder="1" applyAlignment="1">
      <alignment horizontal="center" vertical="center" wrapText="1"/>
    </xf>
    <xf numFmtId="14" fontId="20" fillId="2" borderId="1" xfId="0" applyNumberFormat="1" applyFont="1" applyFill="1" applyBorder="1" applyAlignment="1">
      <alignment horizontal="left" wrapText="1"/>
    </xf>
    <xf numFmtId="0" fontId="27" fillId="0" borderId="0" xfId="0" applyFont="1" applyFill="1" applyBorder="1" applyAlignment="1">
      <alignment wrapText="1"/>
    </xf>
    <xf numFmtId="0" fontId="19" fillId="3" borderId="2" xfId="0" applyFont="1" applyFill="1" applyBorder="1" applyAlignment="1">
      <alignment horizontal="center" vertical="center" wrapText="1"/>
    </xf>
    <xf numFmtId="0" fontId="26" fillId="0" borderId="7" xfId="0" applyFont="1" applyFill="1" applyBorder="1" applyAlignment="1">
      <alignment horizontal="left" wrapText="1"/>
    </xf>
    <xf numFmtId="0" fontId="19" fillId="3" borderId="8" xfId="0" applyFont="1" applyFill="1" applyBorder="1" applyAlignment="1">
      <alignment horizontal="center" vertical="center" wrapText="1"/>
    </xf>
    <xf numFmtId="0" fontId="19" fillId="3" borderId="0" xfId="0" applyFont="1" applyFill="1" applyAlignment="1">
      <alignment horizontal="center" vertical="center" wrapText="1"/>
    </xf>
    <xf numFmtId="0" fontId="19" fillId="3" borderId="2" xfId="0" applyFont="1" applyFill="1" applyBorder="1" applyAlignment="1">
      <alignment horizontal="center" vertical="center" wrapText="1"/>
    </xf>
    <xf numFmtId="0" fontId="19" fillId="3" borderId="5" xfId="0" applyFont="1" applyFill="1" applyBorder="1" applyAlignment="1">
      <alignment horizontal="center" vertical="center" wrapText="1"/>
    </xf>
    <xf numFmtId="0" fontId="19" fillId="3" borderId="3" xfId="0" applyFont="1" applyFill="1" applyBorder="1" applyAlignment="1">
      <alignment horizontal="center" vertical="center" wrapText="1"/>
    </xf>
    <xf numFmtId="0" fontId="19" fillId="3" borderId="4" xfId="0" applyFont="1" applyFill="1" applyBorder="1" applyAlignment="1">
      <alignment horizontal="center" vertical="center" wrapText="1"/>
    </xf>
    <xf numFmtId="0" fontId="19" fillId="3" borderId="0" xfId="0" applyFont="1" applyFill="1" applyBorder="1" applyAlignment="1">
      <alignment horizontal="center" vertical="center" wrapText="1"/>
    </xf>
    <xf numFmtId="0" fontId="26" fillId="0" borderId="9" xfId="0" applyFont="1" applyFill="1" applyBorder="1" applyAlignment="1">
      <alignment horizontal="left" wrapText="1"/>
    </xf>
    <xf numFmtId="0" fontId="19" fillId="3" borderId="10" xfId="0" applyFont="1" applyFill="1" applyBorder="1" applyAlignment="1">
      <alignment horizontal="center" vertical="center" wrapText="1"/>
    </xf>
    <xf numFmtId="0" fontId="19" fillId="3" borderId="11" xfId="0" applyFont="1" applyFill="1" applyBorder="1" applyAlignment="1">
      <alignment horizontal="center" vertical="center" wrapText="1"/>
    </xf>
  </cellXfs>
  <cellStyles count="9">
    <cellStyle name="Comma" xfId="1" builtinId="3"/>
    <cellStyle name="Hyperlink" xfId="3" builtinId="8"/>
    <cellStyle name="Normal" xfId="0" builtinId="0"/>
    <cellStyle name="Normal 2" xfId="5" xr:uid="{00000000-0005-0000-0000-000003000000}"/>
    <cellStyle name="Normal 3" xfId="4" xr:uid="{00000000-0005-0000-0000-000004000000}"/>
    <cellStyle name="Normal 4" xfId="7" xr:uid="{8D47C13E-5933-4975-93DC-F5D6828949C6}"/>
    <cellStyle name="Percent" xfId="2" builtinId="5"/>
    <cellStyle name="Percent 2" xfId="6" xr:uid="{00000000-0005-0000-0000-000006000000}"/>
    <cellStyle name="Percent 3" xfId="8" xr:uid="{A965C833-06AC-4255-A737-E6F2932E09BB}"/>
  </cellStyles>
  <dxfs count="71">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b/>
        <i val="0"/>
        <color rgb="FF00B050"/>
      </font>
    </dxf>
  </dxfs>
  <tableStyles count="0" defaultTableStyle="TableStyleMedium2" defaultPivotStyle="PivotStyleMedium9"/>
  <colors>
    <mruColors>
      <color rgb="FF00B07D"/>
      <color rgb="FF903F98"/>
      <color rgb="FFFCAF17"/>
      <color rgb="FFCCFFCC"/>
      <color rgb="FF66FF99"/>
      <color rgb="FFBDFFBD"/>
      <color rgb="FF66FFCC"/>
      <color rgb="FFFFFFD5"/>
      <color rgb="FFC87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'2003-2009'!$C$35</c:f>
              <c:strCache>
                <c:ptCount val="1"/>
                <c:pt idx="0">
                  <c:v>Grąža</c:v>
                </c:pt>
              </c:strCache>
            </c:strRef>
          </c:tx>
          <c:spPr>
            <a:ln w="28575">
              <a:noFill/>
            </a:ln>
          </c:spPr>
          <c:marker>
            <c:symbol val="diamond"/>
            <c:size val="15"/>
            <c:spPr>
              <a:solidFill>
                <a:srgbClr val="00B07D"/>
              </a:solidFill>
            </c:spPr>
          </c:marker>
          <c:dLbls>
            <c:dLbl>
              <c:idx val="0"/>
              <c:layout>
                <c:manualLayout>
                  <c:x val="-3.674124410977795E-2"/>
                  <c:y val="3.2161924728608023E-2"/>
                </c:manualLayout>
              </c:layout>
              <c:tx>
                <c:rich>
                  <a:bodyPr wrap="square" lIns="38100" tIns="19050" rIns="38100" bIns="19050" anchor="ctr">
                    <a:spAutoFit/>
                  </a:bodyPr>
                  <a:lstStyle/>
                  <a:p>
                    <a:pPr>
                      <a:defRPr b="0"/>
                    </a:pPr>
                    <a:r>
                      <a:rPr lang="en-US" b="0"/>
                      <a:t>LMN-96/02</a:t>
                    </a:r>
                  </a:p>
                </c:rich>
              </c:tx>
              <c:spPr>
                <a:noFill/>
                <a:ln>
                  <a:noFill/>
                </a:ln>
                <a:effectLst/>
              </c:spPr>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3D0-41A3-B541-7460FBE8F9B1}"/>
                </c:ext>
              </c:extLst>
            </c:dLbl>
            <c:dLbl>
              <c:idx val="1"/>
              <c:layout>
                <c:manualLayout>
                  <c:x val="3.7328937154873829E-4"/>
                  <c:y val="-2.0978161782844198E-2"/>
                </c:manualLayout>
              </c:layout>
              <c:tx>
                <c:rich>
                  <a:bodyPr/>
                  <a:lstStyle/>
                  <a:p>
                    <a:r>
                      <a:rPr lang="en-US"/>
                      <a:t>INV-96/02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3D0-41A3-B541-7460FBE8F9B1}"/>
                </c:ext>
              </c:extLst>
            </c:dLbl>
            <c:dLbl>
              <c:idx val="2"/>
              <c:layout>
                <c:manualLayout>
                  <c:x val="-5.3981262529887546E-3"/>
                  <c:y val="1.2838256906261806E-2"/>
                </c:manualLayout>
              </c:layout>
              <c:tx>
                <c:rich>
                  <a:bodyPr/>
                  <a:lstStyle/>
                  <a:p>
                    <a:r>
                      <a:rPr lang="en-US"/>
                      <a:t>SBN-96/02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3D0-41A3-B541-7460FBE8F9B1}"/>
                </c:ext>
              </c:extLst>
            </c:dLbl>
            <c:dLbl>
              <c:idx val="3"/>
              <c:layout>
                <c:manualLayout>
                  <c:x val="-4.0095122842978399E-2"/>
                  <c:y val="-3.3055454171810612E-2"/>
                </c:manualLayout>
              </c:layout>
              <c:tx>
                <c:rich>
                  <a:bodyPr/>
                  <a:lstStyle/>
                  <a:p>
                    <a:r>
                      <a:rPr lang="en-US"/>
                      <a:t>SWD-96/02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3D0-41A3-B541-7460FBE8F9B1}"/>
                </c:ext>
              </c:extLst>
            </c:dLbl>
            <c:dLbl>
              <c:idx val="4"/>
              <c:layout>
                <c:manualLayout>
                  <c:x val="-9.5361469265729568E-2"/>
                  <c:y val="2.2488382453859201E-2"/>
                </c:manualLayout>
              </c:layout>
              <c:tx>
                <c:rich>
                  <a:bodyPr/>
                  <a:lstStyle/>
                  <a:p>
                    <a:r>
                      <a:rPr lang="en-US"/>
                      <a:t>AVI-96/02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3D0-41A3-B541-7460FBE8F9B1}"/>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strRef>
              <c:f>'2003-2009'!$B$36:$B$40</c:f>
              <c:strCache>
                <c:ptCount val="5"/>
                <c:pt idx="0">
                  <c:v>Veikia trumpiau</c:v>
                </c:pt>
                <c:pt idx="1">
                  <c:v>Veikia trumpiau</c:v>
                </c:pt>
                <c:pt idx="2">
                  <c:v>Veikia trumpiau</c:v>
                </c:pt>
                <c:pt idx="3">
                  <c:v>Veikia trumpiau</c:v>
                </c:pt>
                <c:pt idx="4">
                  <c:v>Veikia trumpiau</c:v>
                </c:pt>
              </c:strCache>
            </c:strRef>
          </c:xVal>
          <c:yVal>
            <c:numRef>
              <c:f>'2003-2009'!$C$36:$C$40</c:f>
              <c:numCache>
                <c:formatCode>0.00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5-E3D0-41A3-B541-7460FBE8F9B1}"/>
            </c:ext>
          </c:extLst>
        </c:ser>
        <c:dLbls>
          <c:showLegendKey val="0"/>
          <c:showVal val="0"/>
          <c:showCatName val="0"/>
          <c:showSerName val="0"/>
          <c:showPercent val="0"/>
          <c:showBubbleSize val="0"/>
        </c:dLbls>
        <c:axId val="135523712"/>
        <c:axId val="135524288"/>
      </c:scatterChart>
      <c:valAx>
        <c:axId val="135523712"/>
        <c:scaling>
          <c:orientation val="minMax"/>
        </c:scaling>
        <c:delete val="0"/>
        <c:axPos val="b"/>
        <c:title>
          <c:tx>
            <c:rich>
              <a:bodyPr/>
              <a:lstStyle/>
              <a:p>
                <a:pPr algn="ctr" rtl="0">
                  <a:defRPr/>
                </a:pPr>
                <a:r>
                  <a:rPr lang="en-US"/>
                  <a:t>Rizika</a:t>
                </a:r>
                <a:r>
                  <a:rPr lang="lt-LT"/>
                  <a:t>, proc.</a:t>
                </a:r>
              </a:p>
              <a:p>
                <a:pPr algn="ctr" rtl="0">
                  <a:defRPr/>
                </a:pPr>
                <a:endParaRPr lang="lt-LT"/>
              </a:p>
            </c:rich>
          </c:tx>
          <c:layout>
            <c:manualLayout>
              <c:xMode val="edge"/>
              <c:yMode val="edge"/>
              <c:x val="0.50229931190535126"/>
              <c:y val="0.93830846979502691"/>
            </c:manualLayout>
          </c:layout>
          <c:overlay val="0"/>
        </c:title>
        <c:numFmt formatCode="0.00" sourceLinked="1"/>
        <c:majorTickMark val="none"/>
        <c:minorTickMark val="none"/>
        <c:tickLblPos val="nextTo"/>
        <c:crossAx val="135524288"/>
        <c:crosses val="autoZero"/>
        <c:crossBetween val="midCat"/>
      </c:valAx>
      <c:valAx>
        <c:axId val="1355242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37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'2003-2009'!$C$65</c:f>
              <c:strCache>
                <c:ptCount val="1"/>
                <c:pt idx="0">
                  <c:v>Grąža (proc.)</c:v>
                </c:pt>
              </c:strCache>
            </c:strRef>
          </c:tx>
          <c:spPr>
            <a:solidFill>
              <a:srgbClr val="00B07D"/>
            </a:solidFill>
          </c:spPr>
          <c:invertIfNegative val="0"/>
          <c:dLbls>
            <c:dLbl>
              <c:idx val="0"/>
              <c:layout>
                <c:manualLayout>
                  <c:x val="-6.5772308185697306E-2"/>
                  <c:y val="-6.8722723351857154E-2"/>
                </c:manualLayout>
              </c:layout>
              <c:tx>
                <c:rich>
                  <a:bodyPr/>
                  <a:lstStyle/>
                  <a:p>
                    <a:r>
                      <a:rPr lang="en-US"/>
                      <a:t>LMN-96/02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AD1F-4973-B0BB-08A245F13C09}"/>
                </c:ext>
              </c:extLst>
            </c:dLbl>
            <c:dLbl>
              <c:idx val="1"/>
              <c:layout>
                <c:manualLayout>
                  <c:x val="-0.16090713667769807"/>
                  <c:y val="-3.5634004700962986E-2"/>
                </c:manualLayout>
              </c:layout>
              <c:tx>
                <c:rich>
                  <a:bodyPr/>
                  <a:lstStyle/>
                  <a:p>
                    <a:r>
                      <a:rPr lang="en-US"/>
                      <a:t>INV-96/02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AD1F-4973-B0BB-08A245F13C09}"/>
                </c:ext>
              </c:extLst>
            </c:dLbl>
            <c:dLbl>
              <c:idx val="2"/>
              <c:layout>
                <c:manualLayout>
                  <c:x val="-0.11971402234148214"/>
                  <c:y val="8.9085011752407406E-2"/>
                </c:manualLayout>
              </c:layout>
              <c:tx>
                <c:rich>
                  <a:bodyPr/>
                  <a:lstStyle/>
                  <a:p>
                    <a:r>
                      <a:rPr lang="en-US"/>
                      <a:t>SBN-96/02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AD1F-4973-B0BB-08A245F13C09}"/>
                </c:ext>
              </c:extLst>
            </c:dLbl>
            <c:dLbl>
              <c:idx val="3"/>
              <c:layout>
                <c:manualLayout>
                  <c:x val="-0.11081977641679112"/>
                  <c:y val="-0.14253601880385186"/>
                </c:manualLayout>
              </c:layout>
              <c:tx>
                <c:rich>
                  <a:bodyPr/>
                  <a:lstStyle/>
                  <a:p>
                    <a:r>
                      <a:rPr lang="en-US"/>
                      <a:t>SWD-96/02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AD1F-4973-B0BB-08A245F13C09}"/>
                </c:ext>
              </c:extLst>
            </c:dLbl>
            <c:dLbl>
              <c:idx val="4"/>
              <c:layout>
                <c:manualLayout>
                  <c:x val="-7.2785063703625511E-3"/>
                  <c:y val="-1.7817002350481479E-2"/>
                </c:manualLayout>
              </c:layout>
              <c:tx>
                <c:rich>
                  <a:bodyPr/>
                  <a:lstStyle/>
                  <a:p>
                    <a:r>
                      <a:rPr lang="en-US"/>
                      <a:t>AVI-96/02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AD1F-4973-B0BB-08A245F13C09}"/>
                </c:ext>
              </c:extLst>
            </c:dLbl>
            <c:spPr>
              <a:noFill/>
              <a:ln>
                <a:noFill/>
              </a:ln>
              <a:effectLst/>
            </c:spPr>
            <c:dLblPos val="l"/>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'2003-2009'!$B$66:$B$70</c:f>
              <c:numCache>
                <c:formatCode>0.00</c:formatCode>
                <c:ptCount val="5"/>
                <c:pt idx="0">
                  <c:v>4.5019999999999998</c:v>
                </c:pt>
                <c:pt idx="1">
                  <c:v>2.3889999999999998</c:v>
                </c:pt>
                <c:pt idx="2">
                  <c:v>1.32</c:v>
                </c:pt>
                <c:pt idx="3">
                  <c:v>1.8740000000000001</c:v>
                </c:pt>
                <c:pt idx="4">
                  <c:v>1.284</c:v>
                </c:pt>
              </c:numCache>
            </c:numRef>
          </c:xVal>
          <c:yVal>
            <c:numRef>
              <c:f>'2003-2009'!$C$66:$C$70</c:f>
              <c:numCache>
                <c:formatCode>0.00</c:formatCode>
                <c:ptCount val="5"/>
                <c:pt idx="0">
                  <c:v>0</c:v>
                </c:pt>
                <c:pt idx="1">
                  <c:v>0</c:v>
                </c:pt>
                <c:pt idx="2">
                  <c:v>0</c:v>
                </c:pt>
                <c:pt idx="3">
                  <c:v>0</c:v>
                </c:pt>
                <c:pt idx="4">
                  <c:v>0</c:v>
                </c:pt>
              </c:numCache>
            </c:numRef>
          </c:yVal>
          <c:bubbleSize>
            <c:numRef>
              <c:f>'2003-2009'!$D$66:$D$70</c:f>
              <c:numCache>
                <c:formatCode>0.00</c:formatCode>
                <c:ptCount val="5"/>
                <c:pt idx="0">
                  <c:v>2.29546538</c:v>
                </c:pt>
                <c:pt idx="1">
                  <c:v>0.94698043619999994</c:v>
                </c:pt>
                <c:pt idx="2">
                  <c:v>1.15807756</c:v>
                </c:pt>
                <c:pt idx="3">
                  <c:v>1.577888</c:v>
                </c:pt>
                <c:pt idx="4">
                  <c:v>0.94514975000000001</c:v>
                </c:pt>
              </c:numCache>
            </c:numRef>
          </c:bubbleSize>
          <c:bubble3D val="1"/>
          <c:extLst>
            <c:ext xmlns:c16="http://schemas.microsoft.com/office/drawing/2014/chart" uri="{C3380CC4-5D6E-409C-BE32-E72D297353CC}">
              <c16:uniqueId val="{00000005-AD1F-4973-B0BB-08A245F13C09}"/>
            </c:ext>
          </c:extLst>
        </c:ser>
        <c:dLbls>
          <c:showLegendKey val="0"/>
          <c:showVal val="0"/>
          <c:showCatName val="0"/>
          <c:showSerName val="0"/>
          <c:showPercent val="0"/>
          <c:showBubbleSize val="0"/>
        </c:dLbls>
        <c:bubbleScale val="100"/>
        <c:showNegBubbles val="0"/>
        <c:axId val="135525440"/>
        <c:axId val="135526016"/>
      </c:bubbleChart>
      <c:valAx>
        <c:axId val="1355254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5526016"/>
        <c:crosses val="autoZero"/>
        <c:crossBetween val="midCat"/>
      </c:valAx>
      <c:valAx>
        <c:axId val="1355260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54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'1996-2002'!$C$35</c:f>
              <c:strCache>
                <c:ptCount val="1"/>
                <c:pt idx="0">
                  <c:v>Grąža</c:v>
                </c:pt>
              </c:strCache>
            </c:strRef>
          </c:tx>
          <c:spPr>
            <a:ln w="28575">
              <a:noFill/>
            </a:ln>
          </c:spPr>
          <c:marker>
            <c:symbol val="diamond"/>
            <c:size val="15"/>
            <c:spPr>
              <a:solidFill>
                <a:srgbClr val="00B07D"/>
              </a:solidFill>
            </c:spPr>
          </c:marker>
          <c:dLbls>
            <c:dLbl>
              <c:idx val="0"/>
              <c:layout>
                <c:manualLayout>
                  <c:x val="-3.674124410977795E-2"/>
                  <c:y val="3.2161924728608023E-2"/>
                </c:manualLayout>
              </c:layout>
              <c:tx>
                <c:rich>
                  <a:bodyPr wrap="square" lIns="38100" tIns="19050" rIns="38100" bIns="19050" anchor="ctr">
                    <a:spAutoFit/>
                  </a:bodyPr>
                  <a:lstStyle/>
                  <a:p>
                    <a:pPr>
                      <a:defRPr b="0"/>
                    </a:pPr>
                    <a:r>
                      <a:rPr lang="en-US" b="0"/>
                      <a:t>LMN-96/02</a:t>
                    </a:r>
                  </a:p>
                </c:rich>
              </c:tx>
              <c:spPr>
                <a:noFill/>
                <a:ln>
                  <a:noFill/>
                </a:ln>
                <a:effectLst/>
              </c:spPr>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8860-4352-B4A7-E0227C328F97}"/>
                </c:ext>
              </c:extLst>
            </c:dLbl>
            <c:dLbl>
              <c:idx val="1"/>
              <c:layout>
                <c:manualLayout>
                  <c:x val="3.7328937154873829E-4"/>
                  <c:y val="-2.0978161782844198E-2"/>
                </c:manualLayout>
              </c:layout>
              <c:tx>
                <c:rich>
                  <a:bodyPr/>
                  <a:lstStyle/>
                  <a:p>
                    <a:r>
                      <a:rPr lang="en-US"/>
                      <a:t>INV-96/02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860-4352-B4A7-E0227C328F97}"/>
                </c:ext>
              </c:extLst>
            </c:dLbl>
            <c:dLbl>
              <c:idx val="2"/>
              <c:layout>
                <c:manualLayout>
                  <c:x val="-5.3981262529887546E-3"/>
                  <c:y val="1.2838256906261806E-2"/>
                </c:manualLayout>
              </c:layout>
              <c:tx>
                <c:rich>
                  <a:bodyPr/>
                  <a:lstStyle/>
                  <a:p>
                    <a:r>
                      <a:rPr lang="en-US"/>
                      <a:t>SBN-96/02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860-4352-B4A7-E0227C328F97}"/>
                </c:ext>
              </c:extLst>
            </c:dLbl>
            <c:dLbl>
              <c:idx val="3"/>
              <c:layout>
                <c:manualLayout>
                  <c:x val="-4.0095122842978399E-2"/>
                  <c:y val="-3.3055454171810612E-2"/>
                </c:manualLayout>
              </c:layout>
              <c:tx>
                <c:rich>
                  <a:bodyPr/>
                  <a:lstStyle/>
                  <a:p>
                    <a:r>
                      <a:rPr lang="en-US"/>
                      <a:t>SWD-96/02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8860-4352-B4A7-E0227C328F97}"/>
                </c:ext>
              </c:extLst>
            </c:dLbl>
            <c:dLbl>
              <c:idx val="4"/>
              <c:layout>
                <c:manualLayout>
                  <c:x val="-9.5361469265729568E-2"/>
                  <c:y val="2.2488382453859201E-2"/>
                </c:manualLayout>
              </c:layout>
              <c:tx>
                <c:rich>
                  <a:bodyPr/>
                  <a:lstStyle/>
                  <a:p>
                    <a:r>
                      <a:rPr lang="en-US"/>
                      <a:t>AVI-96/02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8860-4352-B4A7-E0227C328F97}"/>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'1996-2002'!$B$36:$B$40</c:f>
              <c:numCache>
                <c:formatCode>0.00</c:formatCode>
                <c:ptCount val="5"/>
                <c:pt idx="0">
                  <c:v>11.267485379810841</c:v>
                </c:pt>
                <c:pt idx="1">
                  <c:v>10.95207212534253</c:v>
                </c:pt>
                <c:pt idx="2">
                  <c:v>12.30631479324671</c:v>
                </c:pt>
                <c:pt idx="3">
                  <c:v>13.015003387496392</c:v>
                </c:pt>
                <c:pt idx="4">
                  <c:v>12.612964906472374</c:v>
                </c:pt>
              </c:numCache>
            </c:numRef>
          </c:xVal>
          <c:yVal>
            <c:numRef>
              <c:f>'1996-2002'!$C$36:$C$40</c:f>
              <c:numCache>
                <c:formatCode>0.00</c:formatCode>
                <c:ptCount val="5"/>
                <c:pt idx="0">
                  <c:v>5.3644244163237875</c:v>
                </c:pt>
                <c:pt idx="1">
                  <c:v>6.0826455202224183</c:v>
                </c:pt>
                <c:pt idx="2">
                  <c:v>5.4147165184773804</c:v>
                </c:pt>
                <c:pt idx="3">
                  <c:v>4.9572311536441038</c:v>
                </c:pt>
                <c:pt idx="4">
                  <c:v>5.6553983553496945</c:v>
                </c:pt>
              </c:numCache>
            </c:numRef>
          </c:yVal>
          <c:smooth val="0"/>
          <c:extLst>
            <c:ext xmlns:c16="http://schemas.microsoft.com/office/drawing/2014/chart" uri="{C3380CC4-5D6E-409C-BE32-E72D297353CC}">
              <c16:uniqueId val="{00000005-8860-4352-B4A7-E0227C328F97}"/>
            </c:ext>
          </c:extLst>
        </c:ser>
        <c:dLbls>
          <c:showLegendKey val="0"/>
          <c:showVal val="0"/>
          <c:showCatName val="0"/>
          <c:showSerName val="0"/>
          <c:showPercent val="0"/>
          <c:showBubbleSize val="0"/>
        </c:dLbls>
        <c:axId val="135523712"/>
        <c:axId val="135524288"/>
      </c:scatterChart>
      <c:valAx>
        <c:axId val="135523712"/>
        <c:scaling>
          <c:orientation val="minMax"/>
        </c:scaling>
        <c:delete val="0"/>
        <c:axPos val="b"/>
        <c:title>
          <c:tx>
            <c:rich>
              <a:bodyPr/>
              <a:lstStyle/>
              <a:p>
                <a:pPr algn="ctr" rtl="0">
                  <a:defRPr/>
                </a:pPr>
                <a:r>
                  <a:rPr lang="en-US"/>
                  <a:t>Rizika</a:t>
                </a:r>
                <a:r>
                  <a:rPr lang="lt-LT"/>
                  <a:t>, proc.</a:t>
                </a:r>
              </a:p>
              <a:p>
                <a:pPr algn="ctr" rtl="0">
                  <a:defRPr/>
                </a:pPr>
                <a:endParaRPr lang="lt-LT"/>
              </a:p>
            </c:rich>
          </c:tx>
          <c:layout>
            <c:manualLayout>
              <c:xMode val="edge"/>
              <c:yMode val="edge"/>
              <c:x val="0.50229931190535126"/>
              <c:y val="0.93830846979502691"/>
            </c:manualLayout>
          </c:layout>
          <c:overlay val="0"/>
        </c:title>
        <c:numFmt formatCode="0.00" sourceLinked="1"/>
        <c:majorTickMark val="none"/>
        <c:minorTickMark val="none"/>
        <c:tickLblPos val="nextTo"/>
        <c:crossAx val="135524288"/>
        <c:crosses val="autoZero"/>
        <c:crossBetween val="midCat"/>
      </c:valAx>
      <c:valAx>
        <c:axId val="1355242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37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'1996-2002'!$C$65</c:f>
              <c:strCache>
                <c:ptCount val="1"/>
                <c:pt idx="0">
                  <c:v>Grąža (proc.)</c:v>
                </c:pt>
              </c:strCache>
            </c:strRef>
          </c:tx>
          <c:spPr>
            <a:solidFill>
              <a:srgbClr val="00B07D"/>
            </a:solidFill>
          </c:spPr>
          <c:invertIfNegative val="0"/>
          <c:dLbls>
            <c:dLbl>
              <c:idx val="0"/>
              <c:layout>
                <c:manualLayout>
                  <c:x val="-6.5772308185697306E-2"/>
                  <c:y val="-6.8722723351857154E-2"/>
                </c:manualLayout>
              </c:layout>
              <c:tx>
                <c:rich>
                  <a:bodyPr/>
                  <a:lstStyle/>
                  <a:p>
                    <a:r>
                      <a:rPr lang="en-US"/>
                      <a:t>LMN-96/02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A53C-4946-AE92-4A6B05DD8755}"/>
                </c:ext>
              </c:extLst>
            </c:dLbl>
            <c:dLbl>
              <c:idx val="1"/>
              <c:layout>
                <c:manualLayout>
                  <c:x val="-0.16090713667769807"/>
                  <c:y val="-3.5634004700962986E-2"/>
                </c:manualLayout>
              </c:layout>
              <c:tx>
                <c:rich>
                  <a:bodyPr/>
                  <a:lstStyle/>
                  <a:p>
                    <a:r>
                      <a:rPr lang="en-US"/>
                      <a:t>INV-96/02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A53C-4946-AE92-4A6B05DD8755}"/>
                </c:ext>
              </c:extLst>
            </c:dLbl>
            <c:dLbl>
              <c:idx val="2"/>
              <c:layout>
                <c:manualLayout>
                  <c:x val="-0.11971402234148214"/>
                  <c:y val="8.9085011752407406E-2"/>
                </c:manualLayout>
              </c:layout>
              <c:tx>
                <c:rich>
                  <a:bodyPr/>
                  <a:lstStyle/>
                  <a:p>
                    <a:r>
                      <a:rPr lang="en-US"/>
                      <a:t>SBN-96/02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A53C-4946-AE92-4A6B05DD8755}"/>
                </c:ext>
              </c:extLst>
            </c:dLbl>
            <c:dLbl>
              <c:idx val="3"/>
              <c:layout>
                <c:manualLayout>
                  <c:x val="-0.11081977641679112"/>
                  <c:y val="-0.14253601880385186"/>
                </c:manualLayout>
              </c:layout>
              <c:tx>
                <c:rich>
                  <a:bodyPr/>
                  <a:lstStyle/>
                  <a:p>
                    <a:r>
                      <a:rPr lang="en-US"/>
                      <a:t>SWD-96/02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A53C-4946-AE92-4A6B05DD8755}"/>
                </c:ext>
              </c:extLst>
            </c:dLbl>
            <c:dLbl>
              <c:idx val="4"/>
              <c:layout>
                <c:manualLayout>
                  <c:x val="-7.2785063703625511E-3"/>
                  <c:y val="-1.7817002350481479E-2"/>
                </c:manualLayout>
              </c:layout>
              <c:tx>
                <c:rich>
                  <a:bodyPr/>
                  <a:lstStyle/>
                  <a:p>
                    <a:r>
                      <a:rPr lang="en-US"/>
                      <a:t>AVI-96/02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A53C-4946-AE92-4A6B05DD8755}"/>
                </c:ext>
              </c:extLst>
            </c:dLbl>
            <c:spPr>
              <a:noFill/>
              <a:ln>
                <a:noFill/>
              </a:ln>
              <a:effectLst/>
            </c:spPr>
            <c:dLblPos val="l"/>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'1996-2002'!$B$66:$B$70</c:f>
              <c:numCache>
                <c:formatCode>0.00</c:formatCode>
                <c:ptCount val="5"/>
                <c:pt idx="0">
                  <c:v>13.679</c:v>
                </c:pt>
                <c:pt idx="1">
                  <c:v>18.43</c:v>
                </c:pt>
                <c:pt idx="2">
                  <c:v>21.626999999999999</c:v>
                </c:pt>
                <c:pt idx="3">
                  <c:v>49.695999999999998</c:v>
                </c:pt>
                <c:pt idx="4">
                  <c:v>19.998999999999999</c:v>
                </c:pt>
              </c:numCache>
            </c:numRef>
          </c:xVal>
          <c:yVal>
            <c:numRef>
              <c:f>'1996-2002'!$C$66:$C$70</c:f>
              <c:numCache>
                <c:formatCode>0.00</c:formatCode>
                <c:ptCount val="5"/>
                <c:pt idx="0">
                  <c:v>5.3644244163237875</c:v>
                </c:pt>
                <c:pt idx="1">
                  <c:v>6.0826455202224183</c:v>
                </c:pt>
                <c:pt idx="2">
                  <c:v>5.4147165184773804</c:v>
                </c:pt>
                <c:pt idx="3">
                  <c:v>4.9572311536441038</c:v>
                </c:pt>
                <c:pt idx="4">
                  <c:v>5.6553983553496945</c:v>
                </c:pt>
              </c:numCache>
            </c:numRef>
          </c:yVal>
          <c:bubbleSize>
            <c:numRef>
              <c:f>'1996-2002'!$D$66:$D$70</c:f>
              <c:numCache>
                <c:formatCode>0.00</c:formatCode>
                <c:ptCount val="5"/>
                <c:pt idx="0">
                  <c:v>28.01076608</c:v>
                </c:pt>
                <c:pt idx="1">
                  <c:v>46.9469461419</c:v>
                </c:pt>
                <c:pt idx="2">
                  <c:v>63.625856520000006</c:v>
                </c:pt>
                <c:pt idx="3">
                  <c:v>143.98318269000001</c:v>
                </c:pt>
                <c:pt idx="4">
                  <c:v>50.881279299999996</c:v>
                </c:pt>
              </c:numCache>
            </c:numRef>
          </c:bubbleSize>
          <c:bubble3D val="1"/>
          <c:extLst>
            <c:ext xmlns:c16="http://schemas.microsoft.com/office/drawing/2014/chart" uri="{C3380CC4-5D6E-409C-BE32-E72D297353CC}">
              <c16:uniqueId val="{00000005-A53C-4946-AE92-4A6B05DD8755}"/>
            </c:ext>
          </c:extLst>
        </c:ser>
        <c:dLbls>
          <c:showLegendKey val="0"/>
          <c:showVal val="0"/>
          <c:showCatName val="0"/>
          <c:showSerName val="0"/>
          <c:showPercent val="0"/>
          <c:showBubbleSize val="0"/>
        </c:dLbls>
        <c:bubbleScale val="100"/>
        <c:showNegBubbles val="0"/>
        <c:axId val="135525440"/>
        <c:axId val="135526016"/>
      </c:bubbleChart>
      <c:valAx>
        <c:axId val="1355254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5526016"/>
        <c:crosses val="autoZero"/>
        <c:crossBetween val="midCat"/>
      </c:valAx>
      <c:valAx>
        <c:axId val="1355260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54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710158483322132E-2"/>
          <c:y val="8.1364623727676277E-2"/>
          <c:w val="0.891007959381516"/>
          <c:h val="0.82122932667082427"/>
        </c:manualLayout>
      </c:layout>
      <c:scatterChart>
        <c:scatterStyle val="lineMarker"/>
        <c:varyColors val="0"/>
        <c:ser>
          <c:idx val="0"/>
          <c:order val="0"/>
          <c:tx>
            <c:strRef>
              <c:f>'1989-1995'!$C$35</c:f>
              <c:strCache>
                <c:ptCount val="1"/>
                <c:pt idx="0">
                  <c:v>Grąža</c:v>
                </c:pt>
              </c:strCache>
            </c:strRef>
          </c:tx>
          <c:spPr>
            <a:ln w="28575">
              <a:noFill/>
            </a:ln>
          </c:spPr>
          <c:marker>
            <c:symbol val="diamond"/>
            <c:size val="15"/>
            <c:spPr>
              <a:solidFill>
                <a:srgbClr val="00B07D"/>
              </a:solidFill>
            </c:spPr>
          </c:marker>
          <c:dLbls>
            <c:dLbl>
              <c:idx val="0"/>
              <c:layout>
                <c:manualLayout>
                  <c:x val="1.1567033256094518E-3"/>
                  <c:y val="-1.9322229837100188E-2"/>
                </c:manualLayout>
              </c:layout>
              <c:tx>
                <c:rich>
                  <a:bodyPr/>
                  <a:lstStyle/>
                  <a:p>
                    <a:r>
                      <a:rPr lang="en-US"/>
                      <a:t>LMN-89/95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412-40F2-BDB2-8F13477A2024}"/>
                </c:ext>
              </c:extLst>
            </c:dLbl>
            <c:dLbl>
              <c:idx val="1"/>
              <c:layout>
                <c:manualLayout>
                  <c:x val="2.1106602236415444E-3"/>
                  <c:y val="-5.9556713686446106E-3"/>
                </c:manualLayout>
              </c:layout>
              <c:tx>
                <c:rich>
                  <a:bodyPr/>
                  <a:lstStyle/>
                  <a:p>
                    <a:r>
                      <a:rPr lang="en-US"/>
                      <a:t>INV-89/95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412-40F2-BDB2-8F13477A2024}"/>
                </c:ext>
              </c:extLst>
            </c:dLbl>
            <c:dLbl>
              <c:idx val="2"/>
              <c:layout>
                <c:manualLayout>
                  <c:x val="-5.8274074450792536E-3"/>
                  <c:y val="-2.6067259078446731E-2"/>
                </c:manualLayout>
              </c:layout>
              <c:tx>
                <c:rich>
                  <a:bodyPr/>
                  <a:lstStyle/>
                  <a:p>
                    <a:r>
                      <a:rPr lang="en-US"/>
                      <a:t>SBN-89/95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412-40F2-BDB2-8F13477A2024}"/>
                </c:ext>
              </c:extLst>
            </c:dLbl>
            <c:dLbl>
              <c:idx val="3"/>
              <c:layout>
                <c:manualLayout>
                  <c:x val="-2.7121704223548909E-3"/>
                  <c:y val="-2.4258741838064181E-2"/>
                </c:manualLayout>
              </c:layout>
              <c:tx>
                <c:rich>
                  <a:bodyPr/>
                  <a:lstStyle/>
                  <a:p>
                    <a:r>
                      <a:rPr lang="en-US"/>
                      <a:t>SWD-89/95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412-40F2-BDB2-8F13477A2024}"/>
                </c:ext>
              </c:extLst>
            </c:dLbl>
            <c:dLbl>
              <c:idx val="4"/>
              <c:layout>
                <c:manualLayout>
                  <c:x val="-8.976862165490751E-2"/>
                  <c:y val="1.580101600412007E-2"/>
                </c:manualLayout>
              </c:layout>
              <c:tx>
                <c:rich>
                  <a:bodyPr/>
                  <a:lstStyle/>
                  <a:p>
                    <a:r>
                      <a:rPr lang="en-US"/>
                      <a:t>AVI-89/95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412-40F2-BDB2-8F13477A2024}"/>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'1989-1995'!$B$36:$B$40</c:f>
              <c:numCache>
                <c:formatCode>0.00</c:formatCode>
                <c:ptCount val="5"/>
                <c:pt idx="0">
                  <c:v>11.237758141172643</c:v>
                </c:pt>
                <c:pt idx="1">
                  <c:v>10.526631325733423</c:v>
                </c:pt>
                <c:pt idx="2">
                  <c:v>12.212935197034481</c:v>
                </c:pt>
                <c:pt idx="3">
                  <c:v>12.57802281056283</c:v>
                </c:pt>
                <c:pt idx="4">
                  <c:v>12.165761564365411</c:v>
                </c:pt>
              </c:numCache>
            </c:numRef>
          </c:xVal>
          <c:yVal>
            <c:numRef>
              <c:f>'1989-1995'!$C$36:$C$40</c:f>
              <c:numCache>
                <c:formatCode>0.00</c:formatCode>
                <c:ptCount val="5"/>
                <c:pt idx="0">
                  <c:v>5.4552694453293027</c:v>
                </c:pt>
                <c:pt idx="1">
                  <c:v>6.1584788590729467</c:v>
                </c:pt>
                <c:pt idx="2">
                  <c:v>5.2252653415191253</c:v>
                </c:pt>
                <c:pt idx="3">
                  <c:v>4.895318953517247</c:v>
                </c:pt>
                <c:pt idx="4">
                  <c:v>6.5243138037468285</c:v>
                </c:pt>
              </c:numCache>
            </c:numRef>
          </c:yVal>
          <c:smooth val="0"/>
          <c:extLst>
            <c:ext xmlns:c16="http://schemas.microsoft.com/office/drawing/2014/chart" uri="{C3380CC4-5D6E-409C-BE32-E72D297353CC}">
              <c16:uniqueId val="{00000005-F412-40F2-BDB2-8F13477A2024}"/>
            </c:ext>
          </c:extLst>
        </c:ser>
        <c:dLbls>
          <c:showLegendKey val="0"/>
          <c:showVal val="0"/>
          <c:showCatName val="0"/>
          <c:showSerName val="0"/>
          <c:showPercent val="0"/>
          <c:showBubbleSize val="0"/>
        </c:dLbls>
        <c:axId val="135527744"/>
        <c:axId val="139149312"/>
      </c:scatterChart>
      <c:valAx>
        <c:axId val="135527744"/>
        <c:scaling>
          <c:orientation val="minMax"/>
        </c:scaling>
        <c:delete val="0"/>
        <c:axPos val="b"/>
        <c:title>
          <c:tx>
            <c:rich>
              <a:bodyPr/>
              <a:lstStyle/>
              <a:p>
                <a:pPr>
                  <a:defRPr/>
                </a:pPr>
                <a:r>
                  <a:rPr lang="en-US"/>
                  <a:t>Rizika</a:t>
                </a:r>
                <a:r>
                  <a:rPr lang="lt-LT"/>
                  <a:t>, proc.</a:t>
                </a:r>
              </a:p>
            </c:rich>
          </c:tx>
          <c:layout>
            <c:manualLayout>
              <c:xMode val="edge"/>
              <c:yMode val="edge"/>
              <c:x val="0.48454305691072258"/>
              <c:y val="0.95011897027705294"/>
            </c:manualLayout>
          </c:layout>
          <c:overlay val="0"/>
        </c:title>
        <c:numFmt formatCode="0.00" sourceLinked="1"/>
        <c:majorTickMark val="none"/>
        <c:minorTickMark val="none"/>
        <c:tickLblPos val="nextTo"/>
        <c:crossAx val="139149312"/>
        <c:crosses val="autoZero"/>
        <c:crossBetween val="midCat"/>
      </c:valAx>
      <c:valAx>
        <c:axId val="13914931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77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'1989-1995'!$C$65</c:f>
              <c:strCache>
                <c:ptCount val="1"/>
                <c:pt idx="0">
                  <c:v>Grąža (proc.)</c:v>
                </c:pt>
              </c:strCache>
            </c:strRef>
          </c:tx>
          <c:spPr>
            <a:solidFill>
              <a:srgbClr val="00B07D"/>
            </a:solidFill>
          </c:spPr>
          <c:invertIfNegative val="0"/>
          <c:dLbls>
            <c:dLbl>
              <c:idx val="0"/>
              <c:layout>
                <c:manualLayout>
                  <c:x val="-5.1817720763438158E-2"/>
                  <c:y val="-8.3102078198553753E-2"/>
                </c:manualLayout>
              </c:layout>
              <c:tx>
                <c:rich>
                  <a:bodyPr/>
                  <a:lstStyle/>
                  <a:p>
                    <a:r>
                      <a:rPr lang="en-US"/>
                      <a:t>LMN-89/95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FE25-413C-8F80-D3A6422BD710}"/>
                </c:ext>
              </c:extLst>
            </c:dLbl>
            <c:dLbl>
              <c:idx val="1"/>
              <c:layout>
                <c:manualLayout>
                  <c:x val="-8.8219299587331962E-2"/>
                  <c:y val="-9.120371029407312E-2"/>
                </c:manualLayout>
              </c:layout>
              <c:tx>
                <c:rich>
                  <a:bodyPr/>
                  <a:lstStyle/>
                  <a:p>
                    <a:r>
                      <a:rPr lang="en-US"/>
                      <a:t>INV-89/95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FE25-413C-8F80-D3A6422BD710}"/>
                </c:ext>
              </c:extLst>
            </c:dLbl>
            <c:dLbl>
              <c:idx val="2"/>
              <c:layout>
                <c:manualLayout>
                  <c:x val="-2.1505886280938271E-3"/>
                  <c:y val="-5.1266965432681916E-2"/>
                </c:manualLayout>
              </c:layout>
              <c:tx>
                <c:rich>
                  <a:bodyPr/>
                  <a:lstStyle/>
                  <a:p>
                    <a:r>
                      <a:rPr lang="en-US"/>
                      <a:t>SBN-89/95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FE25-413C-8F80-D3A6422BD710}"/>
                </c:ext>
              </c:extLst>
            </c:dLbl>
            <c:dLbl>
              <c:idx val="3"/>
              <c:layout>
                <c:manualLayout>
                  <c:x val="0"/>
                  <c:y val="-5.1490041547422156E-2"/>
                </c:manualLayout>
              </c:layout>
              <c:tx>
                <c:rich>
                  <a:bodyPr/>
                  <a:lstStyle/>
                  <a:p>
                    <a:r>
                      <a:rPr lang="en-US"/>
                      <a:t>SWD-89/95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FE25-413C-8F80-D3A6422BD710}"/>
                </c:ext>
              </c:extLst>
            </c:dLbl>
            <c:dLbl>
              <c:idx val="4"/>
              <c:layout>
                <c:manualLayout>
                  <c:x val="-9.1600396660264413E-2"/>
                  <c:y val="7.7975993702234486E-2"/>
                </c:manualLayout>
              </c:layout>
              <c:tx>
                <c:rich>
                  <a:bodyPr/>
                  <a:lstStyle/>
                  <a:p>
                    <a:r>
                      <a:rPr lang="en-US"/>
                      <a:t>AVI-89/95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FE25-413C-8F80-D3A6422BD710}"/>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'1989-1995'!$B$66:$B$70</c:f>
              <c:numCache>
                <c:formatCode>0.00</c:formatCode>
                <c:ptCount val="5"/>
                <c:pt idx="0">
                  <c:v>21.262</c:v>
                </c:pt>
                <c:pt idx="1">
                  <c:v>34.972999999999999</c:v>
                </c:pt>
                <c:pt idx="2">
                  <c:v>45.881999999999998</c:v>
                </c:pt>
                <c:pt idx="3">
                  <c:v>95.709000000000003</c:v>
                </c:pt>
                <c:pt idx="4">
                  <c:v>34.298000000000002</c:v>
                </c:pt>
              </c:numCache>
            </c:numRef>
          </c:xVal>
          <c:yVal>
            <c:numRef>
              <c:f>'1989-1995'!$C$66:$C$70</c:f>
              <c:numCache>
                <c:formatCode>0.00</c:formatCode>
                <c:ptCount val="5"/>
                <c:pt idx="0">
                  <c:v>5.4552694453293027</c:v>
                </c:pt>
                <c:pt idx="1">
                  <c:v>6.1584788590729467</c:v>
                </c:pt>
                <c:pt idx="2">
                  <c:v>5.2252653415191253</c:v>
                </c:pt>
                <c:pt idx="3">
                  <c:v>4.895318953517247</c:v>
                </c:pt>
                <c:pt idx="4">
                  <c:v>6.5243138037468285</c:v>
                </c:pt>
              </c:numCache>
            </c:numRef>
          </c:yVal>
          <c:bubbleSize>
            <c:numRef>
              <c:f>'1989-1995'!$D$66:$D$70</c:f>
              <c:numCache>
                <c:formatCode>0.00</c:formatCode>
                <c:ptCount val="5"/>
                <c:pt idx="0">
                  <c:v>83.029739329999998</c:v>
                </c:pt>
                <c:pt idx="1">
                  <c:v>161.98568655700001</c:v>
                </c:pt>
                <c:pt idx="2">
                  <c:v>221.02564390000001</c:v>
                </c:pt>
                <c:pt idx="3">
                  <c:v>441.60836320999999</c:v>
                </c:pt>
                <c:pt idx="4">
                  <c:v>137.67950405000002</c:v>
                </c:pt>
              </c:numCache>
            </c:numRef>
          </c:bubbleSize>
          <c:bubble3D val="1"/>
          <c:extLst>
            <c:ext xmlns:c16="http://schemas.microsoft.com/office/drawing/2014/chart" uri="{C3380CC4-5D6E-409C-BE32-E72D297353CC}">
              <c16:uniqueId val="{00000005-FE25-413C-8F80-D3A6422BD710}"/>
            </c:ext>
          </c:extLst>
        </c:ser>
        <c:dLbls>
          <c:showLegendKey val="0"/>
          <c:showVal val="0"/>
          <c:showCatName val="0"/>
          <c:showSerName val="0"/>
          <c:showPercent val="0"/>
          <c:showBubbleSize val="0"/>
        </c:dLbls>
        <c:bubbleScale val="100"/>
        <c:showNegBubbles val="0"/>
        <c:axId val="139151040"/>
        <c:axId val="139151616"/>
      </c:bubbleChart>
      <c:valAx>
        <c:axId val="1391510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1616"/>
        <c:crosses val="autoZero"/>
        <c:crossBetween val="midCat"/>
      </c:valAx>
      <c:valAx>
        <c:axId val="1391516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10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'1982-1988'!$C$35</c:f>
              <c:strCache>
                <c:ptCount val="1"/>
                <c:pt idx="0">
                  <c:v>Grąža</c:v>
                </c:pt>
              </c:strCache>
            </c:strRef>
          </c:tx>
          <c:spPr>
            <a:ln w="28575">
              <a:noFill/>
            </a:ln>
          </c:spPr>
          <c:marker>
            <c:symbol val="diamond"/>
            <c:size val="15"/>
            <c:spPr>
              <a:solidFill>
                <a:srgbClr val="00B07D"/>
              </a:solidFill>
            </c:spPr>
          </c:marker>
          <c:dLbls>
            <c:dLbl>
              <c:idx val="0"/>
              <c:layout>
                <c:manualLayout>
                  <c:x val="-0.11275848649404906"/>
                  <c:y val="-4.9752976706004624E-3"/>
                </c:manualLayout>
              </c:layout>
              <c:tx>
                <c:rich>
                  <a:bodyPr/>
                  <a:lstStyle/>
                  <a:p>
                    <a:r>
                      <a:rPr lang="en-US"/>
                      <a:t>LMN-82/88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9F0-4BD4-B51D-160C42226E36}"/>
                </c:ext>
              </c:extLst>
            </c:dLbl>
            <c:dLbl>
              <c:idx val="1"/>
              <c:layout>
                <c:manualLayout>
                  <c:x val="-2.0078302834155858E-2"/>
                  <c:y val="-3.7343178260265085E-2"/>
                </c:manualLayout>
              </c:layout>
              <c:tx>
                <c:rich>
                  <a:bodyPr/>
                  <a:lstStyle/>
                  <a:p>
                    <a:r>
                      <a:rPr lang="en-US"/>
                      <a:t>INV-82/88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9F0-4BD4-B51D-160C42226E36}"/>
                </c:ext>
              </c:extLst>
            </c:dLbl>
            <c:dLbl>
              <c:idx val="2"/>
              <c:layout>
                <c:manualLayout>
                  <c:x val="-0.10548289604498581"/>
                  <c:y val="-3.7861968203282054E-2"/>
                </c:manualLayout>
              </c:layout>
              <c:tx>
                <c:rich>
                  <a:bodyPr/>
                  <a:lstStyle/>
                  <a:p>
                    <a:r>
                      <a:rPr lang="en-US"/>
                      <a:t>SBN-82/88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9F0-4BD4-B51D-160C42226E36}"/>
                </c:ext>
              </c:extLst>
            </c:dLbl>
            <c:dLbl>
              <c:idx val="3"/>
              <c:layout>
                <c:manualLayout>
                  <c:x val="-7.0725082168721738E-3"/>
                  <c:y val="-1.9542517378239355E-2"/>
                </c:manualLayout>
              </c:layout>
              <c:tx>
                <c:rich>
                  <a:bodyPr/>
                  <a:lstStyle/>
                  <a:p>
                    <a:r>
                      <a:rPr lang="en-US"/>
                      <a:t>SWD-82/88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9F0-4BD4-B51D-160C42226E36}"/>
                </c:ext>
              </c:extLst>
            </c:dLbl>
            <c:dLbl>
              <c:idx val="4"/>
              <c:layout>
                <c:manualLayout>
                  <c:x val="-0.10389665383950687"/>
                  <c:y val="-7.3476250367145906E-3"/>
                </c:manualLayout>
              </c:layout>
              <c:tx>
                <c:rich>
                  <a:bodyPr/>
                  <a:lstStyle/>
                  <a:p>
                    <a:r>
                      <a:rPr lang="en-US"/>
                      <a:t>AVI-82/88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9F0-4BD4-B51D-160C42226E36}"/>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'1982-1988'!$B$36:$B$40</c:f>
              <c:numCache>
                <c:formatCode>0.00</c:formatCode>
                <c:ptCount val="5"/>
                <c:pt idx="0">
                  <c:v>11.16206613026182</c:v>
                </c:pt>
                <c:pt idx="1">
                  <c:v>10.460034013825647</c:v>
                </c:pt>
                <c:pt idx="2">
                  <c:v>12.150261151789399</c:v>
                </c:pt>
                <c:pt idx="3">
                  <c:v>12.542037416323076</c:v>
                </c:pt>
                <c:pt idx="4">
                  <c:v>12.148264992011267</c:v>
                </c:pt>
              </c:numCache>
            </c:numRef>
          </c:xVal>
          <c:yVal>
            <c:numRef>
              <c:f>'1982-1988'!$C$36:$C$40</c:f>
              <c:numCache>
                <c:formatCode>0.00</c:formatCode>
                <c:ptCount val="5"/>
                <c:pt idx="0">
                  <c:v>5.6243782914561891</c:v>
                </c:pt>
                <c:pt idx="1">
                  <c:v>6.2308715753485178</c:v>
                </c:pt>
                <c:pt idx="2">
                  <c:v>5.1571465042104636</c:v>
                </c:pt>
                <c:pt idx="3">
                  <c:v>4.8469992514890148</c:v>
                </c:pt>
                <c:pt idx="4">
                  <c:v>6.5250536112740676</c:v>
                </c:pt>
              </c:numCache>
            </c:numRef>
          </c:yVal>
          <c:smooth val="0"/>
          <c:extLst>
            <c:ext xmlns:c16="http://schemas.microsoft.com/office/drawing/2014/chart" uri="{C3380CC4-5D6E-409C-BE32-E72D297353CC}">
              <c16:uniqueId val="{00000005-D9F0-4BD4-B51D-160C42226E36}"/>
            </c:ext>
          </c:extLst>
        </c:ser>
        <c:dLbls>
          <c:showLegendKey val="0"/>
          <c:showVal val="0"/>
          <c:showCatName val="0"/>
          <c:showSerName val="0"/>
          <c:showPercent val="0"/>
          <c:showBubbleSize val="0"/>
        </c:dLbls>
        <c:axId val="139153344"/>
        <c:axId val="139153920"/>
      </c:scatterChart>
      <c:valAx>
        <c:axId val="139153344"/>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153920"/>
        <c:crosses val="autoZero"/>
        <c:crossBetween val="midCat"/>
      </c:valAx>
      <c:valAx>
        <c:axId val="13915392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33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'1982-1988'!$C$65</c:f>
              <c:strCache>
                <c:ptCount val="1"/>
                <c:pt idx="0">
                  <c:v>Grąža (proc.)</c:v>
                </c:pt>
              </c:strCache>
            </c:strRef>
          </c:tx>
          <c:spPr>
            <a:solidFill>
              <a:srgbClr val="00B07D"/>
            </a:solidFill>
          </c:spPr>
          <c:invertIfNegative val="0"/>
          <c:dLbls>
            <c:dLbl>
              <c:idx val="0"/>
              <c:layout>
                <c:manualLayout>
                  <c:x val="-0.14179104477611942"/>
                  <c:y val="-2.8009255685608282E-2"/>
                </c:manualLayout>
              </c:layout>
              <c:tx>
                <c:rich>
                  <a:bodyPr/>
                  <a:lstStyle/>
                  <a:p>
                    <a:r>
                      <a:rPr lang="en-US"/>
                      <a:t>LMN-82/88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0FF2-408F-8939-780556E59F87}"/>
                </c:ext>
              </c:extLst>
            </c:dLbl>
            <c:dLbl>
              <c:idx val="1"/>
              <c:layout>
                <c:manualLayout>
                  <c:x val="-7.462686567164179E-3"/>
                  <c:y val="-5.092591942837861E-2"/>
                </c:manualLayout>
              </c:layout>
              <c:tx>
                <c:rich>
                  <a:bodyPr/>
                  <a:lstStyle/>
                  <a:p>
                    <a:r>
                      <a:rPr lang="en-US"/>
                      <a:t>INV-82/88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0FF2-408F-8939-780556E59F87}"/>
                </c:ext>
              </c:extLst>
            </c:dLbl>
            <c:dLbl>
              <c:idx val="2"/>
              <c:layout>
                <c:manualLayout>
                  <c:x val="-3.9800995024875621E-2"/>
                  <c:y val="-0.11203702274243296"/>
                </c:manualLayout>
              </c:layout>
              <c:tx>
                <c:rich>
                  <a:bodyPr/>
                  <a:lstStyle/>
                  <a:p>
                    <a:r>
                      <a:rPr lang="en-US"/>
                      <a:t>SBN-82/88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0FF2-408F-8939-780556E59F87}"/>
                </c:ext>
              </c:extLst>
            </c:dLbl>
            <c:dLbl>
              <c:idx val="3"/>
              <c:layout>
                <c:manualLayout>
                  <c:x val="-2.3631938731539154E-2"/>
                  <c:y val="-0.10439813482817617"/>
                </c:manualLayout>
              </c:layout>
              <c:tx>
                <c:rich>
                  <a:bodyPr/>
                  <a:lstStyle/>
                  <a:p>
                    <a:r>
                      <a:rPr lang="en-US"/>
                      <a:t>SWD-82/88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0FF2-408F-8939-780556E59F87}"/>
                </c:ext>
              </c:extLst>
            </c:dLbl>
            <c:dLbl>
              <c:idx val="4"/>
              <c:layout>
                <c:manualLayout>
                  <c:x val="-7.462686567164179E-3"/>
                  <c:y val="2.0370367771351351E-2"/>
                </c:manualLayout>
              </c:layout>
              <c:tx>
                <c:rich>
                  <a:bodyPr/>
                  <a:lstStyle/>
                  <a:p>
                    <a:r>
                      <a:rPr lang="en-US"/>
                      <a:t>AVI-82/88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0FF2-408F-8939-780556E59F87}"/>
                </c:ext>
              </c:extLst>
            </c:dLbl>
            <c:spPr>
              <a:noFill/>
              <a:ln>
                <a:noFill/>
              </a:ln>
              <a:effectLst/>
            </c:spPr>
            <c:dLblPos val="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'1982-1988'!$B$66:$B$70</c:f>
              <c:numCache>
                <c:formatCode>0.00</c:formatCode>
                <c:ptCount val="5"/>
                <c:pt idx="0">
                  <c:v>27.92</c:v>
                </c:pt>
                <c:pt idx="1">
                  <c:v>42.737000000000002</c:v>
                </c:pt>
                <c:pt idx="2">
                  <c:v>74.088999999999999</c:v>
                </c:pt>
                <c:pt idx="3">
                  <c:v>113.986</c:v>
                </c:pt>
                <c:pt idx="4">
                  <c:v>48.008000000000003</c:v>
                </c:pt>
              </c:numCache>
            </c:numRef>
          </c:xVal>
          <c:yVal>
            <c:numRef>
              <c:f>'1982-1988'!$C$66:$C$70</c:f>
              <c:numCache>
                <c:formatCode>0.00</c:formatCode>
                <c:ptCount val="5"/>
                <c:pt idx="0">
                  <c:v>5.6243782914561891</c:v>
                </c:pt>
                <c:pt idx="1">
                  <c:v>6.2308715753485178</c:v>
                </c:pt>
                <c:pt idx="2">
                  <c:v>5.1571465042104636</c:v>
                </c:pt>
                <c:pt idx="3">
                  <c:v>4.8469992514890148</c:v>
                </c:pt>
                <c:pt idx="4">
                  <c:v>6.5250536112740676</c:v>
                </c:pt>
              </c:numCache>
            </c:numRef>
          </c:yVal>
          <c:bubbleSize>
            <c:numRef>
              <c:f>'1982-1988'!$D$66:$D$70</c:f>
              <c:numCache>
                <c:formatCode>0.00</c:formatCode>
                <c:ptCount val="5"/>
                <c:pt idx="0">
                  <c:v>147.78593869999997</c:v>
                </c:pt>
                <c:pt idx="1">
                  <c:v>276.99876515130001</c:v>
                </c:pt>
                <c:pt idx="2">
                  <c:v>470.47859905000001</c:v>
                </c:pt>
                <c:pt idx="3">
                  <c:v>611.69713610000008</c:v>
                </c:pt>
                <c:pt idx="4">
                  <c:v>228.75510874</c:v>
                </c:pt>
              </c:numCache>
            </c:numRef>
          </c:bubbleSize>
          <c:bubble3D val="1"/>
          <c:extLst>
            <c:ext xmlns:c16="http://schemas.microsoft.com/office/drawing/2014/chart" uri="{C3380CC4-5D6E-409C-BE32-E72D297353CC}">
              <c16:uniqueId val="{00000005-0FF2-408F-8939-780556E59F87}"/>
            </c:ext>
          </c:extLst>
        </c:ser>
        <c:dLbls>
          <c:showLegendKey val="0"/>
          <c:showVal val="0"/>
          <c:showCatName val="0"/>
          <c:showSerName val="0"/>
          <c:showPercent val="0"/>
          <c:showBubbleSize val="0"/>
        </c:dLbls>
        <c:bubbleScale val="100"/>
        <c:showNegBubbles val="0"/>
        <c:axId val="139155648"/>
        <c:axId val="139156224"/>
      </c:bubbleChart>
      <c:valAx>
        <c:axId val="139155648"/>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6224"/>
        <c:crosses val="autoZero"/>
        <c:crossBetween val="midCat"/>
      </c:valAx>
      <c:valAx>
        <c:axId val="13915622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564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'1975-1981'!$C$35</c:f>
              <c:strCache>
                <c:ptCount val="1"/>
                <c:pt idx="0">
                  <c:v>Grąža</c:v>
                </c:pt>
              </c:strCache>
            </c:strRef>
          </c:tx>
          <c:spPr>
            <a:ln w="28575">
              <a:noFill/>
            </a:ln>
          </c:spPr>
          <c:marker>
            <c:symbol val="diamond"/>
            <c:size val="15"/>
            <c:spPr>
              <a:solidFill>
                <a:srgbClr val="00B07D"/>
              </a:solidFill>
            </c:spPr>
          </c:marker>
          <c:dLbls>
            <c:dLbl>
              <c:idx val="0"/>
              <c:layout>
                <c:manualLayout>
                  <c:x val="-5.1752368437094617E-2"/>
                  <c:y val="-4.3246787012288977E-2"/>
                </c:manualLayout>
              </c:layout>
              <c:tx>
                <c:rich>
                  <a:bodyPr/>
                  <a:lstStyle/>
                  <a:p>
                    <a:r>
                      <a:rPr lang="en-US"/>
                      <a:t>LMN-75/81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FF8-4F38-B46B-F555D8639C59}"/>
                </c:ext>
              </c:extLst>
            </c:dLbl>
            <c:dLbl>
              <c:idx val="1"/>
              <c:layout>
                <c:manualLayout>
                  <c:x val="-5.4352159336488563E-2"/>
                  <c:y val="-3.9126079785511483E-2"/>
                </c:manualLayout>
              </c:layout>
              <c:tx>
                <c:rich>
                  <a:bodyPr/>
                  <a:lstStyle/>
                  <a:p>
                    <a:r>
                      <a:rPr lang="en-US"/>
                      <a:t>INV-75/81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FF8-4F38-B46B-F555D8639C59}"/>
                </c:ext>
              </c:extLst>
            </c:dLbl>
            <c:dLbl>
              <c:idx val="2"/>
              <c:layout>
                <c:manualLayout>
                  <c:x val="-0.10385046290320697"/>
                  <c:y val="-3.7906641140897743E-2"/>
                </c:manualLayout>
              </c:layout>
              <c:tx>
                <c:rich>
                  <a:bodyPr/>
                  <a:lstStyle/>
                  <a:p>
                    <a:r>
                      <a:rPr lang="en-US"/>
                      <a:t>SBN-75/81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FF8-4F38-B46B-F555D8639C59}"/>
                </c:ext>
              </c:extLst>
            </c:dLbl>
            <c:dLbl>
              <c:idx val="3"/>
              <c:layout>
                <c:manualLayout>
                  <c:x val="-2.8863305652269103E-3"/>
                  <c:y val="-3.3929176614123986E-2"/>
                </c:manualLayout>
              </c:layout>
              <c:tx>
                <c:rich>
                  <a:bodyPr/>
                  <a:lstStyle/>
                  <a:p>
                    <a:r>
                      <a:rPr lang="en-US"/>
                      <a:t>SWD-75/81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FF8-4F38-B46B-F555D8639C59}"/>
                </c:ext>
              </c:extLst>
            </c:dLbl>
            <c:dLbl>
              <c:idx val="4"/>
              <c:layout>
                <c:manualLayout>
                  <c:x val="-3.9858592521608248E-2"/>
                  <c:y val="4.0892190480392845E-2"/>
                </c:manualLayout>
              </c:layout>
              <c:tx>
                <c:rich>
                  <a:bodyPr/>
                  <a:lstStyle/>
                  <a:p>
                    <a:r>
                      <a:rPr lang="en-US"/>
                      <a:t>AVI-75/81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FF8-4F38-B46B-F555D8639C59}"/>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'1975-1981'!$B$36:$B$40</c:f>
              <c:numCache>
                <c:formatCode>0.00</c:formatCode>
                <c:ptCount val="5"/>
                <c:pt idx="0">
                  <c:v>11.172857592312488</c:v>
                </c:pt>
                <c:pt idx="1">
                  <c:v>10.385066381117039</c:v>
                </c:pt>
                <c:pt idx="2">
                  <c:v>12.10492473757521</c:v>
                </c:pt>
                <c:pt idx="3">
                  <c:v>12.408345407217633</c:v>
                </c:pt>
                <c:pt idx="4">
                  <c:v>12.1863394284783</c:v>
                </c:pt>
              </c:numCache>
            </c:numRef>
          </c:xVal>
          <c:yVal>
            <c:numRef>
              <c:f>'1975-1981'!$C$36:$C$40</c:f>
              <c:numCache>
                <c:formatCode>0.00</c:formatCode>
                <c:ptCount val="5"/>
                <c:pt idx="0">
                  <c:v>5.7124513005695876</c:v>
                </c:pt>
                <c:pt idx="1">
                  <c:v>6.2042251037905283</c:v>
                </c:pt>
                <c:pt idx="2">
                  <c:v>5.0976238812174168</c:v>
                </c:pt>
                <c:pt idx="3">
                  <c:v>4.8905995626393528</c:v>
                </c:pt>
                <c:pt idx="4">
                  <c:v>6.3517552769745356</c:v>
                </c:pt>
              </c:numCache>
            </c:numRef>
          </c:yVal>
          <c:smooth val="0"/>
          <c:extLst>
            <c:ext xmlns:c16="http://schemas.microsoft.com/office/drawing/2014/chart" uri="{C3380CC4-5D6E-409C-BE32-E72D297353CC}">
              <c16:uniqueId val="{00000005-7FF8-4F38-B46B-F555D8639C59}"/>
            </c:ext>
          </c:extLst>
        </c:ser>
        <c:dLbls>
          <c:showLegendKey val="0"/>
          <c:showVal val="0"/>
          <c:showCatName val="0"/>
          <c:showSerName val="0"/>
          <c:showPercent val="0"/>
          <c:showBubbleSize val="0"/>
        </c:dLbls>
        <c:axId val="139493952"/>
        <c:axId val="139494528"/>
      </c:scatterChart>
      <c:valAx>
        <c:axId val="139493952"/>
        <c:scaling>
          <c:orientation val="minMax"/>
        </c:scaling>
        <c:delete val="0"/>
        <c:axPos val="b"/>
        <c:title>
          <c:tx>
            <c:rich>
              <a:bodyPr/>
              <a:lstStyle/>
              <a:p>
                <a:pPr>
                  <a:defRPr/>
                </a:pPr>
                <a:r>
                  <a:rPr lang="en-US"/>
                  <a:t>Rizika</a:t>
                </a:r>
                <a:r>
                  <a:rPr lang="lt-LT"/>
                  <a:t>, proc.</a:t>
                </a:r>
              </a:p>
            </c:rich>
          </c:tx>
          <c:layout>
            <c:manualLayout>
              <c:xMode val="edge"/>
              <c:yMode val="edge"/>
              <c:x val="0.50879282135187642"/>
              <c:y val="0.93589297122504256"/>
            </c:manualLayout>
          </c:layout>
          <c:overlay val="0"/>
        </c:title>
        <c:numFmt formatCode="0.00" sourceLinked="1"/>
        <c:majorTickMark val="none"/>
        <c:minorTickMark val="none"/>
        <c:tickLblPos val="nextTo"/>
        <c:crossAx val="139494528"/>
        <c:crosses val="autoZero"/>
        <c:crossBetween val="midCat"/>
      </c:valAx>
      <c:valAx>
        <c:axId val="13949452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395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'1975-1981'!$C$65</c:f>
              <c:strCache>
                <c:ptCount val="1"/>
                <c:pt idx="0">
                  <c:v>Grąža (proc.)</c:v>
                </c:pt>
              </c:strCache>
            </c:strRef>
          </c:tx>
          <c:spPr>
            <a:solidFill>
              <a:srgbClr val="00B07D"/>
            </a:solidFill>
          </c:spPr>
          <c:invertIfNegative val="0"/>
          <c:dPt>
            <c:idx val="0"/>
            <c:invertIfNegative val="0"/>
            <c:bubble3D val="1"/>
            <c:extLst>
              <c:ext xmlns:c16="http://schemas.microsoft.com/office/drawing/2014/chart" uri="{C3380CC4-5D6E-409C-BE32-E72D297353CC}">
                <c16:uniqueId val="{00000000-86E8-4141-8501-D7669662E059}"/>
              </c:ext>
            </c:extLst>
          </c:dPt>
          <c:dLbls>
            <c:dLbl>
              <c:idx val="0"/>
              <c:layout>
                <c:manualLayout>
                  <c:x val="-0.2020109596570405"/>
                  <c:y val="0.13512041808427744"/>
                </c:manualLayout>
              </c:layout>
              <c:tx>
                <c:rich>
                  <a:bodyPr/>
                  <a:lstStyle/>
                  <a:p>
                    <a:r>
                      <a:rPr lang="en-US"/>
                      <a:t>LMN-75/81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86E8-4141-8501-D7669662E059}"/>
                </c:ext>
              </c:extLst>
            </c:dLbl>
            <c:dLbl>
              <c:idx val="1"/>
              <c:layout>
                <c:manualLayout>
                  <c:x val="-8.4778297423223417E-2"/>
                  <c:y val="-0.22746239389965089"/>
                </c:manualLayout>
              </c:layout>
              <c:tx>
                <c:rich>
                  <a:bodyPr/>
                  <a:lstStyle/>
                  <a:p>
                    <a:r>
                      <a:rPr lang="en-US"/>
                      <a:t>INV-75/81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86E8-4141-8501-D7669662E059}"/>
                </c:ext>
              </c:extLst>
            </c:dLbl>
            <c:dLbl>
              <c:idx val="2"/>
              <c:layout>
                <c:manualLayout>
                  <c:x val="-9.9296673807272775E-3"/>
                  <c:y val="-6.6658636656608442E-2"/>
                </c:manualLayout>
              </c:layout>
              <c:tx>
                <c:rich>
                  <a:bodyPr/>
                  <a:lstStyle/>
                  <a:p>
                    <a:r>
                      <a:rPr lang="en-US"/>
                      <a:t>SBN-75/81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86E8-4141-8501-D7669662E059}"/>
                </c:ext>
              </c:extLst>
            </c:dLbl>
            <c:dLbl>
              <c:idx val="3"/>
              <c:layout>
                <c:manualLayout>
                  <c:x val="-1.2615092856023251E-3"/>
                  <c:y val="-5.0905721001375658E-2"/>
                </c:manualLayout>
              </c:layout>
              <c:tx>
                <c:rich>
                  <a:bodyPr/>
                  <a:lstStyle/>
                  <a:p>
                    <a:r>
                      <a:rPr lang="en-US"/>
                      <a:t>SWD-75/81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86E8-4141-8501-D7669662E059}"/>
                </c:ext>
              </c:extLst>
            </c:dLbl>
            <c:dLbl>
              <c:idx val="4"/>
              <c:layout>
                <c:manualLayout>
                  <c:x val="-0.14599187040200676"/>
                  <c:y val="-3.3539655155827623E-2"/>
                </c:manualLayout>
              </c:layout>
              <c:tx>
                <c:rich>
                  <a:bodyPr/>
                  <a:lstStyle/>
                  <a:p>
                    <a:r>
                      <a:rPr lang="en-US"/>
                      <a:t>AVI-75/81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86E8-4141-8501-D7669662E059}"/>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'1975-1981'!$B$66:$B$70</c:f>
              <c:numCache>
                <c:formatCode>0.00</c:formatCode>
                <c:ptCount val="5"/>
                <c:pt idx="0">
                  <c:v>26.657</c:v>
                </c:pt>
                <c:pt idx="1">
                  <c:v>19.981000000000002</c:v>
                </c:pt>
                <c:pt idx="2">
                  <c:v>62.372</c:v>
                </c:pt>
                <c:pt idx="3">
                  <c:v>97.501000000000005</c:v>
                </c:pt>
                <c:pt idx="4">
                  <c:v>40.042000000000002</c:v>
                </c:pt>
              </c:numCache>
            </c:numRef>
          </c:xVal>
          <c:yVal>
            <c:numRef>
              <c:f>'1975-1981'!$C$66:$C$70</c:f>
              <c:numCache>
                <c:formatCode>0.00</c:formatCode>
                <c:ptCount val="5"/>
                <c:pt idx="0">
                  <c:v>6.2042251037905283</c:v>
                </c:pt>
                <c:pt idx="1">
                  <c:v>5.7124513005695876</c:v>
                </c:pt>
                <c:pt idx="2">
                  <c:v>5.0976238812174168</c:v>
                </c:pt>
                <c:pt idx="3">
                  <c:v>4.8905995626393528</c:v>
                </c:pt>
                <c:pt idx="4">
                  <c:v>6.3517552769745356</c:v>
                </c:pt>
              </c:numCache>
            </c:numRef>
          </c:yVal>
          <c:bubbleSize>
            <c:numRef>
              <c:f>'1975-1981'!$D$66:$D$70</c:f>
              <c:numCache>
                <c:formatCode>0.00</c:formatCode>
                <c:ptCount val="5"/>
                <c:pt idx="0">
                  <c:v>272.73577302899997</c:v>
                </c:pt>
                <c:pt idx="1">
                  <c:v>156.90527308</c:v>
                </c:pt>
                <c:pt idx="2">
                  <c:v>571.8012506</c:v>
                </c:pt>
                <c:pt idx="3">
                  <c:v>714.61901369000009</c:v>
                </c:pt>
                <c:pt idx="4">
                  <c:v>274.38213082999999</c:v>
                </c:pt>
              </c:numCache>
            </c:numRef>
          </c:bubbleSize>
          <c:bubble3D val="1"/>
          <c:extLst>
            <c:ext xmlns:c16="http://schemas.microsoft.com/office/drawing/2014/chart" uri="{C3380CC4-5D6E-409C-BE32-E72D297353CC}">
              <c16:uniqueId val="{00000005-86E8-4141-8501-D7669662E059}"/>
            </c:ext>
          </c:extLst>
        </c:ser>
        <c:dLbls>
          <c:showLegendKey val="0"/>
          <c:showVal val="0"/>
          <c:showCatName val="0"/>
          <c:showSerName val="0"/>
          <c:showPercent val="0"/>
          <c:showBubbleSize val="0"/>
        </c:dLbls>
        <c:bubbleScale val="100"/>
        <c:showNegBubbles val="0"/>
        <c:axId val="139496256"/>
        <c:axId val="139496832"/>
      </c:bubbleChart>
      <c:valAx>
        <c:axId val="139496256"/>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496832"/>
        <c:crosses val="autoZero"/>
        <c:crossBetween val="midCat"/>
      </c:valAx>
      <c:valAx>
        <c:axId val="13949683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625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'1968-1974'!$C$35</c:f>
              <c:strCache>
                <c:ptCount val="1"/>
                <c:pt idx="0">
                  <c:v>Grąža</c:v>
                </c:pt>
              </c:strCache>
            </c:strRef>
          </c:tx>
          <c:spPr>
            <a:ln w="28575">
              <a:noFill/>
            </a:ln>
          </c:spPr>
          <c:marker>
            <c:symbol val="diamond"/>
            <c:size val="15"/>
            <c:spPr>
              <a:solidFill>
                <a:srgbClr val="00B07D"/>
              </a:solidFill>
            </c:spPr>
          </c:marker>
          <c:dLbls>
            <c:dLbl>
              <c:idx val="0"/>
              <c:layout>
                <c:manualLayout>
                  <c:x val="5.5590291863670937E-3"/>
                  <c:y val="-6.4506786627679805E-5"/>
                </c:manualLayout>
              </c:layout>
              <c:tx>
                <c:rich>
                  <a:bodyPr/>
                  <a:lstStyle/>
                  <a:p>
                    <a:r>
                      <a:rPr lang="en-US"/>
                      <a:t>LMN-68/74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1BB-4957-9FE0-05EEF0777BB7}"/>
                </c:ext>
              </c:extLst>
            </c:dLbl>
            <c:dLbl>
              <c:idx val="1"/>
              <c:layout>
                <c:manualLayout>
                  <c:x val="-3.332700540080006E-3"/>
                  <c:y val="6.558825638322897E-3"/>
                </c:manualLayout>
              </c:layout>
              <c:tx>
                <c:rich>
                  <a:bodyPr/>
                  <a:lstStyle/>
                  <a:p>
                    <a:r>
                      <a:rPr lang="en-US"/>
                      <a:t>INV-68/74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1BB-4957-9FE0-05EEF0777BB7}"/>
                </c:ext>
              </c:extLst>
            </c:dLbl>
            <c:dLbl>
              <c:idx val="2"/>
              <c:layout>
                <c:manualLayout>
                  <c:x val="4.5782393101680282E-4"/>
                  <c:y val="-1.4098443445530108E-2"/>
                </c:manualLayout>
              </c:layout>
              <c:tx>
                <c:rich>
                  <a:bodyPr/>
                  <a:lstStyle/>
                  <a:p>
                    <a:r>
                      <a:rPr lang="en-US"/>
                      <a:t>SBN-68/74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1BB-4957-9FE0-05EEF0777BB7}"/>
                </c:ext>
              </c:extLst>
            </c:dLbl>
            <c:dLbl>
              <c:idx val="3"/>
              <c:layout>
                <c:manualLayout>
                  <c:x val="-5.7760802433968937E-2"/>
                  <c:y val="-2.9279160622473158E-2"/>
                </c:manualLayout>
              </c:layout>
              <c:tx>
                <c:rich>
                  <a:bodyPr/>
                  <a:lstStyle/>
                  <a:p>
                    <a:r>
                      <a:rPr lang="en-US"/>
                      <a:t>SWD-68/74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1BB-4957-9FE0-05EEF0777BB7}"/>
                </c:ext>
              </c:extLst>
            </c:dLbl>
            <c:dLbl>
              <c:idx val="4"/>
              <c:layout>
                <c:manualLayout>
                  <c:x val="3.3613049563539516E-3"/>
                  <c:y val="6.9420657038940802E-5"/>
                </c:manualLayout>
              </c:layout>
              <c:tx>
                <c:rich>
                  <a:bodyPr/>
                  <a:lstStyle/>
                  <a:p>
                    <a:r>
                      <a:rPr lang="en-US"/>
                      <a:t>AVI-68/74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1BB-4957-9FE0-05EEF0777BB7}"/>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'1968-1974'!$B$36:$B$40</c:f>
              <c:numCache>
                <c:formatCode>0.00</c:formatCode>
                <c:ptCount val="5"/>
                <c:pt idx="0">
                  <c:v>9.8827062342238214</c:v>
                </c:pt>
                <c:pt idx="1">
                  <c:v>8.2086765447724623</c:v>
                </c:pt>
                <c:pt idx="2">
                  <c:v>10.007530523379526</c:v>
                </c:pt>
                <c:pt idx="3">
                  <c:v>10.304636700168448</c:v>
                </c:pt>
                <c:pt idx="4">
                  <c:v>10.474093442581612</c:v>
                </c:pt>
              </c:numCache>
            </c:numRef>
          </c:xVal>
          <c:yVal>
            <c:numRef>
              <c:f>'1968-1974'!$C$36:$C$40</c:f>
              <c:numCache>
                <c:formatCode>0.00</c:formatCode>
                <c:ptCount val="5"/>
                <c:pt idx="0">
                  <c:v>4.7160087827580188</c:v>
                </c:pt>
                <c:pt idx="1">
                  <c:v>5.4384872950744345</c:v>
                </c:pt>
                <c:pt idx="2">
                  <c:v>4.2110341033381626</c:v>
                </c:pt>
                <c:pt idx="3">
                  <c:v>4.1087034809592415</c:v>
                </c:pt>
                <c:pt idx="4">
                  <c:v>5.1397626554106957</c:v>
                </c:pt>
              </c:numCache>
            </c:numRef>
          </c:yVal>
          <c:smooth val="0"/>
          <c:extLst>
            <c:ext xmlns:c16="http://schemas.microsoft.com/office/drawing/2014/chart" uri="{C3380CC4-5D6E-409C-BE32-E72D297353CC}">
              <c16:uniqueId val="{00000005-21BB-4957-9FE0-05EEF0777BB7}"/>
            </c:ext>
          </c:extLst>
        </c:ser>
        <c:dLbls>
          <c:showLegendKey val="0"/>
          <c:showVal val="0"/>
          <c:showCatName val="0"/>
          <c:showSerName val="0"/>
          <c:showPercent val="0"/>
          <c:showBubbleSize val="0"/>
        </c:dLbls>
        <c:axId val="139498560"/>
        <c:axId val="139499136"/>
      </c:scatterChart>
      <c:valAx>
        <c:axId val="139498560"/>
        <c:scaling>
          <c:orientation val="minMax"/>
        </c:scaling>
        <c:delete val="0"/>
        <c:axPos val="b"/>
        <c:title>
          <c:tx>
            <c:rich>
              <a:bodyPr/>
              <a:lstStyle/>
              <a:p>
                <a:pPr algn="ctr" rtl="0">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499136"/>
        <c:crosses val="autoZero"/>
        <c:crossBetween val="midCat"/>
      </c:valAx>
      <c:valAx>
        <c:axId val="13949913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856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'1968-1974'!$C$65</c:f>
              <c:strCache>
                <c:ptCount val="1"/>
                <c:pt idx="0">
                  <c:v>Grąža (proc.)</c:v>
                </c:pt>
              </c:strCache>
            </c:strRef>
          </c:tx>
          <c:spPr>
            <a:solidFill>
              <a:srgbClr val="00B07D"/>
            </a:solidFill>
          </c:spPr>
          <c:invertIfNegative val="0"/>
          <c:dLbls>
            <c:dLbl>
              <c:idx val="0"/>
              <c:layout>
                <c:manualLayout>
                  <c:x val="-0.16825219348681142"/>
                  <c:y val="-0.1061225954061395"/>
                </c:manualLayout>
              </c:layout>
              <c:tx>
                <c:rich>
                  <a:bodyPr/>
                  <a:lstStyle/>
                  <a:p>
                    <a:r>
                      <a:rPr lang="en-US"/>
                      <a:t>LMN-68/74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D98E-4B4A-8C0F-A76F2F968B7C}"/>
                </c:ext>
              </c:extLst>
            </c:dLbl>
            <c:dLbl>
              <c:idx val="1"/>
              <c:layout>
                <c:manualLayout>
                  <c:x val="-1.1381086814602861E-2"/>
                  <c:y val="0.11515876171633244"/>
                </c:manualLayout>
              </c:layout>
              <c:tx>
                <c:rich>
                  <a:bodyPr/>
                  <a:lstStyle/>
                  <a:p>
                    <a:r>
                      <a:rPr lang="en-US"/>
                      <a:t>INV-68/74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D98E-4B4A-8C0F-A76F2F968B7C}"/>
                </c:ext>
              </c:extLst>
            </c:dLbl>
            <c:dLbl>
              <c:idx val="2"/>
              <c:layout>
                <c:manualLayout>
                  <c:x val="-8.4672751827912675E-5"/>
                  <c:y val="-2.0793183283042221E-2"/>
                </c:manualLayout>
              </c:layout>
              <c:tx>
                <c:rich>
                  <a:bodyPr/>
                  <a:lstStyle/>
                  <a:p>
                    <a:r>
                      <a:rPr lang="en-US"/>
                      <a:t>SBN-68/74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D98E-4B4A-8C0F-A76F2F968B7C}"/>
                </c:ext>
              </c:extLst>
            </c:dLbl>
            <c:dLbl>
              <c:idx val="3"/>
              <c:tx>
                <c:rich>
                  <a:bodyPr/>
                  <a:lstStyle/>
                  <a:p>
                    <a:r>
                      <a:rPr lang="en-US"/>
                      <a:t>SWD-68/74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D98E-4B4A-8C0F-A76F2F968B7C}"/>
                </c:ext>
              </c:extLst>
            </c:dLbl>
            <c:dLbl>
              <c:idx val="4"/>
              <c:layout>
                <c:manualLayout>
                  <c:x val="-2.0222665859884428E-2"/>
                  <c:y val="6.6407915959865449E-2"/>
                </c:manualLayout>
              </c:layout>
              <c:tx>
                <c:rich>
                  <a:bodyPr/>
                  <a:lstStyle/>
                  <a:p>
                    <a:r>
                      <a:rPr lang="en-US"/>
                      <a:t>AVI-68/74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D98E-4B4A-8C0F-A76F2F968B7C}"/>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'1968-1974'!$B$66:$B$70</c:f>
              <c:numCache>
                <c:formatCode>0.00</c:formatCode>
                <c:ptCount val="5"/>
                <c:pt idx="0">
                  <c:v>22.526</c:v>
                </c:pt>
                <c:pt idx="1">
                  <c:v>18.343</c:v>
                </c:pt>
                <c:pt idx="2">
                  <c:v>53.088999999999999</c:v>
                </c:pt>
                <c:pt idx="3">
                  <c:v>94.456000000000003</c:v>
                </c:pt>
                <c:pt idx="4">
                  <c:v>38.722000000000001</c:v>
                </c:pt>
              </c:numCache>
            </c:numRef>
          </c:xVal>
          <c:yVal>
            <c:numRef>
              <c:f>'1968-1974'!$C$66:$C$70</c:f>
              <c:numCache>
                <c:formatCode>0.00</c:formatCode>
                <c:ptCount val="5"/>
                <c:pt idx="0">
                  <c:v>5.4384872950744345</c:v>
                </c:pt>
                <c:pt idx="1">
                  <c:v>4.7160087827580188</c:v>
                </c:pt>
                <c:pt idx="2">
                  <c:v>4.2110341033381626</c:v>
                </c:pt>
                <c:pt idx="3">
                  <c:v>4.1087034809592415</c:v>
                </c:pt>
                <c:pt idx="4">
                  <c:v>5.1397626554106957</c:v>
                </c:pt>
              </c:numCache>
            </c:numRef>
          </c:yVal>
          <c:bubbleSize>
            <c:numRef>
              <c:f>'1968-1974'!$D$66:$D$70</c:f>
              <c:numCache>
                <c:formatCode>0.00</c:formatCode>
                <c:ptCount val="5"/>
                <c:pt idx="0">
                  <c:v>222.60109032859998</c:v>
                </c:pt>
                <c:pt idx="1">
                  <c:v>147.27809862000001</c:v>
                </c:pt>
                <c:pt idx="2">
                  <c:v>498.08216739</c:v>
                </c:pt>
                <c:pt idx="3">
                  <c:v>710.37172037999994</c:v>
                </c:pt>
                <c:pt idx="4">
                  <c:v>278.25251695999998</c:v>
                </c:pt>
              </c:numCache>
            </c:numRef>
          </c:bubbleSize>
          <c:bubble3D val="1"/>
          <c:extLst>
            <c:ext xmlns:c16="http://schemas.microsoft.com/office/drawing/2014/chart" uri="{C3380CC4-5D6E-409C-BE32-E72D297353CC}">
              <c16:uniqueId val="{00000005-D98E-4B4A-8C0F-A76F2F968B7C}"/>
            </c:ext>
          </c:extLst>
        </c:ser>
        <c:dLbls>
          <c:showLegendKey val="0"/>
          <c:showVal val="0"/>
          <c:showCatName val="0"/>
          <c:showSerName val="0"/>
          <c:showPercent val="0"/>
          <c:showBubbleSize val="0"/>
        </c:dLbls>
        <c:bubbleScale val="100"/>
        <c:showNegBubbles val="0"/>
        <c:axId val="139500864"/>
        <c:axId val="159653888"/>
      </c:bubbleChart>
      <c:valAx>
        <c:axId val="13950086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3888"/>
        <c:crosses val="autoZero"/>
        <c:crossBetween val="midCat"/>
      </c:valAx>
      <c:valAx>
        <c:axId val="159653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50086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'1961-1967'!$C$35</c:f>
              <c:strCache>
                <c:ptCount val="1"/>
                <c:pt idx="0">
                  <c:v>Grąža</c:v>
                </c:pt>
              </c:strCache>
            </c:strRef>
          </c:tx>
          <c:spPr>
            <a:ln w="28575">
              <a:noFill/>
            </a:ln>
          </c:spPr>
          <c:marker>
            <c:symbol val="diamond"/>
            <c:size val="15"/>
            <c:spPr>
              <a:solidFill>
                <a:srgbClr val="00B07D"/>
              </a:solidFill>
            </c:spPr>
          </c:marker>
          <c:dLbls>
            <c:dLbl>
              <c:idx val="0"/>
              <c:layout>
                <c:manualLayout>
                  <c:x val="-0.10533425893506657"/>
                  <c:y val="3.1764229950886312E-3"/>
                </c:manualLayout>
              </c:layout>
              <c:tx>
                <c:rich>
                  <a:bodyPr/>
                  <a:lstStyle/>
                  <a:p>
                    <a:r>
                      <a:rPr lang="en-US"/>
                      <a:t>LMN-61/67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8AE-48EE-B7CC-A6410D89A4DD}"/>
                </c:ext>
              </c:extLst>
            </c:dLbl>
            <c:dLbl>
              <c:idx val="1"/>
              <c:layout>
                <c:manualLayout>
                  <c:x val="-0.10701570040566998"/>
                  <c:y val="-4.0699524382912617E-3"/>
                </c:manualLayout>
              </c:layout>
              <c:tx>
                <c:rich>
                  <a:bodyPr/>
                  <a:lstStyle/>
                  <a:p>
                    <a:r>
                      <a:rPr lang="en-US"/>
                      <a:t>INV-61/67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8AE-48EE-B7CC-A6410D89A4DD}"/>
                </c:ext>
              </c:extLst>
            </c:dLbl>
            <c:dLbl>
              <c:idx val="2"/>
              <c:layout>
                <c:manualLayout>
                  <c:x val="-0.11245349846027247"/>
                  <c:y val="-4.0699524382912392E-3"/>
                </c:manualLayout>
              </c:layout>
              <c:tx>
                <c:rich>
                  <a:bodyPr/>
                  <a:lstStyle/>
                  <a:p>
                    <a:r>
                      <a:rPr lang="en-US"/>
                      <a:t>SBN-61/67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8AE-48EE-B7CC-A6410D89A4DD}"/>
                </c:ext>
              </c:extLst>
            </c:dLbl>
            <c:dLbl>
              <c:idx val="3"/>
              <c:layout>
                <c:manualLayout>
                  <c:x val="-0.11219707743463267"/>
                  <c:y val="-4.0699524382912175E-3"/>
                </c:manualLayout>
              </c:layout>
              <c:tx>
                <c:rich>
                  <a:bodyPr/>
                  <a:lstStyle/>
                  <a:p>
                    <a:r>
                      <a:rPr lang="en-US"/>
                      <a:t>SWD-61/67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8AE-48EE-B7CC-A6410D89A4DD}"/>
                </c:ext>
              </c:extLst>
            </c:dLbl>
            <c:dLbl>
              <c:idx val="4"/>
              <c:layout>
                <c:manualLayout>
                  <c:x val="-0.11024412569512636"/>
                  <c:y val="-1.1316327871671066E-2"/>
                </c:manualLayout>
              </c:layout>
              <c:tx>
                <c:rich>
                  <a:bodyPr/>
                  <a:lstStyle/>
                  <a:p>
                    <a:r>
                      <a:rPr lang="en-US"/>
                      <a:t>AVI-61/67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8AE-48EE-B7CC-A6410D89A4DD}"/>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'1961-1967'!$B$36:$B$40</c:f>
              <c:numCache>
                <c:formatCode>0.00</c:formatCode>
                <c:ptCount val="5"/>
                <c:pt idx="0">
                  <c:v>7.9103382559040032</c:v>
                </c:pt>
                <c:pt idx="1">
                  <c:v>6.2466773895962273</c:v>
                </c:pt>
                <c:pt idx="2">
                  <c:v>7.1834514865940378</c:v>
                </c:pt>
                <c:pt idx="3">
                  <c:v>7.2708495196916214</c:v>
                </c:pt>
                <c:pt idx="4">
                  <c:v>6.6696037126920498</c:v>
                </c:pt>
              </c:numCache>
            </c:numRef>
          </c:xVal>
          <c:yVal>
            <c:numRef>
              <c:f>'1961-1967'!$C$36:$C$40</c:f>
              <c:numCache>
                <c:formatCode>0.00</c:formatCode>
                <c:ptCount val="5"/>
                <c:pt idx="0">
                  <c:v>2.5704596717222028</c:v>
                </c:pt>
                <c:pt idx="1">
                  <c:v>4.1452533367716482</c:v>
                </c:pt>
                <c:pt idx="2">
                  <c:v>2.7662070491192958</c:v>
                </c:pt>
                <c:pt idx="3">
                  <c:v>2.8373771074626131</c:v>
                </c:pt>
                <c:pt idx="4">
                  <c:v>2.9301125707076769</c:v>
                </c:pt>
              </c:numCache>
            </c:numRef>
          </c:yVal>
          <c:smooth val="0"/>
          <c:extLst>
            <c:ext xmlns:c16="http://schemas.microsoft.com/office/drawing/2014/chart" uri="{C3380CC4-5D6E-409C-BE32-E72D297353CC}">
              <c16:uniqueId val="{00000005-58AE-48EE-B7CC-A6410D89A4DD}"/>
            </c:ext>
          </c:extLst>
        </c:ser>
        <c:dLbls>
          <c:showLegendKey val="0"/>
          <c:showVal val="0"/>
          <c:showCatName val="0"/>
          <c:showSerName val="0"/>
          <c:showPercent val="0"/>
          <c:showBubbleSize val="0"/>
        </c:dLbls>
        <c:axId val="159655616"/>
        <c:axId val="159656192"/>
      </c:scatterChart>
      <c:valAx>
        <c:axId val="159655616"/>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56192"/>
        <c:crosses val="autoZero"/>
        <c:crossBetween val="midCat"/>
      </c:valAx>
      <c:valAx>
        <c:axId val="15965619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561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'1961-1967'!$C$65</c:f>
              <c:strCache>
                <c:ptCount val="1"/>
                <c:pt idx="0">
                  <c:v>Grąža (proc.)</c:v>
                </c:pt>
              </c:strCache>
            </c:strRef>
          </c:tx>
          <c:spPr>
            <a:solidFill>
              <a:srgbClr val="00B07D"/>
            </a:solidFill>
          </c:spPr>
          <c:invertIfNegative val="0"/>
          <c:dLbls>
            <c:dLbl>
              <c:idx val="0"/>
              <c:layout>
                <c:manualLayout>
                  <c:x val="-5.3961051881051391E-3"/>
                  <c:y val="-3.7287638968609989E-2"/>
                </c:manualLayout>
              </c:layout>
              <c:tx>
                <c:rich>
                  <a:bodyPr/>
                  <a:lstStyle/>
                  <a:p>
                    <a:r>
                      <a:rPr lang="en-US"/>
                      <a:t>LMN-61/67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CB46-428A-89DC-04A981D16938}"/>
                </c:ext>
              </c:extLst>
            </c:dLbl>
            <c:dLbl>
              <c:idx val="1"/>
              <c:layout>
                <c:manualLayout>
                  <c:x val="-2.1261145178420237E-3"/>
                  <c:y val="-1.1575239457304978E-2"/>
                </c:manualLayout>
              </c:layout>
              <c:tx>
                <c:rich>
                  <a:bodyPr/>
                  <a:lstStyle/>
                  <a:p>
                    <a:r>
                      <a:rPr lang="en-US"/>
                      <a:t>INV-61/67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CB46-428A-89DC-04A981D16938}"/>
                </c:ext>
              </c:extLst>
            </c:dLbl>
            <c:dLbl>
              <c:idx val="2"/>
              <c:layout>
                <c:manualLayout>
                  <c:x val="-2.0045854339244291E-2"/>
                  <c:y val="-8.703094586837945E-2"/>
                </c:manualLayout>
              </c:layout>
              <c:tx>
                <c:rich>
                  <a:bodyPr/>
                  <a:lstStyle/>
                  <a:p>
                    <a:r>
                      <a:rPr lang="en-US"/>
                      <a:t>SBN-61/67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CB46-428A-89DC-04A981D16938}"/>
                </c:ext>
              </c:extLst>
            </c:dLbl>
            <c:dLbl>
              <c:idx val="3"/>
              <c:tx>
                <c:rich>
                  <a:bodyPr/>
                  <a:lstStyle/>
                  <a:p>
                    <a:r>
                      <a:rPr lang="en-US"/>
                      <a:t>SWD-61/67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CB46-428A-89DC-04A981D16938}"/>
                </c:ext>
              </c:extLst>
            </c:dLbl>
            <c:dLbl>
              <c:idx val="4"/>
              <c:layout>
                <c:manualLayout>
                  <c:x val="-1.1827956688816612E-3"/>
                  <c:y val="3.0092587107650351E-2"/>
                </c:manualLayout>
              </c:layout>
              <c:tx>
                <c:rich>
                  <a:bodyPr/>
                  <a:lstStyle/>
                  <a:p>
                    <a:r>
                      <a:rPr lang="en-US"/>
                      <a:t>AVI-61/67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CB46-428A-89DC-04A981D16938}"/>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'1961-1967'!$B$66:$B$70</c:f>
              <c:numCache>
                <c:formatCode>0.00</c:formatCode>
                <c:ptCount val="5"/>
                <c:pt idx="0">
                  <c:v>16.547000000000001</c:v>
                </c:pt>
                <c:pt idx="1">
                  <c:v>17.170999999999999</c:v>
                </c:pt>
                <c:pt idx="2">
                  <c:v>46.472999999999999</c:v>
                </c:pt>
                <c:pt idx="3">
                  <c:v>82.114999999999995</c:v>
                </c:pt>
                <c:pt idx="4">
                  <c:v>35.832999999999998</c:v>
                </c:pt>
              </c:numCache>
            </c:numRef>
          </c:xVal>
          <c:yVal>
            <c:numRef>
              <c:f>'1961-1967'!$C$66:$C$70</c:f>
              <c:numCache>
                <c:formatCode>0.00</c:formatCode>
                <c:ptCount val="5"/>
                <c:pt idx="0">
                  <c:v>2.5704596717222028</c:v>
                </c:pt>
                <c:pt idx="1">
                  <c:v>4.1452533367716482</c:v>
                </c:pt>
                <c:pt idx="2">
                  <c:v>2.7662070491192958</c:v>
                </c:pt>
                <c:pt idx="3">
                  <c:v>2.8373771074626131</c:v>
                </c:pt>
                <c:pt idx="4">
                  <c:v>2.9301125707076769</c:v>
                </c:pt>
              </c:numCache>
            </c:numRef>
          </c:yVal>
          <c:bubbleSize>
            <c:numRef>
              <c:f>'1961-1967'!$D$66:$D$70</c:f>
              <c:numCache>
                <c:formatCode>0.00</c:formatCode>
                <c:ptCount val="5"/>
                <c:pt idx="0">
                  <c:v>114.58844878000001</c:v>
                </c:pt>
                <c:pt idx="1">
                  <c:v>140.91779395449998</c:v>
                </c:pt>
                <c:pt idx="2">
                  <c:v>373.19950411000002</c:v>
                </c:pt>
                <c:pt idx="3">
                  <c:v>536.78550175999999</c:v>
                </c:pt>
                <c:pt idx="4">
                  <c:v>235.73891724000001</c:v>
                </c:pt>
              </c:numCache>
            </c:numRef>
          </c:bubbleSize>
          <c:bubble3D val="1"/>
          <c:extLst>
            <c:ext xmlns:c16="http://schemas.microsoft.com/office/drawing/2014/chart" uri="{C3380CC4-5D6E-409C-BE32-E72D297353CC}">
              <c16:uniqueId val="{00000005-CB46-428A-89DC-04A981D16938}"/>
            </c:ext>
          </c:extLst>
        </c:ser>
        <c:dLbls>
          <c:showLegendKey val="0"/>
          <c:showVal val="0"/>
          <c:showCatName val="0"/>
          <c:showSerName val="0"/>
          <c:showPercent val="0"/>
          <c:showBubbleSize val="0"/>
        </c:dLbls>
        <c:bubbleScale val="100"/>
        <c:showNegBubbles val="0"/>
        <c:axId val="159657920"/>
        <c:axId val="159658496"/>
      </c:bubbleChart>
      <c:valAx>
        <c:axId val="15965792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8496"/>
        <c:crosses val="autoZero"/>
        <c:crossBetween val="midCat"/>
      </c:valAx>
      <c:valAx>
        <c:axId val="15965849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792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'1954-1960'!$C$35</c:f>
              <c:strCache>
                <c:ptCount val="1"/>
                <c:pt idx="0">
                  <c:v>Grąža</c:v>
                </c:pt>
              </c:strCache>
            </c:strRef>
          </c:tx>
          <c:spPr>
            <a:ln w="28575">
              <a:noFill/>
            </a:ln>
          </c:spPr>
          <c:marker>
            <c:symbol val="diamond"/>
            <c:size val="15"/>
            <c:spPr>
              <a:solidFill>
                <a:srgbClr val="00B07D"/>
              </a:solidFill>
            </c:spPr>
          </c:marker>
          <c:dLbls>
            <c:dLbl>
              <c:idx val="0"/>
              <c:layout>
                <c:manualLayout>
                  <c:x val="-2.9344514029623712E-2"/>
                  <c:y val="-4.3207047695076856E-2"/>
                </c:manualLayout>
              </c:layout>
              <c:tx>
                <c:rich>
                  <a:bodyPr/>
                  <a:lstStyle/>
                  <a:p>
                    <a:r>
                      <a:rPr lang="en-US"/>
                      <a:t>LMN-54/60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AA8-4342-BF15-FA4F092D892F}"/>
                </c:ext>
              </c:extLst>
            </c:dLbl>
            <c:dLbl>
              <c:idx val="1"/>
              <c:layout>
                <c:manualLayout>
                  <c:x val="-4.9921295471720833E-3"/>
                  <c:y val="-5.6500930102951477E-3"/>
                </c:manualLayout>
              </c:layout>
              <c:tx>
                <c:rich>
                  <a:bodyPr/>
                  <a:lstStyle/>
                  <a:p>
                    <a:r>
                      <a:rPr lang="en-US"/>
                      <a:t>INV-54/60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AA8-4342-BF15-FA4F092D892F}"/>
                </c:ext>
              </c:extLst>
            </c:dLbl>
            <c:dLbl>
              <c:idx val="2"/>
              <c:layout>
                <c:manualLayout>
                  <c:x val="-7.9398250913369633E-3"/>
                  <c:y val="1.0635244658365732E-2"/>
                </c:manualLayout>
              </c:layout>
              <c:tx>
                <c:rich>
                  <a:bodyPr/>
                  <a:lstStyle/>
                  <a:p>
                    <a:r>
                      <a:rPr lang="en-US"/>
                      <a:t>SBN-54/60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AA8-4342-BF15-FA4F092D892F}"/>
                </c:ext>
              </c:extLst>
            </c:dLbl>
            <c:dLbl>
              <c:idx val="3"/>
              <c:layout>
                <c:manualLayout>
                  <c:x val="-5.3656299965881914E-2"/>
                  <c:y val="5.2945328284581331E-2"/>
                </c:manualLayout>
              </c:layout>
              <c:tx>
                <c:rich>
                  <a:bodyPr/>
                  <a:lstStyle/>
                  <a:p>
                    <a:r>
                      <a:rPr lang="en-US"/>
                      <a:t>SWD-54/60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AA8-4342-BF15-FA4F092D892F}"/>
                </c:ext>
              </c:extLst>
            </c:dLbl>
            <c:dLbl>
              <c:idx val="4"/>
              <c:layout>
                <c:manualLayout>
                  <c:x val="-0.10270368950300572"/>
                  <c:y val="5.4706140456818354E-2"/>
                </c:manualLayout>
              </c:layout>
              <c:tx>
                <c:rich>
                  <a:bodyPr/>
                  <a:lstStyle/>
                  <a:p>
                    <a:r>
                      <a:rPr lang="en-US"/>
                      <a:t>AVI-54/60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AA8-4342-BF15-FA4F092D892F}"/>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'1954-1960'!$B$36:$B$40</c:f>
              <c:numCache>
                <c:formatCode>0.00</c:formatCode>
                <c:ptCount val="5"/>
                <c:pt idx="0">
                  <c:v>6.2384453628818193</c:v>
                </c:pt>
                <c:pt idx="1">
                  <c:v>4.8756157065222547</c:v>
                </c:pt>
                <c:pt idx="2">
                  <c:v>5.4781366167164736</c:v>
                </c:pt>
                <c:pt idx="3">
                  <c:v>4.9372639448289863</c:v>
                </c:pt>
                <c:pt idx="4">
                  <c:v>4.1207723229471744</c:v>
                </c:pt>
              </c:numCache>
            </c:numRef>
          </c:xVal>
          <c:yVal>
            <c:numRef>
              <c:f>'1954-1960'!$C$36:$C$40</c:f>
              <c:numCache>
                <c:formatCode>0.00</c:formatCode>
                <c:ptCount val="5"/>
                <c:pt idx="0">
                  <c:v>0.91715135318048979</c:v>
                </c:pt>
                <c:pt idx="1">
                  <c:v>2.9583796537889118</c:v>
                </c:pt>
                <c:pt idx="2">
                  <c:v>1.7955342969000254</c:v>
                </c:pt>
                <c:pt idx="3">
                  <c:v>1.293414117461622</c:v>
                </c:pt>
                <c:pt idx="4">
                  <c:v>1.7512287991734432</c:v>
                </c:pt>
              </c:numCache>
            </c:numRef>
          </c:yVal>
          <c:smooth val="0"/>
          <c:extLst>
            <c:ext xmlns:c16="http://schemas.microsoft.com/office/drawing/2014/chart" uri="{C3380CC4-5D6E-409C-BE32-E72D297353CC}">
              <c16:uniqueId val="{00000005-AAA8-4342-BF15-FA4F092D892F}"/>
            </c:ext>
          </c:extLst>
        </c:ser>
        <c:dLbls>
          <c:showLegendKey val="0"/>
          <c:showVal val="0"/>
          <c:showCatName val="0"/>
          <c:showSerName val="0"/>
          <c:showPercent val="0"/>
          <c:showBubbleSize val="0"/>
        </c:dLbls>
        <c:axId val="159660800"/>
        <c:axId val="159661376"/>
      </c:scatterChart>
      <c:valAx>
        <c:axId val="159660800"/>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61376"/>
        <c:crosses val="autoZero"/>
        <c:crossBetween val="midCat"/>
      </c:valAx>
      <c:valAx>
        <c:axId val="15966137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6080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'1954-1960'!$C$65</c:f>
              <c:strCache>
                <c:ptCount val="1"/>
                <c:pt idx="0">
                  <c:v>Grąža (proc.)</c:v>
                </c:pt>
              </c:strCache>
            </c:strRef>
          </c:tx>
          <c:spPr>
            <a:solidFill>
              <a:srgbClr val="00B07D"/>
            </a:solidFill>
          </c:spPr>
          <c:invertIfNegative val="0"/>
          <c:dLbls>
            <c:dLbl>
              <c:idx val="0"/>
              <c:layout>
                <c:manualLayout>
                  <c:x val="-8.3594238569701506E-3"/>
                  <c:y val="-6.3376434309559804E-2"/>
                </c:manualLayout>
              </c:layout>
              <c:tx>
                <c:rich>
                  <a:bodyPr/>
                  <a:lstStyle/>
                  <a:p>
                    <a:r>
                      <a:rPr lang="en-US"/>
                      <a:t>LMN-54/60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3310-4483-85E5-4E2A302E454F}"/>
                </c:ext>
              </c:extLst>
            </c:dLbl>
            <c:dLbl>
              <c:idx val="1"/>
              <c:layout>
                <c:manualLayout>
                  <c:x val="-2.8442143740902404E-3"/>
                  <c:y val="3.0998377430247092E-2"/>
                </c:manualLayout>
              </c:layout>
              <c:tx>
                <c:rich>
                  <a:bodyPr/>
                  <a:lstStyle/>
                  <a:p>
                    <a:r>
                      <a:rPr lang="en-US"/>
                      <a:t>INV-54/60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3310-4483-85E5-4E2A302E454F}"/>
                </c:ext>
              </c:extLst>
            </c:dLbl>
            <c:dLbl>
              <c:idx val="2"/>
              <c:layout>
                <c:manualLayout>
                  <c:x val="5.7735953030075963E-4"/>
                  <c:y val="-6.0260796726080085E-3"/>
                </c:manualLayout>
              </c:layout>
              <c:tx>
                <c:rich>
                  <a:bodyPr/>
                  <a:lstStyle/>
                  <a:p>
                    <a:r>
                      <a:rPr lang="en-US"/>
                      <a:t>SBN-54/60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3310-4483-85E5-4E2A302E454F}"/>
                </c:ext>
              </c:extLst>
            </c:dLbl>
            <c:dLbl>
              <c:idx val="3"/>
              <c:layout>
                <c:manualLayout>
                  <c:x val="-8.0155413134133172E-3"/>
                  <c:y val="7.1844005630894242E-2"/>
                </c:manualLayout>
              </c:layout>
              <c:tx>
                <c:rich>
                  <a:bodyPr/>
                  <a:lstStyle/>
                  <a:p>
                    <a:r>
                      <a:rPr lang="en-US"/>
                      <a:t>SWD-54/60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3310-4483-85E5-4E2A302E454F}"/>
                </c:ext>
              </c:extLst>
            </c:dLbl>
            <c:dLbl>
              <c:idx val="4"/>
              <c:layout>
                <c:manualLayout>
                  <c:x val="-1.5565186398590449E-2"/>
                  <c:y val="7.4947050033509599E-2"/>
                </c:manualLayout>
              </c:layout>
              <c:tx>
                <c:rich>
                  <a:bodyPr/>
                  <a:lstStyle/>
                  <a:p>
                    <a:r>
                      <a:rPr lang="en-US"/>
                      <a:t>AVI-54/60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3310-4483-85E5-4E2A302E454F}"/>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'1954-1960'!$B$66:$B$70</c:f>
              <c:numCache>
                <c:formatCode>0.00</c:formatCode>
                <c:ptCount val="5"/>
                <c:pt idx="0">
                  <c:v>1.9990000000000001</c:v>
                </c:pt>
                <c:pt idx="1">
                  <c:v>1.5549999999999999</c:v>
                </c:pt>
                <c:pt idx="2">
                  <c:v>4.2480000000000002</c:v>
                </c:pt>
                <c:pt idx="3">
                  <c:v>4.7560000000000002</c:v>
                </c:pt>
                <c:pt idx="4">
                  <c:v>3.7770000000000001</c:v>
                </c:pt>
              </c:numCache>
            </c:numRef>
          </c:xVal>
          <c:yVal>
            <c:numRef>
              <c:f>'1954-1960'!$C$66:$C$70</c:f>
              <c:numCache>
                <c:formatCode>0.00</c:formatCode>
                <c:ptCount val="5"/>
                <c:pt idx="0">
                  <c:v>0.91715135318048979</c:v>
                </c:pt>
                <c:pt idx="1">
                  <c:v>2.9583796537889118</c:v>
                </c:pt>
                <c:pt idx="2">
                  <c:v>1.7955342969000254</c:v>
                </c:pt>
                <c:pt idx="3">
                  <c:v>1.293414117461622</c:v>
                </c:pt>
                <c:pt idx="4">
                  <c:v>1.7512287991734432</c:v>
                </c:pt>
              </c:numCache>
            </c:numRef>
          </c:yVal>
          <c:bubbleSize>
            <c:numRef>
              <c:f>'1954-1960'!$D$66:$D$70</c:f>
              <c:numCache>
                <c:formatCode>0.00</c:formatCode>
                <c:ptCount val="5"/>
                <c:pt idx="0">
                  <c:v>12.669153710000002</c:v>
                </c:pt>
                <c:pt idx="1">
                  <c:v>11.403159137199999</c:v>
                </c:pt>
                <c:pt idx="2">
                  <c:v>31.62081654</c:v>
                </c:pt>
                <c:pt idx="3">
                  <c:v>47.312661820000002</c:v>
                </c:pt>
                <c:pt idx="4">
                  <c:v>25.711254309999998</c:v>
                </c:pt>
              </c:numCache>
            </c:numRef>
          </c:bubbleSize>
          <c:bubble3D val="1"/>
          <c:extLst>
            <c:ext xmlns:c16="http://schemas.microsoft.com/office/drawing/2014/chart" uri="{C3380CC4-5D6E-409C-BE32-E72D297353CC}">
              <c16:uniqueId val="{00000005-3310-4483-85E5-4E2A302E454F}"/>
            </c:ext>
          </c:extLst>
        </c:ser>
        <c:dLbls>
          <c:showLegendKey val="0"/>
          <c:showVal val="0"/>
          <c:showCatName val="0"/>
          <c:showSerName val="0"/>
          <c:showPercent val="0"/>
          <c:showBubbleSize val="0"/>
        </c:dLbls>
        <c:bubbleScale val="100"/>
        <c:showNegBubbles val="0"/>
        <c:axId val="136880704"/>
        <c:axId val="136881280"/>
      </c:bubbleChart>
      <c:valAx>
        <c:axId val="13688070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1280"/>
        <c:crosses val="autoZero"/>
        <c:crossBetween val="midCat"/>
      </c:valAx>
      <c:valAx>
        <c:axId val="13688128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070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TIF!$C$35</c:f>
              <c:strCache>
                <c:ptCount val="1"/>
                <c:pt idx="0">
                  <c:v>Grąža</c:v>
                </c:pt>
              </c:strCache>
            </c:strRef>
          </c:tx>
          <c:spPr>
            <a:ln w="28575">
              <a:noFill/>
            </a:ln>
          </c:spPr>
          <c:marker>
            <c:symbol val="diamond"/>
            <c:size val="15"/>
            <c:spPr>
              <a:solidFill>
                <a:srgbClr val="00B07D"/>
              </a:solidFill>
            </c:spPr>
          </c:marker>
          <c:dLbls>
            <c:dLbl>
              <c:idx val="0"/>
              <c:layout>
                <c:manualLayout>
                  <c:x val="-2.1129178478363777E-3"/>
                  <c:y val="-2.5310961749979632E-3"/>
                </c:manualLayout>
              </c:layout>
              <c:tx>
                <c:rich>
                  <a:bodyPr/>
                  <a:lstStyle/>
                  <a:p>
                    <a:r>
                      <a:rPr lang="en-US"/>
                      <a:t>LMN-TIPF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5E1-4D3B-9813-EF7F39486E9A}"/>
                </c:ext>
              </c:extLst>
            </c:dLbl>
            <c:dLbl>
              <c:idx val="1"/>
              <c:layout>
                <c:manualLayout>
                  <c:x val="-6.2150787001411637E-5"/>
                  <c:y val="-2.4841183605085103E-2"/>
                </c:manualLayout>
              </c:layout>
              <c:tx>
                <c:rich>
                  <a:bodyPr/>
                  <a:lstStyle/>
                  <a:p>
                    <a:r>
                      <a:rPr lang="en-US"/>
                      <a:t>INV-TIPF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5E1-4D3B-9813-EF7F39486E9A}"/>
                </c:ext>
              </c:extLst>
            </c:dLbl>
            <c:dLbl>
              <c:idx val="2"/>
              <c:layout>
                <c:manualLayout>
                  <c:x val="-1.0014110840027876E-3"/>
                  <c:y val="-1.6399061128407104E-2"/>
                </c:manualLayout>
              </c:layout>
              <c:tx>
                <c:rich>
                  <a:bodyPr/>
                  <a:lstStyle/>
                  <a:p>
                    <a:r>
                      <a:rPr lang="en-US"/>
                      <a:t>SBN-TIPF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5E1-4D3B-9813-EF7F39486E9A}"/>
                </c:ext>
              </c:extLst>
            </c:dLbl>
            <c:dLbl>
              <c:idx val="3"/>
              <c:layout>
                <c:manualLayout>
                  <c:x val="-1.6035947597381143E-2"/>
                  <c:y val="-4.179618057054655E-2"/>
                </c:manualLayout>
              </c:layout>
              <c:tx>
                <c:rich>
                  <a:bodyPr/>
                  <a:lstStyle/>
                  <a:p>
                    <a:r>
                      <a:rPr lang="en-US"/>
                      <a:t>SWD-TIPF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5E1-4D3B-9813-EF7F39486E9A}"/>
                </c:ext>
              </c:extLst>
            </c:dLbl>
            <c:dLbl>
              <c:idx val="4"/>
              <c:layout>
                <c:manualLayout>
                  <c:x val="-0.11556161761807666"/>
                  <c:y val="-2.2706561932806651E-4"/>
                </c:manualLayout>
              </c:layout>
              <c:tx>
                <c:rich>
                  <a:bodyPr/>
                  <a:lstStyle/>
                  <a:p>
                    <a:r>
                      <a:rPr lang="en-US"/>
                      <a:t>AVI-TIPF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5E1-4D3B-9813-EF7F39486E9A}"/>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TIF!$B$36:$B$40</c:f>
              <c:numCache>
                <c:formatCode>0.00</c:formatCode>
                <c:ptCount val="5"/>
                <c:pt idx="0">
                  <c:v>4.775021581919094</c:v>
                </c:pt>
                <c:pt idx="1">
                  <c:v>4.3221172930220186</c:v>
                </c:pt>
                <c:pt idx="2">
                  <c:v>7.397415754007981</c:v>
                </c:pt>
                <c:pt idx="3">
                  <c:v>5.3729555648848066</c:v>
                </c:pt>
                <c:pt idx="4">
                  <c:v>3.8317274205083809</c:v>
                </c:pt>
              </c:numCache>
            </c:numRef>
          </c:xVal>
          <c:yVal>
            <c:numRef>
              <c:f>TIF!$C$36:$C$40</c:f>
              <c:numCache>
                <c:formatCode>0.00</c:formatCode>
                <c:ptCount val="5"/>
                <c:pt idx="0">
                  <c:v>0.78286565656320306</c:v>
                </c:pt>
                <c:pt idx="1">
                  <c:v>2.513079494257342</c:v>
                </c:pt>
                <c:pt idx="2">
                  <c:v>1.4909964406491394</c:v>
                </c:pt>
                <c:pt idx="3">
                  <c:v>1.8332268798594953</c:v>
                </c:pt>
                <c:pt idx="4">
                  <c:v>1.0402637789510116</c:v>
                </c:pt>
              </c:numCache>
            </c:numRef>
          </c:yVal>
          <c:smooth val="0"/>
          <c:extLst>
            <c:ext xmlns:c16="http://schemas.microsoft.com/office/drawing/2014/chart" uri="{C3380CC4-5D6E-409C-BE32-E72D297353CC}">
              <c16:uniqueId val="{00000005-E5E1-4D3B-9813-EF7F39486E9A}"/>
            </c:ext>
          </c:extLst>
        </c:ser>
        <c:dLbls>
          <c:showLegendKey val="0"/>
          <c:showVal val="0"/>
          <c:showCatName val="0"/>
          <c:showSerName val="0"/>
          <c:showPercent val="0"/>
          <c:showBubbleSize val="0"/>
        </c:dLbls>
        <c:axId val="136883008"/>
        <c:axId val="136883584"/>
      </c:scatterChart>
      <c:valAx>
        <c:axId val="136883008"/>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6883584"/>
        <c:crosses val="autoZero"/>
        <c:crossBetween val="midCat"/>
      </c:valAx>
      <c:valAx>
        <c:axId val="13688358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300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TIF!$C$65</c:f>
              <c:strCache>
                <c:ptCount val="1"/>
                <c:pt idx="0">
                  <c:v>Grąža (proc.)</c:v>
                </c:pt>
              </c:strCache>
            </c:strRef>
          </c:tx>
          <c:spPr>
            <a:solidFill>
              <a:srgbClr val="00B07D"/>
            </a:solidFill>
          </c:spPr>
          <c:invertIfNegative val="0"/>
          <c:dLbls>
            <c:dLbl>
              <c:idx val="0"/>
              <c:layout>
                <c:manualLayout>
                  <c:x val="-6.6784305470121274E-3"/>
                  <c:y val="-1.7847447240536794E-2"/>
                </c:manualLayout>
              </c:layout>
              <c:tx>
                <c:rich>
                  <a:bodyPr/>
                  <a:lstStyle/>
                  <a:p>
                    <a:r>
                      <a:rPr lang="en-US"/>
                      <a:t>LMN-TIPF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121C-460D-B8F3-9A44B1F95391}"/>
                </c:ext>
              </c:extLst>
            </c:dLbl>
            <c:dLbl>
              <c:idx val="1"/>
              <c:layout>
                <c:manualLayout>
                  <c:x val="-0.14222618574960053"/>
                  <c:y val="-2.0833300258617793E-2"/>
                </c:manualLayout>
              </c:layout>
              <c:tx>
                <c:rich>
                  <a:bodyPr/>
                  <a:lstStyle/>
                  <a:p>
                    <a:r>
                      <a:rPr lang="en-US"/>
                      <a:t>INV-TIPF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121C-460D-B8F3-9A44B1F95391}"/>
                </c:ext>
              </c:extLst>
            </c:dLbl>
            <c:dLbl>
              <c:idx val="2"/>
              <c:layout>
                <c:manualLayout>
                  <c:x val="-9.8918733259468899E-3"/>
                  <c:y val="-5.1711672624064786E-2"/>
                </c:manualLayout>
              </c:layout>
              <c:tx>
                <c:rich>
                  <a:bodyPr/>
                  <a:lstStyle/>
                  <a:p>
                    <a:r>
                      <a:rPr lang="en-US"/>
                      <a:t>SBN-TIPF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121C-460D-B8F3-9A44B1F95391}"/>
                </c:ext>
              </c:extLst>
            </c:dLbl>
            <c:dLbl>
              <c:idx val="3"/>
              <c:layout>
                <c:manualLayout>
                  <c:x val="-1.5833945536777628E-2"/>
                  <c:y val="-9.6291309149264301E-2"/>
                </c:manualLayout>
              </c:layout>
              <c:tx>
                <c:rich>
                  <a:bodyPr/>
                  <a:lstStyle/>
                  <a:p>
                    <a:r>
                      <a:rPr lang="en-US"/>
                      <a:t>SWD-TIPF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121C-460D-B8F3-9A44B1F95391}"/>
                </c:ext>
              </c:extLst>
            </c:dLbl>
            <c:dLbl>
              <c:idx val="4"/>
              <c:layout>
                <c:manualLayout>
                  <c:x val="-0.15221527769423787"/>
                  <c:y val="3.4618203894590541E-2"/>
                </c:manualLayout>
              </c:layout>
              <c:tx>
                <c:rich>
                  <a:bodyPr/>
                  <a:lstStyle/>
                  <a:p>
                    <a:r>
                      <a:rPr lang="en-US"/>
                      <a:t>AVI-TIPF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121C-460D-B8F3-9A44B1F95391}"/>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TIF!$B$66:$B$70</c:f>
              <c:numCache>
                <c:formatCode>0.00</c:formatCode>
                <c:ptCount val="5"/>
                <c:pt idx="0">
                  <c:v>2.9260000000000002</c:v>
                </c:pt>
                <c:pt idx="1">
                  <c:v>2.5339999999999998</c:v>
                </c:pt>
                <c:pt idx="2">
                  <c:v>7.452</c:v>
                </c:pt>
                <c:pt idx="3">
                  <c:v>8.3889999999999993</c:v>
                </c:pt>
                <c:pt idx="4">
                  <c:v>7.1340000000000003</c:v>
                </c:pt>
              </c:numCache>
            </c:numRef>
          </c:xVal>
          <c:yVal>
            <c:numRef>
              <c:f>TIF!$C$66:$C$70</c:f>
              <c:numCache>
                <c:formatCode>0.00</c:formatCode>
                <c:ptCount val="5"/>
                <c:pt idx="0">
                  <c:v>0.78286565656320306</c:v>
                </c:pt>
                <c:pt idx="1">
                  <c:v>2.513079494257342</c:v>
                </c:pt>
                <c:pt idx="2">
                  <c:v>1.4909964406491394</c:v>
                </c:pt>
                <c:pt idx="3">
                  <c:v>1.8332268798594953</c:v>
                </c:pt>
                <c:pt idx="4">
                  <c:v>1.0402637789510116</c:v>
                </c:pt>
              </c:numCache>
            </c:numRef>
          </c:yVal>
          <c:bubbleSize>
            <c:numRef>
              <c:f>TIF!$D$66:$D$70</c:f>
              <c:numCache>
                <c:formatCode>0.00</c:formatCode>
                <c:ptCount val="5"/>
                <c:pt idx="0">
                  <c:v>12.76470426</c:v>
                </c:pt>
                <c:pt idx="1">
                  <c:v>14.859260254599999</c:v>
                </c:pt>
                <c:pt idx="2">
                  <c:v>59.402129459999998</c:v>
                </c:pt>
                <c:pt idx="3">
                  <c:v>73.275591800000001</c:v>
                </c:pt>
                <c:pt idx="4">
                  <c:v>34.472431630000003</c:v>
                </c:pt>
              </c:numCache>
            </c:numRef>
          </c:bubbleSize>
          <c:bubble3D val="1"/>
          <c:extLst>
            <c:ext xmlns:c16="http://schemas.microsoft.com/office/drawing/2014/chart" uri="{C3380CC4-5D6E-409C-BE32-E72D297353CC}">
              <c16:uniqueId val="{00000005-121C-460D-B8F3-9A44B1F95391}"/>
            </c:ext>
          </c:extLst>
        </c:ser>
        <c:dLbls>
          <c:showLegendKey val="0"/>
          <c:showVal val="0"/>
          <c:showCatName val="0"/>
          <c:showSerName val="0"/>
          <c:showPercent val="0"/>
          <c:showBubbleSize val="0"/>
        </c:dLbls>
        <c:bubbleScale val="100"/>
        <c:showNegBubbles val="0"/>
        <c:axId val="136885312"/>
        <c:axId val="136885888"/>
      </c:bubbleChart>
      <c:valAx>
        <c:axId val="136885312"/>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5888"/>
        <c:crosses val="autoZero"/>
        <c:crossBetween val="midCat"/>
      </c:valAx>
      <c:valAx>
        <c:axId val="136885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53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lt-LT" sz="1200"/>
              <a:t>Tikslinės pensijų fondų dalyvių grupės pensijų fondų strategijos (pagal dalyvio amžių)</a:t>
            </a:r>
          </a:p>
        </c:rich>
      </c:tx>
      <c:layout>
        <c:manualLayout>
          <c:xMode val="edge"/>
          <c:yMode val="edge"/>
          <c:x val="0.21176706957519731"/>
          <c:y val="3.6539892739590449E-2"/>
        </c:manualLayout>
      </c:layout>
      <c:overlay val="0"/>
    </c:title>
    <c:autoTitleDeleted val="0"/>
    <c:plotArea>
      <c:layout>
        <c:manualLayout>
          <c:layoutTarget val="inner"/>
          <c:xMode val="edge"/>
          <c:yMode val="edge"/>
          <c:x val="6.3050787009059375E-2"/>
          <c:y val="0.14585938758756148"/>
          <c:w val="0.71226106107151876"/>
          <c:h val="0.81001721909906077"/>
        </c:manualLayout>
      </c:layout>
      <c:lineChart>
        <c:grouping val="standard"/>
        <c:varyColors val="0"/>
        <c:ser>
          <c:idx val="1"/>
          <c:order val="0"/>
          <c:tx>
            <c:strRef>
              <c:f>Strategijų_palyginimas!$B$2</c:f>
              <c:strCache>
                <c:ptCount val="1"/>
                <c:pt idx="0">
                  <c:v>UAB „SEB investicijų valdymas“</c:v>
                </c:pt>
              </c:strCache>
            </c:strRef>
          </c:tx>
          <c:spPr>
            <a:ln w="44450">
              <a:solidFill>
                <a:srgbClr val="00B07D"/>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Strategijų_palyginimas!$B$3:$B$51</c:f>
              <c:numCache>
                <c:formatCode>0</c:formatCode>
                <c:ptCount val="49"/>
                <c:pt idx="0">
                  <c:v>98</c:v>
                </c:pt>
                <c:pt idx="1">
                  <c:v>98</c:v>
                </c:pt>
                <c:pt idx="2">
                  <c:v>98</c:v>
                </c:pt>
                <c:pt idx="3">
                  <c:v>98</c:v>
                </c:pt>
                <c:pt idx="4">
                  <c:v>98</c:v>
                </c:pt>
                <c:pt idx="5">
                  <c:v>98</c:v>
                </c:pt>
                <c:pt idx="6">
                  <c:v>98</c:v>
                </c:pt>
                <c:pt idx="7">
                  <c:v>98</c:v>
                </c:pt>
                <c:pt idx="8">
                  <c:v>98</c:v>
                </c:pt>
                <c:pt idx="9">
                  <c:v>98</c:v>
                </c:pt>
                <c:pt idx="10">
                  <c:v>98</c:v>
                </c:pt>
                <c:pt idx="11">
                  <c:v>98</c:v>
                </c:pt>
                <c:pt idx="12">
                  <c:v>98</c:v>
                </c:pt>
                <c:pt idx="13">
                  <c:v>98</c:v>
                </c:pt>
                <c:pt idx="14">
                  <c:v>98</c:v>
                </c:pt>
                <c:pt idx="15">
                  <c:v>98</c:v>
                </c:pt>
                <c:pt idx="16">
                  <c:v>98</c:v>
                </c:pt>
                <c:pt idx="17">
                  <c:v>98</c:v>
                </c:pt>
                <c:pt idx="18">
                  <c:v>98</c:v>
                </c:pt>
                <c:pt idx="19">
                  <c:v>98</c:v>
                </c:pt>
                <c:pt idx="20">
                  <c:v>98</c:v>
                </c:pt>
                <c:pt idx="21">
                  <c:v>98</c:v>
                </c:pt>
                <c:pt idx="22">
                  <c:v>98</c:v>
                </c:pt>
                <c:pt idx="23">
                  <c:v>98</c:v>
                </c:pt>
                <c:pt idx="24">
                  <c:v>98</c:v>
                </c:pt>
                <c:pt idx="25">
                  <c:v>98</c:v>
                </c:pt>
                <c:pt idx="26">
                  <c:v>98</c:v>
                </c:pt>
                <c:pt idx="27">
                  <c:v>98</c:v>
                </c:pt>
                <c:pt idx="28">
                  <c:v>92.9</c:v>
                </c:pt>
                <c:pt idx="29">
                  <c:v>87.9</c:v>
                </c:pt>
                <c:pt idx="30">
                  <c:v>82.899999999999991</c:v>
                </c:pt>
                <c:pt idx="31">
                  <c:v>78</c:v>
                </c:pt>
                <c:pt idx="32">
                  <c:v>73.099999999999994</c:v>
                </c:pt>
                <c:pt idx="33">
                  <c:v>68.099999999999994</c:v>
                </c:pt>
                <c:pt idx="34">
                  <c:v>63.3</c:v>
                </c:pt>
                <c:pt idx="35">
                  <c:v>58.5</c:v>
                </c:pt>
                <c:pt idx="36">
                  <c:v>53.800000000000004</c:v>
                </c:pt>
                <c:pt idx="37">
                  <c:v>49.1</c:v>
                </c:pt>
                <c:pt idx="38">
                  <c:v>44.4</c:v>
                </c:pt>
                <c:pt idx="39">
                  <c:v>39.800000000000004</c:v>
                </c:pt>
                <c:pt idx="40">
                  <c:v>35.299999999999997</c:v>
                </c:pt>
                <c:pt idx="41">
                  <c:v>30.8</c:v>
                </c:pt>
                <c:pt idx="42">
                  <c:v>26.6</c:v>
                </c:pt>
                <c:pt idx="43">
                  <c:v>22.400000000000002</c:v>
                </c:pt>
                <c:pt idx="44">
                  <c:v>18.5</c:v>
                </c:pt>
                <c:pt idx="45">
                  <c:v>18.5</c:v>
                </c:pt>
                <c:pt idx="46">
                  <c:v>18.5</c:v>
                </c:pt>
                <c:pt idx="47">
                  <c:v>18.5</c:v>
                </c:pt>
                <c:pt idx="48">
                  <c:v>18.5</c:v>
                </c:pt>
              </c:numCache>
            </c:numRef>
          </c:val>
          <c:smooth val="0"/>
          <c:extLst>
            <c:ext xmlns:c16="http://schemas.microsoft.com/office/drawing/2014/chart" uri="{C3380CC4-5D6E-409C-BE32-E72D297353CC}">
              <c16:uniqueId val="{00000000-2631-47E3-B625-16B88E6046B3}"/>
            </c:ext>
          </c:extLst>
        </c:ser>
        <c:ser>
          <c:idx val="2"/>
          <c:order val="1"/>
          <c:tx>
            <c:strRef>
              <c:f>Strategijų_palyginimas!$C$2</c:f>
              <c:strCache>
                <c:ptCount val="1"/>
                <c:pt idx="0">
                  <c:v>UAB "SB Asset Management"</c:v>
                </c:pt>
              </c:strCache>
            </c:strRef>
          </c:tx>
          <c:spPr>
            <a:ln w="44450">
              <a:solidFill>
                <a:schemeClr val="accent5">
                  <a:lumMod val="75000"/>
                </a:schemeClr>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Strategijų_palyginimas!$C$3:$C$51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91.88</c:v>
                </c:pt>
                <c:pt idx="29">
                  <c:v>86.77</c:v>
                </c:pt>
                <c:pt idx="30">
                  <c:v>81.64</c:v>
                </c:pt>
                <c:pt idx="31">
                  <c:v>76.530000000000015</c:v>
                </c:pt>
                <c:pt idx="32">
                  <c:v>71.41</c:v>
                </c:pt>
                <c:pt idx="33">
                  <c:v>66.3</c:v>
                </c:pt>
                <c:pt idx="34">
                  <c:v>61.18</c:v>
                </c:pt>
                <c:pt idx="35">
                  <c:v>56.06</c:v>
                </c:pt>
                <c:pt idx="36">
                  <c:v>50.94</c:v>
                </c:pt>
                <c:pt idx="37">
                  <c:v>45.82</c:v>
                </c:pt>
                <c:pt idx="38">
                  <c:v>40.71</c:v>
                </c:pt>
                <c:pt idx="39">
                  <c:v>35.589999999999996</c:v>
                </c:pt>
                <c:pt idx="40">
                  <c:v>30.470000000000002</c:v>
                </c:pt>
                <c:pt idx="41">
                  <c:v>25.35</c:v>
                </c:pt>
                <c:pt idx="42">
                  <c:v>20.239999999999998</c:v>
                </c:pt>
                <c:pt idx="43">
                  <c:v>15.120000000000001</c:v>
                </c:pt>
                <c:pt idx="44">
                  <c:v>10</c:v>
                </c:pt>
                <c:pt idx="45">
                  <c:v>10</c:v>
                </c:pt>
                <c:pt idx="46">
                  <c:v>10</c:v>
                </c:pt>
                <c:pt idx="47">
                  <c:v>10</c:v>
                </c:pt>
                <c:pt idx="48">
                  <c:v>10</c:v>
                </c:pt>
              </c:numCache>
            </c:numRef>
          </c:val>
          <c:smooth val="0"/>
          <c:extLst>
            <c:ext xmlns:c16="http://schemas.microsoft.com/office/drawing/2014/chart" uri="{C3380CC4-5D6E-409C-BE32-E72D297353CC}">
              <c16:uniqueId val="{00000001-2631-47E3-B625-16B88E6046B3}"/>
            </c:ext>
          </c:extLst>
        </c:ser>
        <c:ser>
          <c:idx val="3"/>
          <c:order val="2"/>
          <c:tx>
            <c:strRef>
              <c:f>Strategijų_palyginimas!$D$2</c:f>
              <c:strCache>
                <c:ptCount val="1"/>
                <c:pt idx="0">
                  <c:v>UAB „Swedbank investicijų valdymas“</c:v>
                </c:pt>
              </c:strCache>
            </c:strRef>
          </c:tx>
          <c:spPr>
            <a:ln w="44450">
              <a:solidFill>
                <a:srgbClr val="C00000"/>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Strategijų_palyginimas!$D$3:$D$51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95</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2-2631-47E3-B625-16B88E6046B3}"/>
            </c:ext>
          </c:extLst>
        </c:ser>
        <c:ser>
          <c:idx val="4"/>
          <c:order val="3"/>
          <c:tx>
            <c:strRef>
              <c:f>Strategijų_palyginimas!$E$2</c:f>
              <c:strCache>
                <c:ptCount val="1"/>
                <c:pt idx="0">
                  <c:v>Luminor investicijų valdymas UAB </c:v>
                </c:pt>
              </c:strCache>
            </c:strRef>
          </c:tx>
          <c:spPr>
            <a:ln w="44450">
              <a:solidFill>
                <a:srgbClr val="903F98"/>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Strategijų_palyginimas!$E$3:$E$51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10</c:v>
                </c:pt>
                <c:pt idx="46">
                  <c:v>10</c:v>
                </c:pt>
                <c:pt idx="47">
                  <c:v>10</c:v>
                </c:pt>
                <c:pt idx="48">
                  <c:v>10</c:v>
                </c:pt>
              </c:numCache>
            </c:numRef>
          </c:val>
          <c:smooth val="0"/>
          <c:extLst>
            <c:ext xmlns:c16="http://schemas.microsoft.com/office/drawing/2014/chart" uri="{C3380CC4-5D6E-409C-BE32-E72D297353CC}">
              <c16:uniqueId val="{00000003-2631-47E3-B625-16B88E6046B3}"/>
            </c:ext>
          </c:extLst>
        </c:ser>
        <c:ser>
          <c:idx val="5"/>
          <c:order val="4"/>
          <c:tx>
            <c:strRef>
              <c:f>Strategijų_palyginimas!$F$2</c:f>
              <c:strCache>
                <c:ptCount val="1"/>
                <c:pt idx="0">
                  <c:v>Allianz Lietuva gyvybės draudimas UAB</c:v>
                </c:pt>
              </c:strCache>
            </c:strRef>
          </c:tx>
          <c:spPr>
            <a:ln w="44450">
              <a:solidFill>
                <a:srgbClr val="FCAF17"/>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Strategijų_palyginimas!$F$3:$F$51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4-2631-47E3-B625-16B88E6046B3}"/>
            </c:ext>
          </c:extLst>
        </c:ser>
        <c:ser>
          <c:idx val="0"/>
          <c:order val="5"/>
          <c:tx>
            <c:strRef>
              <c:f>Strategijų_palyginimas!$G$2</c:f>
              <c:strCache>
                <c:ptCount val="1"/>
                <c:pt idx="0">
                  <c:v>Goindex, UAB</c:v>
                </c:pt>
              </c:strCache>
            </c:strRef>
          </c:tx>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Strategijų_palyginimas!$G$3:$G$51</c:f>
              <c:numCache>
                <c:formatCode>0</c:formatCode>
                <c:ptCount val="49"/>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90</c:v>
                </c:pt>
                <c:pt idx="36">
                  <c:v>80</c:v>
                </c:pt>
                <c:pt idx="37">
                  <c:v>70</c:v>
                </c:pt>
                <c:pt idx="38">
                  <c:v>60</c:v>
                </c:pt>
                <c:pt idx="39">
                  <c:v>50</c:v>
                </c:pt>
                <c:pt idx="40">
                  <c:v>40</c:v>
                </c:pt>
                <c:pt idx="41">
                  <c:v>30</c:v>
                </c:pt>
                <c:pt idx="42">
                  <c:v>20</c:v>
                </c:pt>
                <c:pt idx="43">
                  <c:v>10</c:v>
                </c:pt>
                <c:pt idx="44">
                  <c:v>0</c:v>
                </c:pt>
                <c:pt idx="45">
                  <c:v>0</c:v>
                </c:pt>
                <c:pt idx="46">
                  <c:v>0</c:v>
                </c:pt>
                <c:pt idx="47">
                  <c:v>0</c:v>
                </c:pt>
                <c:pt idx="48">
                  <c:v>0</c:v>
                </c:pt>
              </c:numCache>
            </c:numRef>
          </c:val>
          <c:smooth val="0"/>
          <c:extLst>
            <c:ext xmlns:c16="http://schemas.microsoft.com/office/drawing/2014/chart" uri="{C3380CC4-5D6E-409C-BE32-E72D297353CC}">
              <c16:uniqueId val="{00000001-4E1A-48DD-A783-BCE09CAD7F32}"/>
            </c:ext>
          </c:extLst>
        </c:ser>
        <c:dLbls>
          <c:showLegendKey val="0"/>
          <c:showVal val="0"/>
          <c:showCatName val="0"/>
          <c:showSerName val="0"/>
          <c:showPercent val="0"/>
          <c:showBubbleSize val="0"/>
        </c:dLbls>
        <c:smooth val="0"/>
        <c:axId val="160721408"/>
        <c:axId val="136887616"/>
      </c:lineChart>
      <c:catAx>
        <c:axId val="160721408"/>
        <c:scaling>
          <c:orientation val="minMax"/>
        </c:scaling>
        <c:delete val="0"/>
        <c:axPos val="b"/>
        <c:numFmt formatCode="0" sourceLinked="1"/>
        <c:majorTickMark val="none"/>
        <c:minorTickMark val="none"/>
        <c:tickLblPos val="nextTo"/>
        <c:crossAx val="136887616"/>
        <c:crosses val="autoZero"/>
        <c:auto val="1"/>
        <c:lblAlgn val="ctr"/>
        <c:lblOffset val="100"/>
        <c:noMultiLvlLbl val="0"/>
      </c:catAx>
      <c:valAx>
        <c:axId val="136887616"/>
        <c:scaling>
          <c:orientation val="minMax"/>
        </c:scaling>
        <c:delete val="0"/>
        <c:axPos val="l"/>
        <c:majorGridlines/>
        <c:title>
          <c:tx>
            <c:rich>
              <a:bodyPr/>
              <a:lstStyle/>
              <a:p>
                <a:pPr>
                  <a:defRPr/>
                </a:pPr>
                <a:r>
                  <a:rPr lang="lt-LT"/>
                  <a:t>Rizikingų turto klasių dalis</a:t>
                </a:r>
              </a:p>
            </c:rich>
          </c:tx>
          <c:layout>
            <c:manualLayout>
              <c:xMode val="edge"/>
              <c:yMode val="edge"/>
              <c:x val="7.6252713500843134E-3"/>
              <c:y val="0.41857618547085085"/>
            </c:manualLayout>
          </c:layout>
          <c:overlay val="0"/>
        </c:title>
        <c:numFmt formatCode="0" sourceLinked="1"/>
        <c:majorTickMark val="none"/>
        <c:minorTickMark val="none"/>
        <c:tickLblPos val="nextTo"/>
        <c:crossAx val="160721408"/>
        <c:crosses val="autoZero"/>
        <c:crossBetween val="between"/>
      </c:valAx>
      <c:spPr>
        <a:ln w="57150"/>
      </c:spPr>
    </c:plotArea>
    <c:legend>
      <c:legendPos val="r"/>
      <c:overlay val="0"/>
    </c:legend>
    <c:plotVisOnly val="1"/>
    <c:dispBlanksAs val="gap"/>
    <c:showDLblsOverMax val="0"/>
  </c:chart>
  <c:txPr>
    <a:bodyPr/>
    <a:lstStyle/>
    <a:p>
      <a:pPr>
        <a:defRPr>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0</xdr:col>
      <xdr:colOff>0</xdr:colOff>
      <xdr:row>27</xdr:row>
      <xdr:rowOff>112814</xdr:rowOff>
    </xdr:from>
    <xdr:to>
      <xdr:col>3</xdr:col>
      <xdr:colOff>1066107</xdr:colOff>
      <xdr:row>54</xdr:row>
      <xdr:rowOff>137407</xdr:rowOff>
    </xdr:to>
    <xdr:graphicFrame macro="">
      <xdr:nvGraphicFramePr>
        <xdr:cNvPr id="2" name="Chart 1">
          <a:extLst>
            <a:ext uri="{FF2B5EF4-FFF2-40B4-BE49-F238E27FC236}">
              <a16:creationId xmlns:a16="http://schemas.microsoft.com/office/drawing/2014/main" id="{26A6A7CE-D90F-4D52-9967-78960BB21A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122707</xdr:rowOff>
    </xdr:from>
    <xdr:to>
      <xdr:col>4</xdr:col>
      <xdr:colOff>27709</xdr:colOff>
      <xdr:row>86</xdr:row>
      <xdr:rowOff>69268</xdr:rowOff>
    </xdr:to>
    <xdr:graphicFrame macro="">
      <xdr:nvGraphicFramePr>
        <xdr:cNvPr id="3" name="Chart 2">
          <a:extLst>
            <a:ext uri="{FF2B5EF4-FFF2-40B4-BE49-F238E27FC236}">
              <a16:creationId xmlns:a16="http://schemas.microsoft.com/office/drawing/2014/main" id="{EFF1657B-53C8-44D7-B205-95F69D36DF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27</xdr:row>
      <xdr:rowOff>112814</xdr:rowOff>
    </xdr:from>
    <xdr:to>
      <xdr:col>3</xdr:col>
      <xdr:colOff>1066107</xdr:colOff>
      <xdr:row>54</xdr:row>
      <xdr:rowOff>137407</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122707</xdr:rowOff>
    </xdr:from>
    <xdr:to>
      <xdr:col>4</xdr:col>
      <xdr:colOff>27709</xdr:colOff>
      <xdr:row>86</xdr:row>
      <xdr:rowOff>69268</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27</xdr:row>
      <xdr:rowOff>109845</xdr:rowOff>
    </xdr:from>
    <xdr:to>
      <xdr:col>4</xdr:col>
      <xdr:colOff>1025236</xdr:colOff>
      <xdr:row>55</xdr:row>
      <xdr:rowOff>55416</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152400</xdr:rowOff>
    </xdr:from>
    <xdr:to>
      <xdr:col>4</xdr:col>
      <xdr:colOff>1094509</xdr:colOff>
      <xdr:row>86</xdr:row>
      <xdr:rowOff>67294</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27</xdr:row>
      <xdr:rowOff>91044</xdr:rowOff>
    </xdr:from>
    <xdr:to>
      <xdr:col>5</xdr:col>
      <xdr:colOff>0</xdr:colOff>
      <xdr:row>54</xdr:row>
      <xdr:rowOff>111827</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64321</xdr:rowOff>
    </xdr:from>
    <xdr:to>
      <xdr:col>5</xdr:col>
      <xdr:colOff>41564</xdr:colOff>
      <xdr:row>86</xdr:row>
      <xdr:rowOff>8903</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27</xdr:row>
      <xdr:rowOff>77190</xdr:rowOff>
    </xdr:from>
    <xdr:to>
      <xdr:col>4</xdr:col>
      <xdr:colOff>1025236</xdr:colOff>
      <xdr:row>54</xdr:row>
      <xdr:rowOff>97973</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125678</xdr:rowOff>
    </xdr:from>
    <xdr:to>
      <xdr:col>4</xdr:col>
      <xdr:colOff>1020288</xdr:colOff>
      <xdr:row>86</xdr:row>
      <xdr:rowOff>72239</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27</xdr:row>
      <xdr:rowOff>168235</xdr:rowOff>
    </xdr:from>
    <xdr:to>
      <xdr:col>4</xdr:col>
      <xdr:colOff>1025236</xdr:colOff>
      <xdr:row>54</xdr:row>
      <xdr:rowOff>189018</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84115</xdr:rowOff>
    </xdr:from>
    <xdr:to>
      <xdr:col>4</xdr:col>
      <xdr:colOff>1094509</xdr:colOff>
      <xdr:row>86</xdr:row>
      <xdr:rowOff>30676</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27</xdr:row>
      <xdr:rowOff>90055</xdr:rowOff>
    </xdr:from>
    <xdr:to>
      <xdr:col>4</xdr:col>
      <xdr:colOff>1025236</xdr:colOff>
      <xdr:row>54</xdr:row>
      <xdr:rowOff>110838</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103909</xdr:rowOff>
    </xdr:from>
    <xdr:to>
      <xdr:col>4</xdr:col>
      <xdr:colOff>1094509</xdr:colOff>
      <xdr:row>86</xdr:row>
      <xdr:rowOff>50470</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27</xdr:row>
      <xdr:rowOff>151409</xdr:rowOff>
    </xdr:from>
    <xdr:to>
      <xdr:col>4</xdr:col>
      <xdr:colOff>1025236</xdr:colOff>
      <xdr:row>54</xdr:row>
      <xdr:rowOff>172192</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147449</xdr:rowOff>
    </xdr:from>
    <xdr:to>
      <xdr:col>4</xdr:col>
      <xdr:colOff>1094509</xdr:colOff>
      <xdr:row>86</xdr:row>
      <xdr:rowOff>94010</xdr:rowOff>
    </xdr:to>
    <xdr:graphicFrame macro="">
      <xdr:nvGraphicFramePr>
        <xdr:cNvPr id="3" name="Chart 2">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27</xdr:row>
      <xdr:rowOff>74222</xdr:rowOff>
    </xdr:from>
    <xdr:to>
      <xdr:col>4</xdr:col>
      <xdr:colOff>1025236</xdr:colOff>
      <xdr:row>54</xdr:row>
      <xdr:rowOff>95005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39584</xdr:rowOff>
    </xdr:from>
    <xdr:to>
      <xdr:col>4</xdr:col>
      <xdr:colOff>1094509</xdr:colOff>
      <xdr:row>85</xdr:row>
      <xdr:rowOff>178129</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7</xdr:col>
      <xdr:colOff>108856</xdr:colOff>
      <xdr:row>2</xdr:row>
      <xdr:rowOff>38099</xdr:rowOff>
    </xdr:from>
    <xdr:to>
      <xdr:col>29</xdr:col>
      <xdr:colOff>21772</xdr:colOff>
      <xdr:row>44</xdr:row>
      <xdr:rowOff>21771</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7D"/>
  </sheetPr>
  <dimension ref="A1:AD92"/>
  <sheetViews>
    <sheetView showGridLines="0" tabSelected="1" zoomScale="80" zoomScaleNormal="80" workbookViewId="0">
      <pane xSplit="3" ySplit="2" topLeftCell="D3" activePane="bottomRight" state="frozen"/>
      <selection activeCell="D39" sqref="D39"/>
      <selection pane="topRight" activeCell="D39" sqref="D39"/>
      <selection pane="bottomLeft" activeCell="D39" sqref="D39"/>
      <selection pane="bottomRight" activeCell="G20" sqref="G20"/>
    </sheetView>
  </sheetViews>
  <sheetFormatPr defaultRowHeight="14.5" x14ac:dyDescent="0.35"/>
  <cols>
    <col min="1" max="1" width="46.453125" style="7" customWidth="1"/>
    <col min="2" max="2" width="16.453125" style="7" customWidth="1"/>
    <col min="3" max="3" width="70.453125" style="7" customWidth="1"/>
    <col min="4" max="4" width="12.81640625" customWidth="1"/>
    <col min="5" max="5" width="13.54296875" customWidth="1"/>
    <col min="6" max="6" width="14.81640625" customWidth="1"/>
    <col min="7" max="7" width="15.453125" customWidth="1"/>
    <col min="8" max="8" width="1.81640625" customWidth="1"/>
    <col min="9" max="9" width="17.26953125" bestFit="1" customWidth="1"/>
    <col min="10" max="10" width="17.26953125" customWidth="1"/>
    <col min="11" max="11" width="17.54296875" customWidth="1"/>
    <col min="12" max="13" width="17.81640625" customWidth="1"/>
    <col min="14" max="14" width="17.26953125" bestFit="1" customWidth="1"/>
    <col min="15" max="16" width="17.26953125" customWidth="1"/>
    <col min="17" max="18" width="17.453125" customWidth="1"/>
    <col min="19" max="19" width="1.81640625" customWidth="1"/>
    <col min="20" max="20" width="17.1796875" customWidth="1"/>
    <col min="21" max="21" width="19.1796875" customWidth="1"/>
    <col min="22" max="22" width="1.81640625" customWidth="1"/>
    <col min="23" max="23" width="14.453125" bestFit="1" customWidth="1"/>
    <col min="24" max="24" width="18.453125" bestFit="1" customWidth="1"/>
    <col min="25" max="25" width="15.54296875" bestFit="1" customWidth="1"/>
  </cols>
  <sheetData>
    <row r="1" spans="1:27" ht="20.149999999999999" customHeight="1" x14ac:dyDescent="0.35">
      <c r="A1" s="92">
        <v>45747</v>
      </c>
      <c r="B1" s="24"/>
      <c r="C1" s="25"/>
      <c r="D1" s="98" t="s">
        <v>90</v>
      </c>
      <c r="E1" s="29" t="s">
        <v>75</v>
      </c>
      <c r="F1" s="98" t="s">
        <v>100</v>
      </c>
      <c r="G1" s="98" t="s">
        <v>71</v>
      </c>
      <c r="H1" s="26"/>
      <c r="I1" s="96" t="s">
        <v>72</v>
      </c>
      <c r="J1" s="102"/>
      <c r="K1" s="102"/>
      <c r="L1" s="102"/>
      <c r="M1" s="102"/>
      <c r="N1" s="102"/>
      <c r="O1" s="102"/>
      <c r="P1" s="102"/>
      <c r="Q1" s="102"/>
      <c r="R1" s="102"/>
      <c r="S1" s="27"/>
      <c r="T1" s="100" t="s">
        <v>97</v>
      </c>
      <c r="U1" s="101"/>
      <c r="W1" s="96" t="s">
        <v>188</v>
      </c>
      <c r="X1" s="97"/>
      <c r="Y1" s="97"/>
    </row>
    <row r="2" spans="1:27" ht="85" customHeight="1" x14ac:dyDescent="0.35">
      <c r="A2" s="23" t="s">
        <v>42</v>
      </c>
      <c r="B2" s="23" t="s">
        <v>43</v>
      </c>
      <c r="C2" s="23" t="s">
        <v>44</v>
      </c>
      <c r="D2" s="99"/>
      <c r="E2" s="23" t="s">
        <v>99</v>
      </c>
      <c r="F2" s="99"/>
      <c r="G2" s="99"/>
      <c r="H2" s="26"/>
      <c r="I2" s="94" t="s">
        <v>92</v>
      </c>
      <c r="J2" s="23" t="s">
        <v>183</v>
      </c>
      <c r="K2" s="23" t="s">
        <v>157</v>
      </c>
      <c r="L2" s="23" t="s">
        <v>177</v>
      </c>
      <c r="M2" s="23" t="s">
        <v>185</v>
      </c>
      <c r="N2" s="23" t="s">
        <v>94</v>
      </c>
      <c r="O2" s="23" t="s">
        <v>184</v>
      </c>
      <c r="P2" s="23" t="s">
        <v>158</v>
      </c>
      <c r="Q2" s="23" t="s">
        <v>178</v>
      </c>
      <c r="R2" s="23" t="s">
        <v>186</v>
      </c>
      <c r="S2" s="28"/>
      <c r="T2" s="23" t="s">
        <v>111</v>
      </c>
      <c r="U2" s="23" t="s">
        <v>112</v>
      </c>
      <c r="W2" s="23" t="s">
        <v>149</v>
      </c>
      <c r="X2" s="23" t="s">
        <v>150</v>
      </c>
      <c r="Y2" s="23" t="s">
        <v>151</v>
      </c>
      <c r="Z2" s="46"/>
    </row>
    <row r="3" spans="1:27" s="45" customFormat="1" ht="18.75" customHeight="1" x14ac:dyDescent="0.35">
      <c r="A3" s="95" t="s">
        <v>182</v>
      </c>
      <c r="B3" s="95"/>
      <c r="C3" s="95"/>
      <c r="D3" s="93"/>
      <c r="E3" s="42"/>
      <c r="F3" s="43"/>
      <c r="G3" s="44" t="s">
        <v>98</v>
      </c>
      <c r="H3" s="42"/>
      <c r="I3" s="64">
        <v>-7.7217924104345999</v>
      </c>
      <c r="J3" s="64" t="s">
        <v>161</v>
      </c>
      <c r="K3" s="64" t="s">
        <v>161</v>
      </c>
      <c r="L3" s="64" t="s">
        <v>161</v>
      </c>
      <c r="M3" s="64">
        <v>-7.7217924104345999</v>
      </c>
      <c r="N3" s="64">
        <v>-5.577284950716658</v>
      </c>
      <c r="O3" s="64" t="s">
        <v>161</v>
      </c>
      <c r="P3" s="64" t="s">
        <v>161</v>
      </c>
      <c r="Q3" s="64" t="s">
        <v>161</v>
      </c>
      <c r="R3" s="64">
        <v>-5.577284950716658</v>
      </c>
      <c r="S3" s="42"/>
      <c r="T3" s="64" t="s">
        <v>161</v>
      </c>
      <c r="U3" s="64" t="s">
        <v>161</v>
      </c>
      <c r="W3"/>
      <c r="X3"/>
      <c r="Y3"/>
    </row>
    <row r="4" spans="1:27" ht="14.5" customHeight="1" x14ac:dyDescent="0.35">
      <c r="A4" s="30" t="s">
        <v>36</v>
      </c>
      <c r="B4" s="30" t="s">
        <v>166</v>
      </c>
      <c r="C4" s="30" t="s">
        <v>169</v>
      </c>
      <c r="D4" s="88" t="s">
        <v>168</v>
      </c>
      <c r="E4" s="32">
        <v>90</v>
      </c>
      <c r="F4" s="31">
        <v>2.29546538</v>
      </c>
      <c r="G4" s="33">
        <v>4502</v>
      </c>
      <c r="H4" s="21"/>
      <c r="I4" s="34">
        <v>-7.66</v>
      </c>
      <c r="J4" s="34" t="s">
        <v>161</v>
      </c>
      <c r="K4" s="34" t="s">
        <v>161</v>
      </c>
      <c r="L4" s="34" t="s">
        <v>161</v>
      </c>
      <c r="M4" s="34">
        <v>-7.66</v>
      </c>
      <c r="N4" s="34">
        <v>-4.6500999999999904</v>
      </c>
      <c r="O4" s="34" t="s">
        <v>161</v>
      </c>
      <c r="P4" s="34" t="s">
        <v>161</v>
      </c>
      <c r="Q4" s="34" t="s">
        <v>161</v>
      </c>
      <c r="R4" s="34">
        <v>-4.6500999999999904</v>
      </c>
      <c r="S4" s="22"/>
      <c r="T4" s="34" t="s">
        <v>161</v>
      </c>
      <c r="U4" s="34" t="s">
        <v>161</v>
      </c>
      <c r="W4" s="89" t="s">
        <v>91</v>
      </c>
      <c r="X4" s="89" t="s">
        <v>91</v>
      </c>
      <c r="Y4" s="89" t="s">
        <v>91</v>
      </c>
      <c r="Z4" s="56"/>
      <c r="AA4" s="56"/>
    </row>
    <row r="5" spans="1:27" ht="14.5" customHeight="1" x14ac:dyDescent="0.35">
      <c r="A5" s="30" t="s">
        <v>160</v>
      </c>
      <c r="B5" s="30" t="s">
        <v>167</v>
      </c>
      <c r="C5" s="30" t="s">
        <v>174</v>
      </c>
      <c r="D5" s="88" t="s">
        <v>168</v>
      </c>
      <c r="E5" s="32">
        <v>97</v>
      </c>
      <c r="F5" s="31">
        <v>0.94698043619999994</v>
      </c>
      <c r="G5" s="33">
        <v>2389</v>
      </c>
      <c r="H5" s="21"/>
      <c r="I5" s="34">
        <v>-7.399999999999995</v>
      </c>
      <c r="J5" s="34" t="s">
        <v>161</v>
      </c>
      <c r="K5" s="34" t="s">
        <v>161</v>
      </c>
      <c r="L5" s="34" t="s">
        <v>161</v>
      </c>
      <c r="M5" s="34">
        <v>-7.399999999999995</v>
      </c>
      <c r="N5" s="34">
        <v>-6.1423999999999923</v>
      </c>
      <c r="O5" s="34" t="s">
        <v>161</v>
      </c>
      <c r="P5" s="34" t="s">
        <v>161</v>
      </c>
      <c r="Q5" s="34" t="s">
        <v>161</v>
      </c>
      <c r="R5" s="34">
        <v>-6.1423999999999923</v>
      </c>
      <c r="S5" s="22"/>
      <c r="T5" s="34" t="s">
        <v>161</v>
      </c>
      <c r="U5" s="34" t="s">
        <v>161</v>
      </c>
      <c r="W5" s="89" t="s">
        <v>91</v>
      </c>
      <c r="X5" s="89" t="s">
        <v>91</v>
      </c>
      <c r="Y5" s="89" t="s">
        <v>91</v>
      </c>
      <c r="Z5" s="56"/>
      <c r="AA5" s="56"/>
    </row>
    <row r="6" spans="1:27" ht="14.5" customHeight="1" x14ac:dyDescent="0.35">
      <c r="A6" s="30" t="s">
        <v>88</v>
      </c>
      <c r="B6" s="30" t="s">
        <v>162</v>
      </c>
      <c r="C6" s="30" t="s">
        <v>170</v>
      </c>
      <c r="D6" s="88" t="s">
        <v>168</v>
      </c>
      <c r="E6" s="32">
        <v>98</v>
      </c>
      <c r="F6" s="31">
        <v>1.15807756</v>
      </c>
      <c r="G6" s="33">
        <v>1320</v>
      </c>
      <c r="H6" s="21"/>
      <c r="I6" s="34">
        <v>-7.7999999999999954</v>
      </c>
      <c r="J6" s="34" t="s">
        <v>161</v>
      </c>
      <c r="K6" s="34" t="s">
        <v>161</v>
      </c>
      <c r="L6" s="34" t="s">
        <v>161</v>
      </c>
      <c r="M6" s="34">
        <v>-7.7999999999999954</v>
      </c>
      <c r="N6" s="34">
        <v>-5.9424999999999955</v>
      </c>
      <c r="O6" s="34" t="s">
        <v>161</v>
      </c>
      <c r="P6" s="34" t="s">
        <v>161</v>
      </c>
      <c r="Q6" s="34" t="s">
        <v>161</v>
      </c>
      <c r="R6" s="34">
        <v>-5.9424999999999955</v>
      </c>
      <c r="S6" s="22"/>
      <c r="T6" s="34" t="s">
        <v>161</v>
      </c>
      <c r="U6" s="34" t="s">
        <v>161</v>
      </c>
      <c r="W6" s="89" t="s">
        <v>91</v>
      </c>
      <c r="X6" s="89" t="s">
        <v>91</v>
      </c>
      <c r="Y6" s="89" t="s">
        <v>91</v>
      </c>
      <c r="Z6" s="56"/>
      <c r="AA6" s="56"/>
    </row>
    <row r="7" spans="1:27" ht="14.5" customHeight="1" x14ac:dyDescent="0.35">
      <c r="A7" s="30" t="s">
        <v>89</v>
      </c>
      <c r="B7" s="30" t="s">
        <v>163</v>
      </c>
      <c r="C7" s="30" t="s">
        <v>172</v>
      </c>
      <c r="D7" s="88" t="s">
        <v>168</v>
      </c>
      <c r="E7" s="32">
        <v>97</v>
      </c>
      <c r="F7" s="31">
        <v>1.577888</v>
      </c>
      <c r="G7" s="33">
        <v>1874</v>
      </c>
      <c r="H7" s="21"/>
      <c r="I7" s="34">
        <v>-8.4200000000000053</v>
      </c>
      <c r="J7" s="34" t="s">
        <v>161</v>
      </c>
      <c r="K7" s="34" t="s">
        <v>161</v>
      </c>
      <c r="L7" s="34" t="s">
        <v>161</v>
      </c>
      <c r="M7" s="34">
        <v>-8.4200000000000053</v>
      </c>
      <c r="N7" s="34">
        <v>-5.7603999999999989</v>
      </c>
      <c r="O7" s="34" t="s">
        <v>161</v>
      </c>
      <c r="P7" s="34" t="s">
        <v>161</v>
      </c>
      <c r="Q7" s="34" t="s">
        <v>161</v>
      </c>
      <c r="R7" s="34">
        <v>-5.7603999999999989</v>
      </c>
      <c r="S7" s="22"/>
      <c r="T7" s="34" t="s">
        <v>161</v>
      </c>
      <c r="U7" s="34" t="s">
        <v>161</v>
      </c>
      <c r="W7" s="89" t="s">
        <v>91</v>
      </c>
      <c r="X7" s="89" t="s">
        <v>91</v>
      </c>
      <c r="Y7" s="89" t="s">
        <v>91</v>
      </c>
      <c r="Z7" s="56"/>
      <c r="AA7" s="56"/>
    </row>
    <row r="8" spans="1:27" ht="14.5" customHeight="1" x14ac:dyDescent="0.35">
      <c r="A8" s="30" t="s">
        <v>116</v>
      </c>
      <c r="B8" s="30" t="s">
        <v>165</v>
      </c>
      <c r="C8" s="30" t="s">
        <v>173</v>
      </c>
      <c r="D8" s="88" t="s">
        <v>168</v>
      </c>
      <c r="E8" s="32">
        <v>90</v>
      </c>
      <c r="F8" s="31">
        <v>0.94514975000000001</v>
      </c>
      <c r="G8" s="33">
        <v>1284</v>
      </c>
      <c r="H8" s="21"/>
      <c r="I8" s="34">
        <v>-8.1899999999999977</v>
      </c>
      <c r="J8" s="34" t="s">
        <v>161</v>
      </c>
      <c r="K8" s="34" t="s">
        <v>161</v>
      </c>
      <c r="L8" s="34" t="s">
        <v>161</v>
      </c>
      <c r="M8" s="34">
        <v>-8.1899999999999977</v>
      </c>
      <c r="N8" s="34">
        <v>-5.062600000000006</v>
      </c>
      <c r="O8" s="34" t="s">
        <v>161</v>
      </c>
      <c r="P8" s="34" t="s">
        <v>161</v>
      </c>
      <c r="Q8" s="34" t="s">
        <v>161</v>
      </c>
      <c r="R8" s="34">
        <v>-5.062600000000006</v>
      </c>
      <c r="S8" s="22"/>
      <c r="T8" s="34" t="s">
        <v>161</v>
      </c>
      <c r="U8" s="34" t="s">
        <v>161</v>
      </c>
      <c r="W8" s="89" t="s">
        <v>91</v>
      </c>
      <c r="X8" s="89" t="s">
        <v>91</v>
      </c>
      <c r="Y8" s="89" t="s">
        <v>91</v>
      </c>
      <c r="AA8" s="56"/>
    </row>
    <row r="9" spans="1:27" ht="14.5" customHeight="1" x14ac:dyDescent="0.35">
      <c r="A9" s="30" t="s">
        <v>154</v>
      </c>
      <c r="B9" s="30" t="s">
        <v>164</v>
      </c>
      <c r="C9" s="30" t="s">
        <v>171</v>
      </c>
      <c r="D9" s="88" t="s">
        <v>168</v>
      </c>
      <c r="E9" s="32">
        <v>100</v>
      </c>
      <c r="F9" s="31">
        <v>1.9744626903</v>
      </c>
      <c r="G9" s="33">
        <v>2699</v>
      </c>
      <c r="H9" s="21"/>
      <c r="I9" s="34">
        <v>-7.1200000000000045</v>
      </c>
      <c r="J9" s="34" t="s">
        <v>161</v>
      </c>
      <c r="K9" s="34" t="s">
        <v>161</v>
      </c>
      <c r="L9" s="34" t="s">
        <v>161</v>
      </c>
      <c r="M9" s="34">
        <v>-7.1200000000000045</v>
      </c>
      <c r="N9" s="34">
        <v>-6.2699999999999978</v>
      </c>
      <c r="O9" s="34" t="s">
        <v>161</v>
      </c>
      <c r="P9" s="34" t="s">
        <v>161</v>
      </c>
      <c r="Q9" s="34" t="s">
        <v>161</v>
      </c>
      <c r="R9" s="34">
        <v>-6.2699999999999978</v>
      </c>
      <c r="S9" s="22"/>
      <c r="T9" s="34" t="s">
        <v>161</v>
      </c>
      <c r="U9" s="34" t="s">
        <v>161</v>
      </c>
      <c r="W9" s="89" t="s">
        <v>91</v>
      </c>
      <c r="X9" s="89" t="s">
        <v>91</v>
      </c>
      <c r="Y9" s="89" t="s">
        <v>91</v>
      </c>
      <c r="Z9" s="56"/>
      <c r="AA9" s="56"/>
    </row>
    <row r="10" spans="1:27" s="45" customFormat="1" ht="18.649999999999999" customHeight="1" x14ac:dyDescent="0.35">
      <c r="A10" s="95" t="s">
        <v>45</v>
      </c>
      <c r="B10" s="95"/>
      <c r="C10" s="95"/>
      <c r="D10" s="93"/>
      <c r="E10" s="42"/>
      <c r="F10" s="43"/>
      <c r="G10" s="44" t="s">
        <v>98</v>
      </c>
      <c r="H10" s="42"/>
      <c r="I10" s="64">
        <v>-6.0935879791225718</v>
      </c>
      <c r="J10" s="64">
        <v>3.6033378985790132</v>
      </c>
      <c r="K10" s="64">
        <v>5.3437144721193741</v>
      </c>
      <c r="L10" s="64">
        <v>12.230604285602487</v>
      </c>
      <c r="M10" s="64">
        <v>9.7807617166013685</v>
      </c>
      <c r="N10" s="64">
        <v>-5.2365235216787642</v>
      </c>
      <c r="O10" s="64">
        <v>6.6522306482109634</v>
      </c>
      <c r="P10" s="64">
        <v>7.3696244494022913</v>
      </c>
      <c r="Q10" s="64">
        <v>14.232382483221389</v>
      </c>
      <c r="R10" s="64">
        <v>11.358360852735528</v>
      </c>
      <c r="S10" s="42"/>
      <c r="T10" s="42"/>
      <c r="U10" s="42"/>
      <c r="W10"/>
      <c r="X10"/>
      <c r="Y10"/>
    </row>
    <row r="11" spans="1:27" ht="14.5" customHeight="1" x14ac:dyDescent="0.35">
      <c r="A11" s="30" t="s">
        <v>36</v>
      </c>
      <c r="B11" s="30" t="s">
        <v>4</v>
      </c>
      <c r="C11" s="30" t="s">
        <v>46</v>
      </c>
      <c r="D11" s="62" t="s">
        <v>175</v>
      </c>
      <c r="E11" s="32">
        <v>90</v>
      </c>
      <c r="F11" s="31">
        <v>28.01076608</v>
      </c>
      <c r="G11" s="33">
        <v>13679</v>
      </c>
      <c r="H11" s="21"/>
      <c r="I11" s="34">
        <v>-5.9858593376216014</v>
      </c>
      <c r="J11" s="34">
        <v>4.7007281984488669</v>
      </c>
      <c r="K11" s="34">
        <v>5.3644244163237875</v>
      </c>
      <c r="L11" s="34">
        <v>11.685568175663551</v>
      </c>
      <c r="M11" s="34">
        <v>9.5478326906391011</v>
      </c>
      <c r="N11" s="34">
        <v>-4.6316245271199925</v>
      </c>
      <c r="O11" s="34">
        <v>7.0280186057838812</v>
      </c>
      <c r="P11" s="34">
        <v>7.0212531801652878</v>
      </c>
      <c r="Q11" s="34">
        <v>13.271244180296971</v>
      </c>
      <c r="R11" s="34">
        <v>10.798003303611448</v>
      </c>
      <c r="S11" s="22"/>
      <c r="T11" s="34">
        <v>11.267485379810841</v>
      </c>
      <c r="U11" s="34">
        <v>12.258378155523939</v>
      </c>
      <c r="W11" s="80">
        <v>0.49</v>
      </c>
      <c r="X11" s="80">
        <v>0.7</v>
      </c>
      <c r="Y11" s="80" t="s">
        <v>91</v>
      </c>
      <c r="Z11" s="56"/>
      <c r="AA11" s="56"/>
    </row>
    <row r="12" spans="1:27" ht="14.5" customHeight="1" x14ac:dyDescent="0.35">
      <c r="A12" s="30" t="s">
        <v>160</v>
      </c>
      <c r="B12" s="30" t="s">
        <v>2</v>
      </c>
      <c r="C12" s="30" t="s">
        <v>124</v>
      </c>
      <c r="D12" s="62" t="s">
        <v>175</v>
      </c>
      <c r="E12" s="32">
        <v>97</v>
      </c>
      <c r="F12" s="31">
        <v>46.9469461419</v>
      </c>
      <c r="G12" s="33">
        <v>18430</v>
      </c>
      <c r="H12" s="21"/>
      <c r="I12" s="34">
        <v>-4.727103094386564</v>
      </c>
      <c r="J12" s="34">
        <v>4.9862919808087769</v>
      </c>
      <c r="K12" s="34">
        <v>6.0826455202224183</v>
      </c>
      <c r="L12" s="34">
        <v>12.682089589780121</v>
      </c>
      <c r="M12" s="34">
        <v>10.226282252827023</v>
      </c>
      <c r="N12" s="34">
        <v>-5.5981660149772905</v>
      </c>
      <c r="O12" s="34">
        <v>5.2603630883470531</v>
      </c>
      <c r="P12" s="34">
        <v>6.6665544138813759</v>
      </c>
      <c r="Q12" s="34">
        <v>14.381379986800313</v>
      </c>
      <c r="R12" s="34">
        <v>11.3502730202097</v>
      </c>
      <c r="S12" s="22"/>
      <c r="T12" s="34">
        <v>10.95207212534253</v>
      </c>
      <c r="U12" s="34">
        <v>13.437185876851871</v>
      </c>
      <c r="W12" s="80">
        <v>0.5</v>
      </c>
      <c r="X12" s="80">
        <v>1.06</v>
      </c>
      <c r="Y12" s="80">
        <v>1.06</v>
      </c>
      <c r="Z12" s="56"/>
      <c r="AA12" s="56"/>
    </row>
    <row r="13" spans="1:27" ht="14.5" customHeight="1" x14ac:dyDescent="0.35">
      <c r="A13" s="30" t="s">
        <v>88</v>
      </c>
      <c r="B13" s="30" t="s">
        <v>1</v>
      </c>
      <c r="C13" s="30" t="s">
        <v>47</v>
      </c>
      <c r="D13" s="62" t="s">
        <v>175</v>
      </c>
      <c r="E13" s="32">
        <v>98</v>
      </c>
      <c r="F13" s="31">
        <v>63.625856520000006</v>
      </c>
      <c r="G13" s="33">
        <v>21627</v>
      </c>
      <c r="H13" s="21"/>
      <c r="I13" s="34">
        <v>-5.9260389643420286</v>
      </c>
      <c r="J13" s="34">
        <v>5.2889268431540071</v>
      </c>
      <c r="K13" s="34">
        <v>5.4147165184773804</v>
      </c>
      <c r="L13" s="34">
        <v>12.563370337338032</v>
      </c>
      <c r="M13" s="34">
        <v>10.334389059350046</v>
      </c>
      <c r="N13" s="34">
        <v>-5.3594964112851802</v>
      </c>
      <c r="O13" s="34">
        <v>7.5374052979324313</v>
      </c>
      <c r="P13" s="34">
        <v>8.3174315055962289</v>
      </c>
      <c r="Q13" s="34">
        <v>15.480691254052626</v>
      </c>
      <c r="R13" s="34">
        <v>12.578252777300559</v>
      </c>
      <c r="S13" s="22"/>
      <c r="T13" s="34">
        <v>12.30631479324671</v>
      </c>
      <c r="U13" s="34">
        <v>13.888440691159417</v>
      </c>
      <c r="W13" s="80">
        <v>0.5</v>
      </c>
      <c r="X13" s="80" t="s">
        <v>91</v>
      </c>
      <c r="Y13" s="80">
        <v>0.78</v>
      </c>
      <c r="Z13" s="56"/>
      <c r="AA13" s="56"/>
    </row>
    <row r="14" spans="1:27" ht="14.5" customHeight="1" x14ac:dyDescent="0.35">
      <c r="A14" s="30" t="s">
        <v>89</v>
      </c>
      <c r="B14" s="30" t="s">
        <v>3</v>
      </c>
      <c r="C14" s="30" t="s">
        <v>102</v>
      </c>
      <c r="D14" s="62" t="s">
        <v>175</v>
      </c>
      <c r="E14" s="32">
        <v>97</v>
      </c>
      <c r="F14" s="31">
        <v>143.98318269000001</v>
      </c>
      <c r="G14" s="33">
        <v>49696</v>
      </c>
      <c r="H14" s="21"/>
      <c r="I14" s="34">
        <v>-6.4075295118579234</v>
      </c>
      <c r="J14" s="34">
        <v>1.863533769315362</v>
      </c>
      <c r="K14" s="34">
        <v>4.9572311536441038</v>
      </c>
      <c r="L14" s="34">
        <v>12.018580261729594</v>
      </c>
      <c r="M14" s="34">
        <v>9.856419821641671</v>
      </c>
      <c r="N14" s="34">
        <v>-5.2711946330464388</v>
      </c>
      <c r="O14" s="34">
        <v>7.1140092288797696</v>
      </c>
      <c r="P14" s="34">
        <v>7.5608144383815468</v>
      </c>
      <c r="Q14" s="34">
        <v>14.092727675346284</v>
      </c>
      <c r="R14" s="34">
        <v>11.620095651055596</v>
      </c>
      <c r="S14" s="22"/>
      <c r="T14" s="34">
        <v>13.015003387496392</v>
      </c>
      <c r="U14" s="34">
        <v>13.576765114175316</v>
      </c>
      <c r="W14" s="80">
        <v>0.41000000000000003</v>
      </c>
      <c r="X14" s="80" t="s">
        <v>91</v>
      </c>
      <c r="Y14" s="80">
        <v>0.66990000000000005</v>
      </c>
      <c r="Z14" s="56"/>
      <c r="AA14" s="56"/>
    </row>
    <row r="15" spans="1:27" ht="14.5" customHeight="1" x14ac:dyDescent="0.35">
      <c r="A15" s="30" t="s">
        <v>116</v>
      </c>
      <c r="B15" s="30" t="s">
        <v>5</v>
      </c>
      <c r="C15" s="30" t="s">
        <v>117</v>
      </c>
      <c r="D15" s="62" t="s">
        <v>175</v>
      </c>
      <c r="E15" s="32">
        <v>90</v>
      </c>
      <c r="F15" s="31">
        <v>50.881279299999996</v>
      </c>
      <c r="G15" s="33">
        <v>19999</v>
      </c>
      <c r="H15" s="21"/>
      <c r="I15" s="34">
        <v>-6.9111645913989666</v>
      </c>
      <c r="J15" s="34">
        <v>3.4236224133922466</v>
      </c>
      <c r="K15" s="34">
        <v>5.6553983553496945</v>
      </c>
      <c r="L15" s="34">
        <v>12.297945191142045</v>
      </c>
      <c r="M15" s="34">
        <v>9.6545631686024933</v>
      </c>
      <c r="N15" s="34">
        <v>-4.7315420963134684</v>
      </c>
      <c r="O15" s="34">
        <v>5.5960224396018443</v>
      </c>
      <c r="P15" s="34">
        <v>6.4838754612756455</v>
      </c>
      <c r="Q15" s="34">
        <v>13.45823668394701</v>
      </c>
      <c r="R15" s="34">
        <v>11.044115261901677</v>
      </c>
      <c r="S15" s="22"/>
      <c r="T15" s="34">
        <v>12.612964906472374</v>
      </c>
      <c r="U15" s="34">
        <v>13.208749704590673</v>
      </c>
      <c r="W15" s="80">
        <v>0.5</v>
      </c>
      <c r="X15" s="80">
        <v>1.1100000000000001</v>
      </c>
      <c r="Y15" s="80" t="s">
        <v>91</v>
      </c>
      <c r="Z15" s="56"/>
      <c r="AA15" s="56"/>
    </row>
    <row r="16" spans="1:27" ht="14.5" customHeight="1" x14ac:dyDescent="0.35">
      <c r="A16" s="30" t="s">
        <v>131</v>
      </c>
      <c r="B16" s="30" t="s">
        <v>132</v>
      </c>
      <c r="C16" s="30" t="s">
        <v>146</v>
      </c>
      <c r="D16" s="62" t="s">
        <v>176</v>
      </c>
      <c r="E16" s="32">
        <v>100</v>
      </c>
      <c r="F16" s="31">
        <v>28.042809740300001</v>
      </c>
      <c r="G16" s="33">
        <v>9816</v>
      </c>
      <c r="H16" s="21"/>
      <c r="I16" s="34">
        <v>-5.773672055427248</v>
      </c>
      <c r="J16" s="34">
        <v>5.6265101829478636</v>
      </c>
      <c r="K16" s="34" t="s">
        <v>161</v>
      </c>
      <c r="L16" s="34" t="s">
        <v>161</v>
      </c>
      <c r="M16" s="34">
        <v>7.8519723503424288</v>
      </c>
      <c r="N16" s="34">
        <v>-5.6945183608302248</v>
      </c>
      <c r="O16" s="34">
        <v>6.1441040561355242</v>
      </c>
      <c r="P16" s="34" t="s">
        <v>161</v>
      </c>
      <c r="Q16" s="34" t="s">
        <v>161</v>
      </c>
      <c r="R16" s="34">
        <v>8.390144840421021</v>
      </c>
      <c r="S16" s="22"/>
      <c r="T16" s="34" t="s">
        <v>161</v>
      </c>
      <c r="U16" s="34" t="s">
        <v>161</v>
      </c>
      <c r="W16" s="80">
        <v>0.44690000000000002</v>
      </c>
      <c r="X16" s="85">
        <v>0.57340000000000002</v>
      </c>
      <c r="Y16" s="80" t="s">
        <v>91</v>
      </c>
      <c r="Z16" s="56"/>
      <c r="AA16" s="56"/>
    </row>
    <row r="17" spans="1:30" s="45" customFormat="1" ht="18.649999999999999" customHeight="1" x14ac:dyDescent="0.35">
      <c r="A17" s="95" t="s">
        <v>48</v>
      </c>
      <c r="B17" s="95"/>
      <c r="C17" s="95"/>
      <c r="D17" s="93"/>
      <c r="E17" s="42"/>
      <c r="F17" s="43"/>
      <c r="G17" s="44" t="s">
        <v>98</v>
      </c>
      <c r="H17" s="42"/>
      <c r="I17" s="64">
        <v>-5.7112086847460866</v>
      </c>
      <c r="J17" s="64">
        <v>3.8330329986762264</v>
      </c>
      <c r="K17" s="64">
        <v>5.4198544986584132</v>
      </c>
      <c r="L17" s="64">
        <v>12.400576771424715</v>
      </c>
      <c r="M17" s="64">
        <v>9.9925165678690018</v>
      </c>
      <c r="N17" s="64">
        <v>-5.2384233836084908</v>
      </c>
      <c r="O17" s="64">
        <v>6.6860374417431592</v>
      </c>
      <c r="P17" s="64">
        <v>7.3975188494095105</v>
      </c>
      <c r="Q17" s="64">
        <v>14.282112197334005</v>
      </c>
      <c r="R17" s="64">
        <v>11.504725652739907</v>
      </c>
      <c r="S17" s="42"/>
      <c r="T17" s="42"/>
      <c r="U17" s="42"/>
      <c r="W17" s="81"/>
      <c r="X17" s="81"/>
      <c r="Y17" s="81"/>
      <c r="Z17" s="56"/>
      <c r="AA17" s="56"/>
    </row>
    <row r="18" spans="1:30" ht="14.5" customHeight="1" x14ac:dyDescent="0.35">
      <c r="A18" s="30" t="s">
        <v>36</v>
      </c>
      <c r="B18" s="30" t="s">
        <v>9</v>
      </c>
      <c r="C18" s="30" t="s">
        <v>49</v>
      </c>
      <c r="D18" s="62" t="s">
        <v>175</v>
      </c>
      <c r="E18" s="32">
        <v>90</v>
      </c>
      <c r="F18" s="31">
        <v>83.029739329999998</v>
      </c>
      <c r="G18" s="33">
        <v>21262</v>
      </c>
      <c r="H18" s="21"/>
      <c r="I18" s="34">
        <v>-6.0639940371612688</v>
      </c>
      <c r="J18" s="34">
        <v>4.9738219895287816</v>
      </c>
      <c r="K18" s="34">
        <v>5.4552694453293027</v>
      </c>
      <c r="L18" s="34">
        <v>11.644707316839021</v>
      </c>
      <c r="M18" s="34">
        <v>9.5071712178916847</v>
      </c>
      <c r="N18" s="34">
        <v>-4.6316245271199925</v>
      </c>
      <c r="O18" s="34">
        <v>7.0280186057838812</v>
      </c>
      <c r="P18" s="34">
        <v>7.0212531801652878</v>
      </c>
      <c r="Q18" s="34">
        <v>13.271244180296971</v>
      </c>
      <c r="R18" s="34">
        <v>10.798003303611448</v>
      </c>
      <c r="S18" s="22"/>
      <c r="T18" s="34">
        <v>11.237758141172643</v>
      </c>
      <c r="U18" s="34">
        <v>12.258378155523939</v>
      </c>
      <c r="W18" s="80">
        <v>0.49</v>
      </c>
      <c r="X18" s="80">
        <v>0.71</v>
      </c>
      <c r="Y18" s="80" t="s">
        <v>91</v>
      </c>
      <c r="Z18" s="56"/>
      <c r="AA18" s="56"/>
    </row>
    <row r="19" spans="1:30" ht="14.5" customHeight="1" x14ac:dyDescent="0.35">
      <c r="A19" s="30" t="s">
        <v>160</v>
      </c>
      <c r="B19" s="30" t="s">
        <v>7</v>
      </c>
      <c r="C19" s="30" t="s">
        <v>125</v>
      </c>
      <c r="D19" s="62" t="s">
        <v>175</v>
      </c>
      <c r="E19" s="32">
        <v>97</v>
      </c>
      <c r="F19" s="31">
        <v>161.98568655700001</v>
      </c>
      <c r="G19" s="33">
        <v>34973</v>
      </c>
      <c r="H19" s="21"/>
      <c r="I19" s="34">
        <v>-4.3478260869565304</v>
      </c>
      <c r="J19" s="34">
        <v>5.1802829758101243</v>
      </c>
      <c r="K19" s="34">
        <v>6.1584788590729467</v>
      </c>
      <c r="L19" s="34">
        <v>12.834324549959986</v>
      </c>
      <c r="M19" s="34">
        <v>10.278970138365629</v>
      </c>
      <c r="N19" s="34">
        <v>-5.5981660149772905</v>
      </c>
      <c r="O19" s="34">
        <v>5.2603630883470531</v>
      </c>
      <c r="P19" s="34">
        <v>6.6665544138813759</v>
      </c>
      <c r="Q19" s="34">
        <v>14.381379986800313</v>
      </c>
      <c r="R19" s="34">
        <v>11.3502730202097</v>
      </c>
      <c r="S19" s="22"/>
      <c r="T19" s="34">
        <v>10.526631325733423</v>
      </c>
      <c r="U19" s="34">
        <v>13.437185876851871</v>
      </c>
      <c r="W19" s="80">
        <v>0.5</v>
      </c>
      <c r="X19" s="80">
        <v>1.27</v>
      </c>
      <c r="Y19" s="80">
        <v>1.27</v>
      </c>
      <c r="Z19" s="56"/>
      <c r="AA19" s="56"/>
    </row>
    <row r="20" spans="1:30" ht="14.5" customHeight="1" x14ac:dyDescent="0.35">
      <c r="A20" s="30" t="s">
        <v>88</v>
      </c>
      <c r="B20" s="30" t="s">
        <v>6</v>
      </c>
      <c r="C20" s="30" t="s">
        <v>50</v>
      </c>
      <c r="D20" s="62" t="s">
        <v>175</v>
      </c>
      <c r="E20" s="32">
        <v>98</v>
      </c>
      <c r="F20" s="31">
        <v>221.02564390000001</v>
      </c>
      <c r="G20" s="33">
        <v>45882</v>
      </c>
      <c r="H20" s="21"/>
      <c r="I20" s="34">
        <v>-5.9588409951878756</v>
      </c>
      <c r="J20" s="34">
        <v>5.296343001261028</v>
      </c>
      <c r="K20" s="34">
        <v>5.2252653415191253</v>
      </c>
      <c r="L20" s="34">
        <v>12.51997437650838</v>
      </c>
      <c r="M20" s="34">
        <v>10.215728786574507</v>
      </c>
      <c r="N20" s="34">
        <v>-5.3594964112851802</v>
      </c>
      <c r="O20" s="34">
        <v>7.5374052979324313</v>
      </c>
      <c r="P20" s="34">
        <v>8.3174315055962289</v>
      </c>
      <c r="Q20" s="34">
        <v>15.480691254052626</v>
      </c>
      <c r="R20" s="34">
        <v>12.578252777300559</v>
      </c>
      <c r="S20" s="22"/>
      <c r="T20" s="34">
        <v>12.212935197034481</v>
      </c>
      <c r="U20" s="34">
        <v>13.888440691159417</v>
      </c>
      <c r="W20" s="80">
        <v>0.5</v>
      </c>
      <c r="X20" s="80" t="s">
        <v>91</v>
      </c>
      <c r="Y20" s="80">
        <v>0.81</v>
      </c>
      <c r="Z20" s="56"/>
      <c r="AA20" s="56"/>
    </row>
    <row r="21" spans="1:30" ht="14.5" customHeight="1" x14ac:dyDescent="0.35">
      <c r="A21" s="30" t="s">
        <v>89</v>
      </c>
      <c r="B21" s="30" t="s">
        <v>8</v>
      </c>
      <c r="C21" s="30" t="s">
        <v>103</v>
      </c>
      <c r="D21" s="62" t="s">
        <v>175</v>
      </c>
      <c r="E21" s="32">
        <v>97</v>
      </c>
      <c r="F21" s="31">
        <v>441.60836320999999</v>
      </c>
      <c r="G21" s="33">
        <v>95709</v>
      </c>
      <c r="H21" s="21"/>
      <c r="I21" s="34">
        <v>-5.8280744551094994</v>
      </c>
      <c r="J21" s="34">
        <v>1.8000458610410552</v>
      </c>
      <c r="K21" s="34">
        <v>4.895318953517247</v>
      </c>
      <c r="L21" s="34">
        <v>12.192987504783503</v>
      </c>
      <c r="M21" s="34">
        <v>10.160842267535708</v>
      </c>
      <c r="N21" s="34">
        <v>-5.2711946330464388</v>
      </c>
      <c r="O21" s="34">
        <v>7.1140092288797696</v>
      </c>
      <c r="P21" s="34">
        <v>7.5608144383815468</v>
      </c>
      <c r="Q21" s="34">
        <v>14.092727675346284</v>
      </c>
      <c r="R21" s="34">
        <v>11.620095651055596</v>
      </c>
      <c r="S21" s="22"/>
      <c r="T21" s="34">
        <v>12.57802281056283</v>
      </c>
      <c r="U21" s="34">
        <v>13.576765114175316</v>
      </c>
      <c r="W21" s="80">
        <v>0.41000000000000003</v>
      </c>
      <c r="X21" s="80" t="s">
        <v>91</v>
      </c>
      <c r="Y21" s="80">
        <v>0.68300000000000005</v>
      </c>
      <c r="Z21" s="56"/>
      <c r="AA21" s="56"/>
    </row>
    <row r="22" spans="1:30" ht="14.5" customHeight="1" x14ac:dyDescent="0.35">
      <c r="A22" s="30" t="s">
        <v>116</v>
      </c>
      <c r="B22" s="30" t="s">
        <v>10</v>
      </c>
      <c r="C22" s="30" t="s">
        <v>118</v>
      </c>
      <c r="D22" s="62" t="s">
        <v>175</v>
      </c>
      <c r="E22" s="32">
        <v>90</v>
      </c>
      <c r="F22" s="31">
        <v>137.67950405000002</v>
      </c>
      <c r="G22" s="33">
        <v>34298</v>
      </c>
      <c r="H22" s="21"/>
      <c r="I22" s="34">
        <v>-6.3215088030928346</v>
      </c>
      <c r="J22" s="34">
        <v>5.1301594746716583</v>
      </c>
      <c r="K22" s="34">
        <v>6.5243138037468285</v>
      </c>
      <c r="L22" s="34">
        <v>12.820261140565226</v>
      </c>
      <c r="M22" s="34">
        <v>9.7901518574471389</v>
      </c>
      <c r="N22" s="34">
        <v>-4.7315420963134684</v>
      </c>
      <c r="O22" s="34">
        <v>5.5960224396018443</v>
      </c>
      <c r="P22" s="34">
        <v>6.4838754612756455</v>
      </c>
      <c r="Q22" s="34">
        <v>13.45823668394701</v>
      </c>
      <c r="R22" s="34">
        <v>11.044115261901677</v>
      </c>
      <c r="S22" s="22"/>
      <c r="T22" s="34">
        <v>12.165761564365411</v>
      </c>
      <c r="U22" s="34">
        <v>13.208749704590673</v>
      </c>
      <c r="W22" s="80">
        <v>0.5</v>
      </c>
      <c r="X22" s="80">
        <v>0.93</v>
      </c>
      <c r="Y22" s="80" t="s">
        <v>91</v>
      </c>
      <c r="Z22" s="56"/>
      <c r="AA22" s="56"/>
    </row>
    <row r="23" spans="1:30" ht="14.5" customHeight="1" x14ac:dyDescent="0.35">
      <c r="A23" s="30" t="s">
        <v>131</v>
      </c>
      <c r="B23" s="30" t="s">
        <v>133</v>
      </c>
      <c r="C23" s="30" t="s">
        <v>145</v>
      </c>
      <c r="D23" s="62" t="s">
        <v>176</v>
      </c>
      <c r="E23" s="32">
        <v>100</v>
      </c>
      <c r="F23" s="31">
        <v>45.306476297899998</v>
      </c>
      <c r="G23" s="33">
        <v>10456</v>
      </c>
      <c r="H23" s="21"/>
      <c r="I23" s="34">
        <v>-5.7374517374517371</v>
      </c>
      <c r="J23" s="34">
        <v>5.6608673071929294</v>
      </c>
      <c r="K23" s="34" t="s">
        <v>161</v>
      </c>
      <c r="L23" s="34" t="s">
        <v>161</v>
      </c>
      <c r="M23" s="34">
        <v>7.7431368581452276</v>
      </c>
      <c r="N23" s="34">
        <v>-5.6945183608302248</v>
      </c>
      <c r="O23" s="34">
        <v>6.1441040561355242</v>
      </c>
      <c r="P23" s="34" t="s">
        <v>161</v>
      </c>
      <c r="Q23" s="34" t="s">
        <v>161</v>
      </c>
      <c r="R23" s="34">
        <v>8.390144840421021</v>
      </c>
      <c r="S23" s="22"/>
      <c r="T23" s="34" t="s">
        <v>161</v>
      </c>
      <c r="U23" s="34" t="s">
        <v>161</v>
      </c>
      <c r="W23" s="80">
        <v>0.4466</v>
      </c>
      <c r="X23" s="80">
        <v>0.5766</v>
      </c>
      <c r="Y23" s="80" t="s">
        <v>91</v>
      </c>
      <c r="Z23" s="56"/>
      <c r="AA23" s="56"/>
    </row>
    <row r="24" spans="1:30" s="45" customFormat="1" ht="18.649999999999999" customHeight="1" x14ac:dyDescent="0.35">
      <c r="A24" s="95" t="s">
        <v>51</v>
      </c>
      <c r="B24" s="95"/>
      <c r="C24" s="95"/>
      <c r="D24" s="93"/>
      <c r="E24" s="42"/>
      <c r="F24" s="43"/>
      <c r="G24" s="44" t="s">
        <v>98</v>
      </c>
      <c r="H24" s="42"/>
      <c r="I24" s="64">
        <v>-5.7634680464274961</v>
      </c>
      <c r="J24" s="64">
        <v>4.0006811990992031</v>
      </c>
      <c r="K24" s="64">
        <v>5.4392609096996543</v>
      </c>
      <c r="L24" s="64">
        <v>12.468690428705013</v>
      </c>
      <c r="M24" s="64">
        <v>10.083261819017171</v>
      </c>
      <c r="N24" s="64">
        <v>-5.2341567807893314</v>
      </c>
      <c r="O24" s="64">
        <v>6.7102923679032589</v>
      </c>
      <c r="P24" s="64">
        <v>7.4353148167185683</v>
      </c>
      <c r="Q24" s="64">
        <v>14.361444936826981</v>
      </c>
      <c r="R24" s="64">
        <v>11.604102678088912</v>
      </c>
      <c r="S24" s="42"/>
      <c r="T24" s="42"/>
      <c r="U24" s="42"/>
      <c r="W24" s="81"/>
      <c r="X24" s="81"/>
      <c r="Y24" s="81"/>
      <c r="Z24" s="56"/>
      <c r="AA24" s="56"/>
    </row>
    <row r="25" spans="1:30" ht="14.5" customHeight="1" x14ac:dyDescent="0.35">
      <c r="A25" s="30" t="s">
        <v>36</v>
      </c>
      <c r="B25" s="30" t="s">
        <v>14</v>
      </c>
      <c r="C25" s="30" t="s">
        <v>52</v>
      </c>
      <c r="D25" s="62" t="s">
        <v>175</v>
      </c>
      <c r="E25" s="32">
        <v>90</v>
      </c>
      <c r="F25" s="31">
        <v>147.78593869999997</v>
      </c>
      <c r="G25" s="33">
        <v>27920</v>
      </c>
      <c r="H25" s="21"/>
      <c r="I25" s="34">
        <v>-6.0148369536211828</v>
      </c>
      <c r="J25" s="34">
        <v>5.2222753346080175</v>
      </c>
      <c r="K25" s="34">
        <v>5.6243782914561891</v>
      </c>
      <c r="L25" s="34">
        <v>11.654383895601828</v>
      </c>
      <c r="M25" s="34">
        <v>9.4733917005169523</v>
      </c>
      <c r="N25" s="34">
        <v>-4.6316245271199925</v>
      </c>
      <c r="O25" s="34">
        <v>7.0280186057838812</v>
      </c>
      <c r="P25" s="34">
        <v>7.0212531801652878</v>
      </c>
      <c r="Q25" s="34">
        <v>13.271244180296971</v>
      </c>
      <c r="R25" s="34">
        <v>10.798003303611448</v>
      </c>
      <c r="S25" s="22"/>
      <c r="T25" s="34">
        <v>11.16206613026182</v>
      </c>
      <c r="U25" s="34">
        <v>12.258378155523939</v>
      </c>
      <c r="W25" s="80">
        <v>0.49</v>
      </c>
      <c r="X25" s="80">
        <v>0.72</v>
      </c>
      <c r="Y25" s="80" t="s">
        <v>91</v>
      </c>
      <c r="Z25" s="56"/>
      <c r="AA25" s="56"/>
    </row>
    <row r="26" spans="1:30" ht="14.5" customHeight="1" x14ac:dyDescent="0.35">
      <c r="A26" s="30" t="s">
        <v>160</v>
      </c>
      <c r="B26" s="30" t="s">
        <v>12</v>
      </c>
      <c r="C26" s="30" t="s">
        <v>126</v>
      </c>
      <c r="D26" s="62" t="s">
        <v>175</v>
      </c>
      <c r="E26" s="32">
        <v>97</v>
      </c>
      <c r="F26" s="31">
        <v>276.99876515130001</v>
      </c>
      <c r="G26" s="33">
        <v>42737</v>
      </c>
      <c r="H26" s="21"/>
      <c r="I26" s="34">
        <v>-4.3227515976515862</v>
      </c>
      <c r="J26" s="34">
        <v>5.1444558638803262</v>
      </c>
      <c r="K26" s="34">
        <v>6.2308715753485178</v>
      </c>
      <c r="L26" s="34">
        <v>12.853426152011505</v>
      </c>
      <c r="M26" s="34">
        <v>10.258868548791234</v>
      </c>
      <c r="N26" s="34">
        <v>-5.5981660149772905</v>
      </c>
      <c r="O26" s="34">
        <v>5.2603630883470531</v>
      </c>
      <c r="P26" s="34">
        <v>6.6665544138813759</v>
      </c>
      <c r="Q26" s="34">
        <v>14.381379986800313</v>
      </c>
      <c r="R26" s="34">
        <v>11.3502730202097</v>
      </c>
      <c r="S26" s="22"/>
      <c r="T26" s="34">
        <v>10.460034013825647</v>
      </c>
      <c r="U26" s="34">
        <v>13.437185876851871</v>
      </c>
      <c r="W26" s="80">
        <v>0.5</v>
      </c>
      <c r="X26" s="80">
        <v>1.26</v>
      </c>
      <c r="Y26" s="80">
        <v>1.26</v>
      </c>
      <c r="Z26" s="56"/>
      <c r="AA26" s="56"/>
    </row>
    <row r="27" spans="1:30" ht="14.5" customHeight="1" x14ac:dyDescent="0.35">
      <c r="A27" s="30" t="s">
        <v>88</v>
      </c>
      <c r="B27" s="30" t="s">
        <v>11</v>
      </c>
      <c r="C27" s="30" t="s">
        <v>53</v>
      </c>
      <c r="D27" s="62" t="s">
        <v>175</v>
      </c>
      <c r="E27" s="32">
        <v>98</v>
      </c>
      <c r="F27" s="31">
        <v>470.47859905000001</v>
      </c>
      <c r="G27" s="33">
        <v>74089</v>
      </c>
      <c r="H27" s="21"/>
      <c r="I27" s="34">
        <v>-5.9867075664621687</v>
      </c>
      <c r="J27" s="34">
        <v>5.3086702554117515</v>
      </c>
      <c r="K27" s="34">
        <v>5.1571465042104636</v>
      </c>
      <c r="L27" s="34">
        <v>12.523361240285279</v>
      </c>
      <c r="M27" s="34">
        <v>10.233954169143278</v>
      </c>
      <c r="N27" s="34">
        <v>-5.3594964112851802</v>
      </c>
      <c r="O27" s="34">
        <v>7.5374052979324313</v>
      </c>
      <c r="P27" s="34">
        <v>8.3174315055962289</v>
      </c>
      <c r="Q27" s="34">
        <v>15.480691254052626</v>
      </c>
      <c r="R27" s="34">
        <v>12.578252777300559</v>
      </c>
      <c r="S27" s="22"/>
      <c r="T27" s="34">
        <v>12.150261151789399</v>
      </c>
      <c r="U27" s="34">
        <v>13.888440691159417</v>
      </c>
      <c r="W27" s="80">
        <v>0.5</v>
      </c>
      <c r="X27" s="80" t="s">
        <v>91</v>
      </c>
      <c r="Y27" s="80">
        <v>0.82</v>
      </c>
      <c r="Z27" s="56"/>
      <c r="AA27" s="56"/>
    </row>
    <row r="28" spans="1:30" ht="14.5" customHeight="1" x14ac:dyDescent="0.35">
      <c r="A28" s="30" t="s">
        <v>89</v>
      </c>
      <c r="B28" s="30" t="s">
        <v>13</v>
      </c>
      <c r="C28" s="30" t="s">
        <v>104</v>
      </c>
      <c r="D28" s="62" t="s">
        <v>175</v>
      </c>
      <c r="E28" s="32">
        <v>97</v>
      </c>
      <c r="F28" s="31">
        <v>611.69713610000008</v>
      </c>
      <c r="G28" s="33">
        <v>113986</v>
      </c>
      <c r="H28" s="21"/>
      <c r="I28" s="34">
        <v>-5.9983177373567393</v>
      </c>
      <c r="J28" s="34">
        <v>1.6427921782628419</v>
      </c>
      <c r="K28" s="34">
        <v>4.8469992514890148</v>
      </c>
      <c r="L28" s="34">
        <v>12.338983958722572</v>
      </c>
      <c r="M28" s="34">
        <v>10.304376831616313</v>
      </c>
      <c r="N28" s="34">
        <v>-5.2711946330464388</v>
      </c>
      <c r="O28" s="34">
        <v>7.1140092288797696</v>
      </c>
      <c r="P28" s="34">
        <v>7.5608144383815468</v>
      </c>
      <c r="Q28" s="34">
        <v>14.092727675346284</v>
      </c>
      <c r="R28" s="34">
        <v>11.620095651055596</v>
      </c>
      <c r="S28" s="22"/>
      <c r="T28" s="34">
        <v>12.542037416323076</v>
      </c>
      <c r="U28" s="34">
        <v>13.576765114175316</v>
      </c>
      <c r="W28" s="80">
        <v>0.41000000000000003</v>
      </c>
      <c r="X28" s="80" t="s">
        <v>91</v>
      </c>
      <c r="Y28" s="80">
        <v>0.68959999999999999</v>
      </c>
      <c r="Z28" s="56"/>
      <c r="AA28" s="56"/>
    </row>
    <row r="29" spans="1:30" ht="14.5" customHeight="1" x14ac:dyDescent="0.35">
      <c r="A29" s="30" t="s">
        <v>116</v>
      </c>
      <c r="B29" s="30" t="s">
        <v>15</v>
      </c>
      <c r="C29" s="30" t="s">
        <v>119</v>
      </c>
      <c r="D29" s="62" t="s">
        <v>175</v>
      </c>
      <c r="E29" s="32">
        <v>90</v>
      </c>
      <c r="F29" s="31">
        <v>228.75510874</v>
      </c>
      <c r="G29" s="33">
        <v>48008</v>
      </c>
      <c r="H29" s="21"/>
      <c r="I29" s="34">
        <v>-6.2614331260126388</v>
      </c>
      <c r="J29" s="34">
        <v>5.1104729531735504</v>
      </c>
      <c r="K29" s="34">
        <v>6.5250536112740676</v>
      </c>
      <c r="L29" s="34">
        <v>12.763290907228054</v>
      </c>
      <c r="M29" s="34">
        <v>9.7940688739556414</v>
      </c>
      <c r="N29" s="34">
        <v>-4.7315420963134684</v>
      </c>
      <c r="O29" s="34">
        <v>5.5960224396018443</v>
      </c>
      <c r="P29" s="34">
        <v>6.4838754612756455</v>
      </c>
      <c r="Q29" s="34">
        <v>13.45823668394701</v>
      </c>
      <c r="R29" s="34">
        <v>11.044115261901677</v>
      </c>
      <c r="S29" s="22"/>
      <c r="T29" s="34">
        <v>12.148264992011267</v>
      </c>
      <c r="U29" s="34">
        <v>13.208749704590673</v>
      </c>
      <c r="W29" s="80">
        <v>0.5</v>
      </c>
      <c r="X29" s="80">
        <v>0.97</v>
      </c>
      <c r="Y29" s="80" t="s">
        <v>91</v>
      </c>
      <c r="Z29" s="56"/>
      <c r="AA29" s="56"/>
    </row>
    <row r="30" spans="1:30" ht="14.5" customHeight="1" x14ac:dyDescent="0.35">
      <c r="A30" s="30" t="s">
        <v>131</v>
      </c>
      <c r="B30" s="30" t="s">
        <v>134</v>
      </c>
      <c r="C30" s="30" t="s">
        <v>144</v>
      </c>
      <c r="D30" s="62" t="s">
        <v>176</v>
      </c>
      <c r="E30" s="32">
        <v>100</v>
      </c>
      <c r="F30" s="31">
        <v>46.845354074500001</v>
      </c>
      <c r="G30" s="33">
        <v>7634</v>
      </c>
      <c r="H30" s="21"/>
      <c r="I30" s="34">
        <v>-5.7491556647221387</v>
      </c>
      <c r="J30" s="34">
        <v>5.6167211422673224</v>
      </c>
      <c r="K30" s="34" t="s">
        <v>161</v>
      </c>
      <c r="L30" s="34" t="s">
        <v>161</v>
      </c>
      <c r="M30" s="34">
        <v>7.9803595476098943</v>
      </c>
      <c r="N30" s="34">
        <v>-5.6945183608302248</v>
      </c>
      <c r="O30" s="34">
        <v>6.1441040561355242</v>
      </c>
      <c r="P30" s="34" t="s">
        <v>161</v>
      </c>
      <c r="Q30" s="34" t="s">
        <v>161</v>
      </c>
      <c r="R30" s="34">
        <v>8.390144840421021</v>
      </c>
      <c r="S30" s="22"/>
      <c r="T30" s="34" t="s">
        <v>161</v>
      </c>
      <c r="U30" s="34" t="s">
        <v>161</v>
      </c>
      <c r="W30" s="80">
        <v>0.4466</v>
      </c>
      <c r="X30" s="80">
        <v>0.57699999999999996</v>
      </c>
      <c r="Y30" s="80" t="s">
        <v>91</v>
      </c>
      <c r="Z30" s="56"/>
      <c r="AA30" s="56"/>
    </row>
    <row r="31" spans="1:30" s="45" customFormat="1" ht="18.649999999999999" customHeight="1" x14ac:dyDescent="0.35">
      <c r="A31" s="95" t="s">
        <v>54</v>
      </c>
      <c r="B31" s="95"/>
      <c r="C31" s="95"/>
      <c r="D31" s="93"/>
      <c r="E31" s="42"/>
      <c r="F31" s="43"/>
      <c r="G31" s="44" t="s">
        <v>98</v>
      </c>
      <c r="H31" s="42"/>
      <c r="I31" s="64">
        <v>-5.7837704266684522</v>
      </c>
      <c r="J31" s="64">
        <v>3.9744680394424816</v>
      </c>
      <c r="K31" s="64">
        <v>5.3962744844183481</v>
      </c>
      <c r="L31" s="64">
        <v>12.435409815566501</v>
      </c>
      <c r="M31" s="64">
        <v>10.172809304580587</v>
      </c>
      <c r="N31" s="64">
        <v>-5.2261064216627551</v>
      </c>
      <c r="O31" s="64">
        <v>6.7531233098603929</v>
      </c>
      <c r="P31" s="64">
        <v>7.464448740949039</v>
      </c>
      <c r="Q31" s="64">
        <v>14.378688987093961</v>
      </c>
      <c r="R31" s="64">
        <v>11.791166732614112</v>
      </c>
      <c r="S31" s="42"/>
      <c r="T31" s="42"/>
      <c r="U31" s="42"/>
      <c r="W31" s="81"/>
      <c r="X31" s="81"/>
      <c r="Y31" s="81"/>
      <c r="Z31" s="56"/>
      <c r="AA31" s="56"/>
      <c r="AB31" s="69"/>
      <c r="AC31" s="69"/>
    </row>
    <row r="32" spans="1:30" ht="14.5" customHeight="1" x14ac:dyDescent="0.35">
      <c r="A32" s="30" t="s">
        <v>36</v>
      </c>
      <c r="B32" s="30" t="s">
        <v>19</v>
      </c>
      <c r="C32" s="30" t="s">
        <v>55</v>
      </c>
      <c r="D32" s="62" t="s">
        <v>175</v>
      </c>
      <c r="E32" s="32">
        <v>90</v>
      </c>
      <c r="F32" s="31">
        <v>156.90527308</v>
      </c>
      <c r="G32" s="33">
        <v>19981</v>
      </c>
      <c r="H32" s="21"/>
      <c r="I32" s="34">
        <v>-6.0930183056619907</v>
      </c>
      <c r="J32" s="34">
        <v>5.2107553806713058</v>
      </c>
      <c r="K32" s="34">
        <v>5.7124513005695876</v>
      </c>
      <c r="L32" s="34">
        <v>11.767424163602058</v>
      </c>
      <c r="M32" s="34">
        <v>9.5101491375494831</v>
      </c>
      <c r="N32" s="34">
        <v>-4.6316245271199925</v>
      </c>
      <c r="O32" s="34">
        <v>7.0280186057838812</v>
      </c>
      <c r="P32" s="34">
        <v>7.0212531801652878</v>
      </c>
      <c r="Q32" s="34">
        <v>13.271244180296971</v>
      </c>
      <c r="R32" s="34">
        <v>10.798003303611448</v>
      </c>
      <c r="S32" s="22"/>
      <c r="T32" s="34">
        <v>11.172857592312488</v>
      </c>
      <c r="U32" s="34">
        <v>12.258378155523939</v>
      </c>
      <c r="W32" s="80">
        <v>0.49</v>
      </c>
      <c r="X32" s="80">
        <v>0.72</v>
      </c>
      <c r="Y32" s="80" t="s">
        <v>91</v>
      </c>
      <c r="Z32" s="56"/>
      <c r="AA32" s="56"/>
      <c r="AB32" s="46"/>
      <c r="AC32" s="46"/>
      <c r="AD32" s="45"/>
    </row>
    <row r="33" spans="1:30" ht="14.5" customHeight="1" x14ac:dyDescent="0.35">
      <c r="A33" s="30" t="s">
        <v>160</v>
      </c>
      <c r="B33" s="30" t="s">
        <v>17</v>
      </c>
      <c r="C33" s="30" t="s">
        <v>127</v>
      </c>
      <c r="D33" s="62" t="s">
        <v>175</v>
      </c>
      <c r="E33" s="32">
        <v>97</v>
      </c>
      <c r="F33" s="31">
        <v>272.73577302899997</v>
      </c>
      <c r="G33" s="33">
        <v>26657</v>
      </c>
      <c r="H33" s="21"/>
      <c r="I33" s="34">
        <v>-4.1781141464931837</v>
      </c>
      <c r="J33" s="34">
        <v>5.2017528882818187</v>
      </c>
      <c r="K33" s="34">
        <v>6.2042251037905283</v>
      </c>
      <c r="L33" s="34">
        <v>12.824929002735352</v>
      </c>
      <c r="M33" s="34">
        <v>10.325799150334314</v>
      </c>
      <c r="N33" s="34">
        <v>-5.6012027332392522</v>
      </c>
      <c r="O33" s="34">
        <v>5.2569770729132603</v>
      </c>
      <c r="P33" s="34">
        <v>6.6654106516846667</v>
      </c>
      <c r="Q33" s="34">
        <v>14.380644093269002</v>
      </c>
      <c r="R33" s="34">
        <v>11.349700094319548</v>
      </c>
      <c r="S33" s="22"/>
      <c r="T33" s="34">
        <v>10.385066381117039</v>
      </c>
      <c r="U33" s="34">
        <v>13.43834681058326</v>
      </c>
      <c r="W33" s="80">
        <v>0.5</v>
      </c>
      <c r="X33" s="80">
        <v>1.28</v>
      </c>
      <c r="Y33" s="80">
        <v>1.28</v>
      </c>
      <c r="Z33" s="56"/>
      <c r="AA33" s="56"/>
      <c r="AB33" s="46"/>
      <c r="AC33" s="46"/>
      <c r="AD33" s="45"/>
    </row>
    <row r="34" spans="1:30" ht="14.5" customHeight="1" x14ac:dyDescent="0.35">
      <c r="A34" s="30" t="s">
        <v>88</v>
      </c>
      <c r="B34" s="30" t="s">
        <v>16</v>
      </c>
      <c r="C34" s="30" t="s">
        <v>56</v>
      </c>
      <c r="D34" s="62" t="s">
        <v>175</v>
      </c>
      <c r="E34" s="32">
        <v>98</v>
      </c>
      <c r="F34" s="31">
        <v>571.8012506</v>
      </c>
      <c r="G34" s="33">
        <v>62372</v>
      </c>
      <c r="H34" s="21"/>
      <c r="I34" s="34">
        <v>-6.0341803237608405</v>
      </c>
      <c r="J34" s="34">
        <v>5.2604985403099214</v>
      </c>
      <c r="K34" s="34">
        <v>5.0976238812174168</v>
      </c>
      <c r="L34" s="34">
        <v>12.489974960724703</v>
      </c>
      <c r="M34" s="34">
        <v>10.576322630308832</v>
      </c>
      <c r="N34" s="34">
        <v>-5.3593458626850605</v>
      </c>
      <c r="O34" s="34">
        <v>7.5370719816804321</v>
      </c>
      <c r="P34" s="34">
        <v>8.3172853116893606</v>
      </c>
      <c r="Q34" s="34">
        <v>15.480714833654719</v>
      </c>
      <c r="R34" s="34">
        <v>13.078501424627053</v>
      </c>
      <c r="S34" s="22"/>
      <c r="T34" s="34">
        <v>12.10492473757521</v>
      </c>
      <c r="U34" s="34">
        <v>13.888493563278312</v>
      </c>
      <c r="W34" s="80">
        <v>0.5</v>
      </c>
      <c r="X34" s="80" t="s">
        <v>91</v>
      </c>
      <c r="Y34" s="80">
        <v>0.82</v>
      </c>
      <c r="Z34" s="56"/>
      <c r="AA34" s="56"/>
    </row>
    <row r="35" spans="1:30" ht="14.5" customHeight="1" x14ac:dyDescent="0.35">
      <c r="A35" s="30" t="s">
        <v>89</v>
      </c>
      <c r="B35" s="30" t="s">
        <v>18</v>
      </c>
      <c r="C35" s="30" t="s">
        <v>105</v>
      </c>
      <c r="D35" s="62" t="s">
        <v>175</v>
      </c>
      <c r="E35" s="32">
        <v>97</v>
      </c>
      <c r="F35" s="31">
        <v>714.61901369000009</v>
      </c>
      <c r="G35" s="33">
        <v>97501</v>
      </c>
      <c r="H35" s="21"/>
      <c r="I35" s="34">
        <v>-5.936626772815945</v>
      </c>
      <c r="J35" s="34">
        <v>1.7392791970803012</v>
      </c>
      <c r="K35" s="34">
        <v>4.8905995626393528</v>
      </c>
      <c r="L35" s="34">
        <v>12.351703605561749</v>
      </c>
      <c r="M35" s="34">
        <v>10.310466119026573</v>
      </c>
      <c r="N35" s="34">
        <v>-5.2711946330464388</v>
      </c>
      <c r="O35" s="34">
        <v>7.1140092288797696</v>
      </c>
      <c r="P35" s="34">
        <v>7.5608144383815468</v>
      </c>
      <c r="Q35" s="34">
        <v>14.092727675346284</v>
      </c>
      <c r="R35" s="34">
        <v>11.620095651055596</v>
      </c>
      <c r="S35" s="22"/>
      <c r="T35" s="34">
        <v>12.408345407217633</v>
      </c>
      <c r="U35" s="34">
        <v>13.576765114175316</v>
      </c>
      <c r="W35" s="80">
        <v>0.41000000000000003</v>
      </c>
      <c r="X35" s="80" t="s">
        <v>91</v>
      </c>
      <c r="Y35" s="80">
        <v>0.69630000000000003</v>
      </c>
      <c r="Z35" s="56"/>
      <c r="AA35" s="56"/>
    </row>
    <row r="36" spans="1:30" ht="14.5" customHeight="1" x14ac:dyDescent="0.35">
      <c r="A36" s="30" t="s">
        <v>116</v>
      </c>
      <c r="B36" s="30" t="s">
        <v>20</v>
      </c>
      <c r="C36" s="30" t="s">
        <v>120</v>
      </c>
      <c r="D36" s="62" t="s">
        <v>175</v>
      </c>
      <c r="E36" s="32">
        <v>90</v>
      </c>
      <c r="F36" s="31">
        <v>274.38213082999999</v>
      </c>
      <c r="G36" s="33">
        <v>40042</v>
      </c>
      <c r="H36" s="21"/>
      <c r="I36" s="34">
        <v>-6.2871077184054265</v>
      </c>
      <c r="J36" s="34">
        <v>4.9513179767276316</v>
      </c>
      <c r="K36" s="34">
        <v>6.3517552769745356</v>
      </c>
      <c r="L36" s="34">
        <v>12.534513519671853</v>
      </c>
      <c r="M36" s="34">
        <v>9.5408960977819479</v>
      </c>
      <c r="N36" s="34">
        <v>-4.7315420963134684</v>
      </c>
      <c r="O36" s="34">
        <v>5.5960224396018443</v>
      </c>
      <c r="P36" s="34">
        <v>6.4838754612756455</v>
      </c>
      <c r="Q36" s="34">
        <v>13.45823668394701</v>
      </c>
      <c r="R36" s="34">
        <v>11.044115261901677</v>
      </c>
      <c r="S36" s="22"/>
      <c r="T36" s="34">
        <v>12.1863394284783</v>
      </c>
      <c r="U36" s="34">
        <v>13.208749704590673</v>
      </c>
      <c r="W36" s="80">
        <v>0.5</v>
      </c>
      <c r="X36" s="80">
        <v>0.98</v>
      </c>
      <c r="Y36" s="80" t="s">
        <v>91</v>
      </c>
      <c r="Z36" s="56"/>
      <c r="AA36" s="56"/>
    </row>
    <row r="37" spans="1:30" ht="14.5" customHeight="1" x14ac:dyDescent="0.35">
      <c r="A37" s="30" t="s">
        <v>131</v>
      </c>
      <c r="B37" s="30" t="s">
        <v>135</v>
      </c>
      <c r="C37" s="30" t="s">
        <v>143</v>
      </c>
      <c r="D37" s="62" t="s">
        <v>176</v>
      </c>
      <c r="E37" s="32">
        <v>100</v>
      </c>
      <c r="F37" s="31">
        <v>38.998584892300002</v>
      </c>
      <c r="G37" s="33">
        <v>3541</v>
      </c>
      <c r="H37" s="21"/>
      <c r="I37" s="34">
        <v>-5.7548407004551443</v>
      </c>
      <c r="J37" s="34">
        <v>5.6468350051884997</v>
      </c>
      <c r="K37" s="34" t="s">
        <v>161</v>
      </c>
      <c r="L37" s="34" t="s">
        <v>161</v>
      </c>
      <c r="M37" s="34">
        <v>7.7761367404517667</v>
      </c>
      <c r="N37" s="34">
        <v>-5.6945183608302248</v>
      </c>
      <c r="O37" s="34">
        <v>6.1441040561355242</v>
      </c>
      <c r="P37" s="34" t="s">
        <v>161</v>
      </c>
      <c r="Q37" s="34" t="s">
        <v>161</v>
      </c>
      <c r="R37" s="34">
        <v>8.390144840421021</v>
      </c>
      <c r="S37" s="22"/>
      <c r="T37" s="34" t="s">
        <v>161</v>
      </c>
      <c r="U37" s="34" t="s">
        <v>161</v>
      </c>
      <c r="W37" s="80">
        <v>0.44690000000000002</v>
      </c>
      <c r="X37" s="80">
        <v>0.57820000000000005</v>
      </c>
      <c r="Y37" s="80" t="s">
        <v>91</v>
      </c>
      <c r="Z37" s="56"/>
      <c r="AA37" s="56"/>
    </row>
    <row r="38" spans="1:30" s="45" customFormat="1" ht="18.649999999999999" customHeight="1" x14ac:dyDescent="0.35">
      <c r="A38" s="95" t="s">
        <v>57</v>
      </c>
      <c r="B38" s="95"/>
      <c r="C38" s="95"/>
      <c r="D38" s="93"/>
      <c r="E38" s="42"/>
      <c r="F38" s="43"/>
      <c r="G38" s="44" t="s">
        <v>98</v>
      </c>
      <c r="H38" s="42"/>
      <c r="I38" s="64">
        <v>-4.0406206253495824</v>
      </c>
      <c r="J38" s="64">
        <v>4.3341859145714743</v>
      </c>
      <c r="K38" s="64">
        <v>4.4982992895918219</v>
      </c>
      <c r="L38" s="64">
        <v>11.004110933171244</v>
      </c>
      <c r="M38" s="64">
        <v>9.0300918254742246</v>
      </c>
      <c r="N38" s="64">
        <v>-3.5648622236362719</v>
      </c>
      <c r="O38" s="64">
        <v>6.2484607208593079</v>
      </c>
      <c r="P38" s="64">
        <v>5.7906432697269388</v>
      </c>
      <c r="Q38" s="64">
        <v>12.124578879926895</v>
      </c>
      <c r="R38" s="64">
        <v>10.063178349296422</v>
      </c>
      <c r="S38" s="42"/>
      <c r="T38" s="42"/>
      <c r="U38" s="42"/>
      <c r="W38" s="81"/>
      <c r="X38" s="81"/>
      <c r="Y38" s="81"/>
      <c r="Z38" s="56"/>
      <c r="AA38" s="56"/>
    </row>
    <row r="39" spans="1:30" ht="14.5" customHeight="1" x14ac:dyDescent="0.35">
      <c r="A39" s="30" t="s">
        <v>36</v>
      </c>
      <c r="B39" s="30" t="s">
        <v>24</v>
      </c>
      <c r="C39" s="30" t="s">
        <v>58</v>
      </c>
      <c r="D39" s="62" t="s">
        <v>175</v>
      </c>
      <c r="E39" s="32">
        <v>65</v>
      </c>
      <c r="F39" s="31">
        <v>147.27809862000001</v>
      </c>
      <c r="G39" s="33">
        <v>18343</v>
      </c>
      <c r="H39" s="21"/>
      <c r="I39" s="34">
        <v>-4.3011953971623278</v>
      </c>
      <c r="J39" s="34">
        <v>5.5186006405518739</v>
      </c>
      <c r="K39" s="34">
        <v>4.7160087827580188</v>
      </c>
      <c r="L39" s="34">
        <v>11.021866049304352</v>
      </c>
      <c r="M39" s="34">
        <v>8.9925957050027705</v>
      </c>
      <c r="N39" s="34">
        <v>-3.7027462717241888</v>
      </c>
      <c r="O39" s="34">
        <v>6.2916964753574112</v>
      </c>
      <c r="P39" s="34">
        <v>5.6566036438390421</v>
      </c>
      <c r="Q39" s="34">
        <v>12.060955275550068</v>
      </c>
      <c r="R39" s="34">
        <v>9.8502071551116011</v>
      </c>
      <c r="S39" s="22"/>
      <c r="T39" s="34">
        <v>9.8827062342238214</v>
      </c>
      <c r="U39" s="34">
        <v>11.02957291394771</v>
      </c>
      <c r="W39" s="80">
        <v>0.49</v>
      </c>
      <c r="X39" s="80">
        <v>0.73</v>
      </c>
      <c r="Y39" s="80" t="s">
        <v>91</v>
      </c>
      <c r="Z39" s="56"/>
      <c r="AA39" s="56"/>
    </row>
    <row r="40" spans="1:30" ht="14.5" customHeight="1" x14ac:dyDescent="0.35">
      <c r="A40" s="30" t="s">
        <v>160</v>
      </c>
      <c r="B40" s="30" t="s">
        <v>22</v>
      </c>
      <c r="C40" s="30" t="s">
        <v>128</v>
      </c>
      <c r="D40" s="62" t="s">
        <v>175</v>
      </c>
      <c r="E40" s="32">
        <v>61.18</v>
      </c>
      <c r="F40" s="31">
        <v>222.60109032859998</v>
      </c>
      <c r="G40" s="33">
        <v>22526</v>
      </c>
      <c r="H40" s="21"/>
      <c r="I40" s="34">
        <v>-2.0167777522408614</v>
      </c>
      <c r="J40" s="34">
        <v>5.9060986212892796</v>
      </c>
      <c r="K40" s="34">
        <v>5.4384872950744345</v>
      </c>
      <c r="L40" s="34">
        <v>10.782198417034339</v>
      </c>
      <c r="M40" s="34">
        <v>8.9120511889174914</v>
      </c>
      <c r="N40" s="34">
        <v>-3.282526366411298</v>
      </c>
      <c r="O40" s="34">
        <v>5.5044618217784835</v>
      </c>
      <c r="P40" s="34">
        <v>5.3545926246500342</v>
      </c>
      <c r="Q40" s="34">
        <v>11.367841706472959</v>
      </c>
      <c r="R40" s="34">
        <v>9.2397130581429288</v>
      </c>
      <c r="S40" s="22"/>
      <c r="T40" s="34">
        <v>8.2086765447724623</v>
      </c>
      <c r="U40" s="34">
        <v>11.034908940439554</v>
      </c>
      <c r="W40" s="80">
        <v>0.5</v>
      </c>
      <c r="X40" s="80">
        <v>1.1000000000000001</v>
      </c>
      <c r="Y40" s="80">
        <v>1.1000000000000001</v>
      </c>
      <c r="Z40" s="56"/>
      <c r="AA40" s="56"/>
    </row>
    <row r="41" spans="1:30" ht="14.5" customHeight="1" x14ac:dyDescent="0.35">
      <c r="A41" s="30" t="s">
        <v>88</v>
      </c>
      <c r="B41" s="30" t="s">
        <v>21</v>
      </c>
      <c r="C41" s="30" t="s">
        <v>59</v>
      </c>
      <c r="D41" s="62" t="s">
        <v>175</v>
      </c>
      <c r="E41" s="32">
        <v>63.3</v>
      </c>
      <c r="F41" s="31">
        <v>498.08216739</v>
      </c>
      <c r="G41" s="33">
        <v>53089</v>
      </c>
      <c r="H41" s="21"/>
      <c r="I41" s="34">
        <v>-4.0557808767153762</v>
      </c>
      <c r="J41" s="34">
        <v>5.2153780539816008</v>
      </c>
      <c r="K41" s="34">
        <v>4.2110341033381626</v>
      </c>
      <c r="L41" s="34">
        <v>10.937957719115477</v>
      </c>
      <c r="M41" s="34">
        <v>9.1315374278937433</v>
      </c>
      <c r="N41" s="34">
        <v>-3.4005736176505152</v>
      </c>
      <c r="O41" s="34">
        <v>7.0599855361610064</v>
      </c>
      <c r="P41" s="34">
        <v>6.5343327816530072</v>
      </c>
      <c r="Q41" s="34">
        <v>12.945396366926376</v>
      </c>
      <c r="R41" s="34">
        <v>10.833127938989783</v>
      </c>
      <c r="S41" s="22"/>
      <c r="T41" s="34">
        <v>10.007530523379526</v>
      </c>
      <c r="U41" s="34">
        <v>11.604441891055604</v>
      </c>
      <c r="W41" s="80">
        <v>0.5</v>
      </c>
      <c r="X41" s="80" t="s">
        <v>91</v>
      </c>
      <c r="Y41" s="80">
        <v>0.77</v>
      </c>
      <c r="Z41" s="56"/>
      <c r="AA41" s="56"/>
    </row>
    <row r="42" spans="1:30" ht="14.5" customHeight="1" x14ac:dyDescent="0.35">
      <c r="A42" s="30" t="s">
        <v>89</v>
      </c>
      <c r="B42" s="30" t="s">
        <v>23</v>
      </c>
      <c r="C42" s="30" t="s">
        <v>106</v>
      </c>
      <c r="D42" s="62" t="s">
        <v>175</v>
      </c>
      <c r="E42" s="32">
        <v>65</v>
      </c>
      <c r="F42" s="31">
        <v>710.37172037999994</v>
      </c>
      <c r="G42" s="33">
        <v>94456</v>
      </c>
      <c r="H42" s="21"/>
      <c r="I42" s="34">
        <v>-4.4111061352440695</v>
      </c>
      <c r="J42" s="34">
        <v>2.5093048385160355</v>
      </c>
      <c r="K42" s="34">
        <v>4.1087034809592415</v>
      </c>
      <c r="L42" s="34">
        <v>11.295403726221952</v>
      </c>
      <c r="M42" s="34">
        <v>9.4819953325306017</v>
      </c>
      <c r="N42" s="34">
        <v>-3.7926905120873933</v>
      </c>
      <c r="O42" s="34">
        <v>6.1326356863479203</v>
      </c>
      <c r="P42" s="34">
        <v>5.5746438097659112</v>
      </c>
      <c r="Q42" s="34">
        <v>12.160711841673489</v>
      </c>
      <c r="R42" s="34">
        <v>10.105896039066398</v>
      </c>
      <c r="S42" s="22"/>
      <c r="T42" s="34">
        <v>10.304636700168448</v>
      </c>
      <c r="U42" s="34">
        <v>11.726855062933437</v>
      </c>
      <c r="W42" s="80">
        <v>0.41000000000000003</v>
      </c>
      <c r="X42" s="80" t="s">
        <v>91</v>
      </c>
      <c r="Y42" s="80">
        <v>0.64700000000000002</v>
      </c>
      <c r="Z42" s="56"/>
      <c r="AA42" s="56"/>
    </row>
    <row r="43" spans="1:30" ht="14.5" customHeight="1" x14ac:dyDescent="0.35">
      <c r="A43" s="30" t="s">
        <v>116</v>
      </c>
      <c r="B43" s="30" t="s">
        <v>25</v>
      </c>
      <c r="C43" s="30" t="s">
        <v>121</v>
      </c>
      <c r="D43" s="62" t="s">
        <v>175</v>
      </c>
      <c r="E43" s="32">
        <v>65</v>
      </c>
      <c r="F43" s="31">
        <v>278.25251695999998</v>
      </c>
      <c r="G43" s="33">
        <v>38722</v>
      </c>
      <c r="H43" s="21"/>
      <c r="I43" s="34">
        <v>-4.3916913946587588</v>
      </c>
      <c r="J43" s="34">
        <v>5.411241248445986</v>
      </c>
      <c r="K43" s="34">
        <v>5.1397626554106957</v>
      </c>
      <c r="L43" s="34">
        <v>10.546995937835835</v>
      </c>
      <c r="M43" s="34">
        <v>7.925581239945334</v>
      </c>
      <c r="N43" s="34">
        <v>-3.2343932502099881</v>
      </c>
      <c r="O43" s="34">
        <v>5.6734066142113404</v>
      </c>
      <c r="P43" s="34">
        <v>5.4306388866112609</v>
      </c>
      <c r="Q43" s="34">
        <v>11.202102035598593</v>
      </c>
      <c r="R43" s="34">
        <v>9.5011942424115592</v>
      </c>
      <c r="S43" s="22"/>
      <c r="T43" s="34">
        <v>10.474093442581612</v>
      </c>
      <c r="U43" s="34">
        <v>11.349995021687004</v>
      </c>
      <c r="W43" s="80">
        <v>0.5</v>
      </c>
      <c r="X43" s="80">
        <v>0.89</v>
      </c>
      <c r="Y43" s="80" t="s">
        <v>91</v>
      </c>
      <c r="Z43" s="56"/>
      <c r="AA43" s="56"/>
    </row>
    <row r="44" spans="1:30" ht="14.5" customHeight="1" x14ac:dyDescent="0.35">
      <c r="A44" s="30" t="s">
        <v>131</v>
      </c>
      <c r="B44" s="30" t="s">
        <v>136</v>
      </c>
      <c r="C44" s="30" t="s">
        <v>142</v>
      </c>
      <c r="D44" s="62" t="s">
        <v>176</v>
      </c>
      <c r="E44" s="32">
        <v>100</v>
      </c>
      <c r="F44" s="31">
        <v>25.582179035799999</v>
      </c>
      <c r="G44" s="33">
        <v>2456</v>
      </c>
      <c r="H44" s="21"/>
      <c r="I44" s="34">
        <v>-5.7493440345732338</v>
      </c>
      <c r="J44" s="34">
        <v>5.6396505492604554</v>
      </c>
      <c r="K44" s="34" t="s">
        <v>161</v>
      </c>
      <c r="L44" s="34" t="s">
        <v>161</v>
      </c>
      <c r="M44" s="34">
        <v>7.762938817449383</v>
      </c>
      <c r="N44" s="34">
        <v>-5.6945183608302248</v>
      </c>
      <c r="O44" s="34">
        <v>6.1441040561355242</v>
      </c>
      <c r="P44" s="34" t="s">
        <v>161</v>
      </c>
      <c r="Q44" s="34" t="s">
        <v>161</v>
      </c>
      <c r="R44" s="34">
        <v>8.390144840421021</v>
      </c>
      <c r="S44" s="22"/>
      <c r="T44" s="34" t="s">
        <v>161</v>
      </c>
      <c r="U44" s="34" t="s">
        <v>161</v>
      </c>
      <c r="W44" s="80">
        <v>0.44640000000000002</v>
      </c>
      <c r="X44" s="80">
        <v>0.57769999999999999</v>
      </c>
      <c r="Y44" s="80" t="s">
        <v>91</v>
      </c>
      <c r="Z44" s="56"/>
      <c r="AA44" s="56"/>
    </row>
    <row r="45" spans="1:30" s="45" customFormat="1" ht="18.649999999999999" customHeight="1" x14ac:dyDescent="0.35">
      <c r="A45" s="95" t="s">
        <v>60</v>
      </c>
      <c r="B45" s="95"/>
      <c r="C45" s="95"/>
      <c r="D45" s="93"/>
      <c r="E45" s="42"/>
      <c r="F45" s="43"/>
      <c r="G45" s="44" t="s">
        <v>98</v>
      </c>
      <c r="H45" s="42"/>
      <c r="I45" s="64">
        <v>-1.9889580369889044</v>
      </c>
      <c r="J45" s="64">
        <v>4.2874668729117342</v>
      </c>
      <c r="K45" s="64">
        <v>2.943725164285993</v>
      </c>
      <c r="L45" s="64">
        <v>6.6612242460579445</v>
      </c>
      <c r="M45" s="64">
        <v>5.5929791826574435</v>
      </c>
      <c r="N45" s="64">
        <v>-1.7710815720501059</v>
      </c>
      <c r="O45" s="64">
        <v>4.8632152736634673</v>
      </c>
      <c r="P45" s="64">
        <v>3.1292893172007576</v>
      </c>
      <c r="Q45" s="64">
        <v>6.6289059469835134</v>
      </c>
      <c r="R45" s="64">
        <v>5.8047006022076459</v>
      </c>
      <c r="S45" s="42"/>
      <c r="T45" s="42"/>
      <c r="U45" s="42"/>
      <c r="W45" s="81"/>
      <c r="X45" s="81"/>
      <c r="Y45" s="81"/>
      <c r="Z45" s="56"/>
      <c r="AA45" s="56"/>
    </row>
    <row r="46" spans="1:30" ht="14.5" customHeight="1" x14ac:dyDescent="0.35">
      <c r="A46" s="30" t="s">
        <v>36</v>
      </c>
      <c r="B46" s="30" t="s">
        <v>27</v>
      </c>
      <c r="C46" s="30" t="s">
        <v>61</v>
      </c>
      <c r="D46" s="62" t="s">
        <v>175</v>
      </c>
      <c r="E46" s="32">
        <v>30</v>
      </c>
      <c r="F46" s="31">
        <v>114.58844878000001</v>
      </c>
      <c r="G46" s="33">
        <v>16547</v>
      </c>
      <c r="H46" s="21"/>
      <c r="I46" s="34">
        <v>-2.3606193154203869</v>
      </c>
      <c r="J46" s="34">
        <v>4.7679356328689693</v>
      </c>
      <c r="K46" s="34">
        <v>2.5704596717222028</v>
      </c>
      <c r="L46" s="34">
        <v>6.6737365772254531</v>
      </c>
      <c r="M46" s="34">
        <v>5.6050507333837762</v>
      </c>
      <c r="N46" s="34">
        <v>-1.6757386514985484</v>
      </c>
      <c r="O46" s="34">
        <v>5.3159588280134562</v>
      </c>
      <c r="P46" s="34">
        <v>3.3183266178927529</v>
      </c>
      <c r="Q46" s="34">
        <v>7.2067843401123488</v>
      </c>
      <c r="R46" s="34">
        <v>6.2599019249104604</v>
      </c>
      <c r="S46" s="22"/>
      <c r="T46" s="34">
        <v>7.9103382559040032</v>
      </c>
      <c r="U46" s="34">
        <v>8.5741413782677682</v>
      </c>
      <c r="W46" s="80">
        <v>0.49</v>
      </c>
      <c r="X46" s="80">
        <v>0.71</v>
      </c>
      <c r="Y46" s="80" t="s">
        <v>91</v>
      </c>
      <c r="Z46" s="56"/>
      <c r="AA46" s="56"/>
    </row>
    <row r="47" spans="1:30" ht="14.5" customHeight="1" x14ac:dyDescent="0.35">
      <c r="A47" s="30" t="s">
        <v>160</v>
      </c>
      <c r="B47" s="30" t="s">
        <v>29</v>
      </c>
      <c r="C47" s="30" t="s">
        <v>129</v>
      </c>
      <c r="D47" s="62" t="s">
        <v>175</v>
      </c>
      <c r="E47" s="32">
        <v>25.35</v>
      </c>
      <c r="F47" s="31">
        <v>140.91779395449998</v>
      </c>
      <c r="G47" s="33">
        <v>17171</v>
      </c>
      <c r="H47" s="21"/>
      <c r="I47" s="34">
        <v>-0.49964813511612638</v>
      </c>
      <c r="J47" s="34">
        <v>5.8783884978283574</v>
      </c>
      <c r="K47" s="34">
        <v>4.1452533367716482</v>
      </c>
      <c r="L47" s="34">
        <v>6.9574067591691824</v>
      </c>
      <c r="M47" s="34">
        <v>5.6961288107570285</v>
      </c>
      <c r="N47" s="34">
        <v>-0.97770699238357572</v>
      </c>
      <c r="O47" s="34">
        <v>5.3765484409660669</v>
      </c>
      <c r="P47" s="34">
        <v>3.5232307942477226</v>
      </c>
      <c r="Q47" s="34">
        <v>5.9000795230482295</v>
      </c>
      <c r="R47" s="34">
        <v>4.9531816710938648</v>
      </c>
      <c r="S47" s="22"/>
      <c r="T47" s="34">
        <v>6.2466773895962273</v>
      </c>
      <c r="U47" s="34">
        <v>7.8588508580331879</v>
      </c>
      <c r="W47" s="80">
        <v>0.5</v>
      </c>
      <c r="X47" s="80">
        <v>0.83</v>
      </c>
      <c r="Y47" s="80">
        <v>0.83</v>
      </c>
      <c r="Z47" s="56"/>
      <c r="AA47" s="56"/>
    </row>
    <row r="48" spans="1:30" ht="14.5" customHeight="1" x14ac:dyDescent="0.35">
      <c r="A48" s="30" t="s">
        <v>88</v>
      </c>
      <c r="B48" s="30" t="s">
        <v>28</v>
      </c>
      <c r="C48" s="30" t="s">
        <v>62</v>
      </c>
      <c r="D48" s="62" t="s">
        <v>175</v>
      </c>
      <c r="E48" s="32">
        <v>30.8</v>
      </c>
      <c r="F48" s="31">
        <v>373.19950411000002</v>
      </c>
      <c r="G48" s="33">
        <v>46473</v>
      </c>
      <c r="H48" s="21"/>
      <c r="I48" s="34">
        <v>-2.0973678727689404</v>
      </c>
      <c r="J48" s="34">
        <v>4.8182020968101646</v>
      </c>
      <c r="K48" s="34">
        <v>2.7662070491192958</v>
      </c>
      <c r="L48" s="34">
        <v>6.8304055032787803</v>
      </c>
      <c r="M48" s="34">
        <v>5.6458471727291126</v>
      </c>
      <c r="N48" s="34">
        <v>-1.872464439199184</v>
      </c>
      <c r="O48" s="34">
        <v>5.1176851803198531</v>
      </c>
      <c r="P48" s="34">
        <v>3.6651847629759704</v>
      </c>
      <c r="Q48" s="34">
        <v>7.6782235862601134</v>
      </c>
      <c r="R48" s="34">
        <v>6.7044472257245635</v>
      </c>
      <c r="S48" s="22"/>
      <c r="T48" s="34">
        <v>7.1834514865940378</v>
      </c>
      <c r="U48" s="34">
        <v>8.560020943263515</v>
      </c>
      <c r="W48" s="80">
        <v>0.5</v>
      </c>
      <c r="X48" s="80" t="s">
        <v>91</v>
      </c>
      <c r="Y48" s="80">
        <v>0.67</v>
      </c>
      <c r="Z48" s="56"/>
      <c r="AA48" s="56"/>
    </row>
    <row r="49" spans="1:27" ht="14.5" customHeight="1" x14ac:dyDescent="0.35">
      <c r="A49" s="30" t="s">
        <v>89</v>
      </c>
      <c r="B49" s="30" t="s">
        <v>26</v>
      </c>
      <c r="C49" s="30" t="s">
        <v>107</v>
      </c>
      <c r="D49" s="62" t="s">
        <v>175</v>
      </c>
      <c r="E49" s="32">
        <v>30</v>
      </c>
      <c r="F49" s="31">
        <v>536.78550175999999</v>
      </c>
      <c r="G49" s="33">
        <v>82115</v>
      </c>
      <c r="H49" s="21"/>
      <c r="I49" s="34">
        <v>-2.29853416832978</v>
      </c>
      <c r="J49" s="34">
        <v>3.1309022228679373</v>
      </c>
      <c r="K49" s="34">
        <v>2.8373771074626131</v>
      </c>
      <c r="L49" s="34">
        <v>7.0768344987148124</v>
      </c>
      <c r="M49" s="34">
        <v>6.1076793610320257</v>
      </c>
      <c r="N49" s="34">
        <v>-2.1935889286743393</v>
      </c>
      <c r="O49" s="34">
        <v>4.3702701115859499</v>
      </c>
      <c r="P49" s="34">
        <v>2.5360006114926392</v>
      </c>
      <c r="Q49" s="34">
        <v>6.3804653403924272</v>
      </c>
      <c r="R49" s="34">
        <v>5.6333781508114189</v>
      </c>
      <c r="S49" s="22"/>
      <c r="T49" s="34">
        <v>7.2708495196916214</v>
      </c>
      <c r="U49" s="34">
        <v>9.1335956607526381</v>
      </c>
      <c r="W49" s="80">
        <v>0.41000000000000003</v>
      </c>
      <c r="X49" s="80" t="s">
        <v>91</v>
      </c>
      <c r="Y49" s="80">
        <v>0.4874</v>
      </c>
      <c r="Z49" s="56"/>
      <c r="AA49" s="56"/>
    </row>
    <row r="50" spans="1:27" ht="14.5" customHeight="1" x14ac:dyDescent="0.35">
      <c r="A50" s="30" t="s">
        <v>116</v>
      </c>
      <c r="B50" s="30" t="s">
        <v>30</v>
      </c>
      <c r="C50" s="30" t="s">
        <v>122</v>
      </c>
      <c r="D50" s="62" t="s">
        <v>175</v>
      </c>
      <c r="E50" s="32">
        <v>30</v>
      </c>
      <c r="F50" s="31">
        <v>235.73891724000001</v>
      </c>
      <c r="G50" s="33">
        <v>35833</v>
      </c>
      <c r="H50" s="21"/>
      <c r="I50" s="34">
        <v>-1.8381240544629307</v>
      </c>
      <c r="J50" s="34">
        <v>4.8646464646464604</v>
      </c>
      <c r="K50" s="34">
        <v>2.9301125707076769</v>
      </c>
      <c r="L50" s="34">
        <v>5.2639026746356787</v>
      </c>
      <c r="M50" s="34">
        <v>4.2562110420071742</v>
      </c>
      <c r="N50" s="34">
        <v>-1.171756632142551</v>
      </c>
      <c r="O50" s="34">
        <v>5.0300375092382943</v>
      </c>
      <c r="P50" s="34">
        <v>3.3044746727075136</v>
      </c>
      <c r="Q50" s="34">
        <v>5.6882081344327595</v>
      </c>
      <c r="R50" s="34">
        <v>5.0412589372096139</v>
      </c>
      <c r="S50" s="22"/>
      <c r="T50" s="34">
        <v>6.6696037126920498</v>
      </c>
      <c r="U50" s="34">
        <v>7.0115838658549174</v>
      </c>
      <c r="W50" s="80">
        <v>0.5</v>
      </c>
      <c r="X50" s="80">
        <v>0.78</v>
      </c>
      <c r="Y50" s="80" t="s">
        <v>91</v>
      </c>
      <c r="Z50" s="56"/>
      <c r="AA50" s="56"/>
    </row>
    <row r="51" spans="1:27" ht="14.5" customHeight="1" x14ac:dyDescent="0.35">
      <c r="A51" s="30" t="s">
        <v>131</v>
      </c>
      <c r="B51" s="30" t="s">
        <v>137</v>
      </c>
      <c r="C51" s="30" t="s">
        <v>141</v>
      </c>
      <c r="D51" s="62" t="s">
        <v>176</v>
      </c>
      <c r="E51" s="32">
        <v>30</v>
      </c>
      <c r="F51" s="31">
        <v>8.194877116999999</v>
      </c>
      <c r="G51" s="33">
        <v>899</v>
      </c>
      <c r="H51" s="21"/>
      <c r="I51" s="34">
        <v>-1.5258809644242088</v>
      </c>
      <c r="J51" s="34">
        <v>5.1963256484149678</v>
      </c>
      <c r="K51" s="34" t="s">
        <v>161</v>
      </c>
      <c r="L51" s="34" t="s">
        <v>161</v>
      </c>
      <c r="M51" s="34">
        <v>5.9829172547333442</v>
      </c>
      <c r="N51" s="34">
        <v>-1.6951983298538642</v>
      </c>
      <c r="O51" s="34">
        <v>5.6068897461200251</v>
      </c>
      <c r="P51" s="34" t="s">
        <v>161</v>
      </c>
      <c r="Q51" s="34" t="s">
        <v>161</v>
      </c>
      <c r="R51" s="34">
        <v>6.2909411610219568</v>
      </c>
      <c r="S51" s="22"/>
      <c r="T51" s="34" t="s">
        <v>161</v>
      </c>
      <c r="U51" s="34" t="s">
        <v>161</v>
      </c>
      <c r="W51" s="80">
        <v>0.44669999999999999</v>
      </c>
      <c r="X51" s="80">
        <v>0.59330000000000005</v>
      </c>
      <c r="Y51" s="80" t="s">
        <v>91</v>
      </c>
      <c r="Z51" s="56"/>
      <c r="AA51" s="56"/>
    </row>
    <row r="52" spans="1:27" s="45" customFormat="1" ht="18.649999999999999" customHeight="1" x14ac:dyDescent="0.35">
      <c r="A52" s="103" t="s">
        <v>63</v>
      </c>
      <c r="B52" s="103"/>
      <c r="C52" s="103"/>
      <c r="D52" s="93"/>
      <c r="E52" s="42"/>
      <c r="F52" s="43"/>
      <c r="G52" s="44" t="s">
        <v>98</v>
      </c>
      <c r="H52" s="42"/>
      <c r="I52" s="64">
        <v>-0.88183686440746012</v>
      </c>
      <c r="J52" s="64">
        <v>3.9265517186627132</v>
      </c>
      <c r="K52" s="64">
        <v>1.6186808743844248</v>
      </c>
      <c r="L52" s="64">
        <v>2.6358953465994195</v>
      </c>
      <c r="M52" s="64">
        <v>2.3044667455279488</v>
      </c>
      <c r="N52" s="64">
        <v>-0.97883336368547269</v>
      </c>
      <c r="O52" s="64">
        <v>3.8017393383196119</v>
      </c>
      <c r="P52" s="64">
        <v>1.3535887804354731</v>
      </c>
      <c r="Q52" s="64">
        <v>2.0761729524838466</v>
      </c>
      <c r="R52" s="64">
        <v>2.1817181870195856</v>
      </c>
      <c r="S52" s="42"/>
      <c r="T52" s="42"/>
      <c r="U52" s="42"/>
      <c r="W52" s="81"/>
      <c r="X52" s="81"/>
      <c r="Y52" s="81"/>
      <c r="Z52" s="56"/>
      <c r="AA52" s="56"/>
    </row>
    <row r="53" spans="1:27" ht="14.5" customHeight="1" x14ac:dyDescent="0.35">
      <c r="A53" s="30" t="s">
        <v>36</v>
      </c>
      <c r="B53" s="30" t="s">
        <v>32</v>
      </c>
      <c r="C53" s="30" t="s">
        <v>64</v>
      </c>
      <c r="D53" s="62" t="s">
        <v>175</v>
      </c>
      <c r="E53" s="32">
        <v>10</v>
      </c>
      <c r="F53" s="31">
        <v>12.669153710000002</v>
      </c>
      <c r="G53" s="33">
        <v>1999</v>
      </c>
      <c r="H53" s="21"/>
      <c r="I53" s="34">
        <v>-1.3371788148925146</v>
      </c>
      <c r="J53" s="34">
        <v>3.6639118457300279</v>
      </c>
      <c r="K53" s="34">
        <v>0.91715135318048979</v>
      </c>
      <c r="L53" s="34">
        <v>2.3218394185727131</v>
      </c>
      <c r="M53" s="34">
        <v>1.9581875742070931</v>
      </c>
      <c r="N53" s="34">
        <v>-0.484181342130241</v>
      </c>
      <c r="O53" s="34">
        <v>4.2459717175193479</v>
      </c>
      <c r="P53" s="34">
        <v>1.2823855008921692</v>
      </c>
      <c r="Q53" s="34">
        <v>2.6238613227610008</v>
      </c>
      <c r="R53" s="34">
        <v>2.7850396761872842</v>
      </c>
      <c r="S53" s="22"/>
      <c r="T53" s="34">
        <v>6.2384453628818193</v>
      </c>
      <c r="U53" s="34">
        <v>6.8243988829087874</v>
      </c>
      <c r="W53" s="80">
        <v>0.49</v>
      </c>
      <c r="X53" s="80">
        <v>0.7</v>
      </c>
      <c r="Y53" s="80" t="s">
        <v>91</v>
      </c>
      <c r="Z53" s="56"/>
      <c r="AA53" s="56"/>
    </row>
    <row r="54" spans="1:27" ht="14.5" customHeight="1" x14ac:dyDescent="0.35">
      <c r="A54" s="30" t="s">
        <v>160</v>
      </c>
      <c r="B54" s="30" t="s">
        <v>35</v>
      </c>
      <c r="C54" s="30" t="s">
        <v>130</v>
      </c>
      <c r="D54" s="62" t="s">
        <v>175</v>
      </c>
      <c r="E54" s="32">
        <v>10</v>
      </c>
      <c r="F54" s="31">
        <v>11.403159137199999</v>
      </c>
      <c r="G54" s="33">
        <v>1555</v>
      </c>
      <c r="H54" s="21"/>
      <c r="I54" s="34">
        <v>-0.40167507050679063</v>
      </c>
      <c r="J54" s="34">
        <v>4.8398704569989182</v>
      </c>
      <c r="K54" s="34">
        <v>2.9583796537889118</v>
      </c>
      <c r="L54" s="34">
        <v>2.8324663567790287</v>
      </c>
      <c r="M54" s="34">
        <v>2.4784402208329226</v>
      </c>
      <c r="N54" s="34">
        <v>-4.3318550456450389E-2</v>
      </c>
      <c r="O54" s="34">
        <v>4.9508765356514495</v>
      </c>
      <c r="P54" s="34">
        <v>2.5000405432071826</v>
      </c>
      <c r="Q54" s="34">
        <v>1.3934226717407849</v>
      </c>
      <c r="R54" s="34">
        <v>1.3406090110209989</v>
      </c>
      <c r="S54" s="22"/>
      <c r="T54" s="34">
        <v>4.8756157065222547</v>
      </c>
      <c r="U54" s="34">
        <v>5.1815711959922615</v>
      </c>
      <c r="W54" s="80">
        <v>0.5</v>
      </c>
      <c r="X54" s="80">
        <v>0.56000000000000005</v>
      </c>
      <c r="Y54" s="80">
        <v>0.56000000000000005</v>
      </c>
      <c r="Z54" s="56"/>
      <c r="AA54" s="56"/>
    </row>
    <row r="55" spans="1:27" ht="14.5" customHeight="1" x14ac:dyDescent="0.35">
      <c r="A55" s="30" t="s">
        <v>88</v>
      </c>
      <c r="B55" s="30" t="s">
        <v>33</v>
      </c>
      <c r="C55" s="30" t="s">
        <v>65</v>
      </c>
      <c r="D55" s="62" t="s">
        <v>175</v>
      </c>
      <c r="E55" s="32">
        <v>18.5</v>
      </c>
      <c r="F55" s="31">
        <v>31.62081654</v>
      </c>
      <c r="G55" s="33">
        <v>4248</v>
      </c>
      <c r="H55" s="21"/>
      <c r="I55" s="34">
        <v>-1.032410933401029</v>
      </c>
      <c r="J55" s="34">
        <v>4.634517312337838</v>
      </c>
      <c r="K55" s="34">
        <v>1.7955342969000254</v>
      </c>
      <c r="L55" s="34">
        <v>2.8176221848900784</v>
      </c>
      <c r="M55" s="34">
        <v>2.5360210251654358</v>
      </c>
      <c r="N55" s="34">
        <v>-1.2703190308987033</v>
      </c>
      <c r="O55" s="34">
        <v>3.9599659715909175</v>
      </c>
      <c r="P55" s="34">
        <v>1.9907090366450664</v>
      </c>
      <c r="Q55" s="34">
        <v>3.0315382878482344</v>
      </c>
      <c r="R55" s="34">
        <v>3.1100334572108368</v>
      </c>
      <c r="S55" s="22"/>
      <c r="T55" s="34">
        <v>5.4781366167164736</v>
      </c>
      <c r="U55" s="34">
        <v>6.7618017258683629</v>
      </c>
      <c r="W55" s="80">
        <v>0.5</v>
      </c>
      <c r="X55" s="80">
        <v>0.65</v>
      </c>
      <c r="Y55" s="80" t="s">
        <v>91</v>
      </c>
      <c r="Z55" s="56"/>
      <c r="AA55" s="56"/>
    </row>
    <row r="56" spans="1:27" ht="14.5" customHeight="1" x14ac:dyDescent="0.35">
      <c r="A56" s="30" t="s">
        <v>89</v>
      </c>
      <c r="B56" s="30" t="s">
        <v>31</v>
      </c>
      <c r="C56" s="30" t="s">
        <v>66</v>
      </c>
      <c r="D56" s="62" t="s">
        <v>175</v>
      </c>
      <c r="E56" s="32">
        <v>15</v>
      </c>
      <c r="F56" s="31">
        <v>47.312661820000002</v>
      </c>
      <c r="G56" s="33">
        <v>4756</v>
      </c>
      <c r="H56" s="21"/>
      <c r="I56" s="34">
        <v>-0.98590331228920469</v>
      </c>
      <c r="J56" s="34">
        <v>3.0513051305130601</v>
      </c>
      <c r="K56" s="34">
        <v>1.293414117461622</v>
      </c>
      <c r="L56" s="34">
        <v>2.5451299601080279</v>
      </c>
      <c r="M56" s="34">
        <v>2.1879574624770637</v>
      </c>
      <c r="N56" s="34">
        <v>-1.5144918410305297</v>
      </c>
      <c r="O56" s="34">
        <v>3.0544798724366329</v>
      </c>
      <c r="P56" s="34">
        <v>0.42477736016639511</v>
      </c>
      <c r="Q56" s="34">
        <v>1.1442001969308002</v>
      </c>
      <c r="R56" s="34">
        <v>1.4595707342173858</v>
      </c>
      <c r="S56" s="22"/>
      <c r="T56" s="34">
        <v>4.9372639448289863</v>
      </c>
      <c r="U56" s="34">
        <v>7.6641386276037951</v>
      </c>
      <c r="W56" s="80">
        <v>0.41000000000000003</v>
      </c>
      <c r="X56" s="80" t="s">
        <v>91</v>
      </c>
      <c r="Y56" s="80">
        <v>0.43020000000000003</v>
      </c>
      <c r="Z56" s="56"/>
      <c r="AA56" s="56"/>
    </row>
    <row r="57" spans="1:27" ht="14.5" customHeight="1" x14ac:dyDescent="0.35">
      <c r="A57" s="30" t="s">
        <v>116</v>
      </c>
      <c r="B57" s="30" t="s">
        <v>34</v>
      </c>
      <c r="C57" s="30" t="s">
        <v>123</v>
      </c>
      <c r="D57" s="62" t="s">
        <v>175</v>
      </c>
      <c r="E57" s="32">
        <v>15</v>
      </c>
      <c r="F57" s="31">
        <v>25.711254309999998</v>
      </c>
      <c r="G57" s="33">
        <v>3777</v>
      </c>
      <c r="H57" s="21"/>
      <c r="I57" s="34">
        <v>-0.49978457561395961</v>
      </c>
      <c r="J57" s="34">
        <v>4.3938161106590767</v>
      </c>
      <c r="K57" s="34">
        <v>1.7512287991734432</v>
      </c>
      <c r="L57" s="34">
        <v>2.646991395569831</v>
      </c>
      <c r="M57" s="34">
        <v>2.3273628020294534</v>
      </c>
      <c r="N57" s="34">
        <v>-0.30056837866299091</v>
      </c>
      <c r="O57" s="34">
        <v>4.2509406283289586</v>
      </c>
      <c r="P57" s="34">
        <v>1.8058106419291065</v>
      </c>
      <c r="Q57" s="34">
        <v>2.649129899163527</v>
      </c>
      <c r="R57" s="34">
        <v>2.4392866457126683</v>
      </c>
      <c r="S57" s="22"/>
      <c r="T57" s="34">
        <v>4.1207723229471744</v>
      </c>
      <c r="U57" s="34">
        <v>4.1438109305844382</v>
      </c>
      <c r="W57" s="80">
        <v>0.5</v>
      </c>
      <c r="X57" s="80">
        <v>0.7</v>
      </c>
      <c r="Y57" s="80" t="s">
        <v>91</v>
      </c>
    </row>
    <row r="58" spans="1:27" ht="14.5" customHeight="1" x14ac:dyDescent="0.35">
      <c r="A58" s="30" t="s">
        <v>131</v>
      </c>
      <c r="B58" s="30" t="s">
        <v>138</v>
      </c>
      <c r="C58" s="30" t="s">
        <v>140</v>
      </c>
      <c r="D58" s="62" t="s">
        <v>176</v>
      </c>
      <c r="E58" s="32">
        <v>0</v>
      </c>
      <c r="F58" s="31">
        <v>0.1163497142</v>
      </c>
      <c r="G58" s="33">
        <v>18</v>
      </c>
      <c r="H58" s="21"/>
      <c r="I58" s="34">
        <v>0.45317220543807935</v>
      </c>
      <c r="J58" s="34">
        <v>3.2608695652174058</v>
      </c>
      <c r="K58" s="34" t="s">
        <v>161</v>
      </c>
      <c r="L58" s="34" t="s">
        <v>161</v>
      </c>
      <c r="M58" s="34">
        <v>2.3470917276105396</v>
      </c>
      <c r="N58" s="34">
        <v>0.62626634739362252</v>
      </c>
      <c r="O58" s="34">
        <v>4.4051600573339789</v>
      </c>
      <c r="P58" s="34" t="s">
        <v>161</v>
      </c>
      <c r="Q58" s="34" t="s">
        <v>161</v>
      </c>
      <c r="R58" s="34">
        <v>3.3673878616051089</v>
      </c>
      <c r="S58" s="22"/>
      <c r="T58" s="34" t="s">
        <v>161</v>
      </c>
      <c r="U58" s="34" t="s">
        <v>161</v>
      </c>
      <c r="W58" s="80">
        <v>0.44850000000000001</v>
      </c>
      <c r="X58" s="80">
        <v>0.59950000000000003</v>
      </c>
      <c r="Y58" s="80" t="s">
        <v>91</v>
      </c>
    </row>
    <row r="59" spans="1:27" s="45" customFormat="1" ht="18.649999999999999" customHeight="1" x14ac:dyDescent="0.35">
      <c r="A59" s="95" t="s">
        <v>67</v>
      </c>
      <c r="B59" s="95"/>
      <c r="C59" s="95"/>
      <c r="D59" s="93"/>
      <c r="E59" s="42"/>
      <c r="F59" s="43"/>
      <c r="G59" s="44" t="s">
        <v>98</v>
      </c>
      <c r="H59" s="42"/>
      <c r="I59" s="64">
        <v>-1.186427772364377</v>
      </c>
      <c r="J59" s="64">
        <v>3.6635906930099327</v>
      </c>
      <c r="K59" s="64">
        <v>1.5715389961461321</v>
      </c>
      <c r="L59" s="64">
        <v>2.2414755360710865</v>
      </c>
      <c r="M59" s="64">
        <v>1.9167180779195485</v>
      </c>
      <c r="N59" s="64">
        <v>-0.92829704414640213</v>
      </c>
      <c r="O59" s="64">
        <v>3.5158767429428086</v>
      </c>
      <c r="P59" s="64">
        <v>1.0331922024757385</v>
      </c>
      <c r="Q59" s="64">
        <v>1.5331734869194984</v>
      </c>
      <c r="R59" s="64">
        <v>1.5155712059130317</v>
      </c>
      <c r="S59" s="42"/>
      <c r="T59" s="42"/>
      <c r="U59" s="42"/>
      <c r="W59" s="81"/>
      <c r="X59" s="81"/>
      <c r="Y59" s="81"/>
    </row>
    <row r="60" spans="1:27" ht="14.5" customHeight="1" x14ac:dyDescent="0.35">
      <c r="A60" s="30" t="s">
        <v>36</v>
      </c>
      <c r="B60" s="30" t="s">
        <v>40</v>
      </c>
      <c r="C60" s="30" t="s">
        <v>110</v>
      </c>
      <c r="D60" s="62" t="s">
        <v>175</v>
      </c>
      <c r="E60" s="87">
        <v>10</v>
      </c>
      <c r="F60" s="31">
        <v>12.76470426</v>
      </c>
      <c r="G60" s="33">
        <v>2926</v>
      </c>
      <c r="H60" s="21"/>
      <c r="I60" s="34">
        <v>-1.7558150058828881</v>
      </c>
      <c r="J60" s="34">
        <v>2.9007488861503505</v>
      </c>
      <c r="K60" s="34">
        <v>0.78286565656320306</v>
      </c>
      <c r="L60" s="34">
        <v>1.4161291882218485</v>
      </c>
      <c r="M60" s="34">
        <v>1.3208673394511594</v>
      </c>
      <c r="N60" s="34">
        <v>-4.3693510848930028E-2</v>
      </c>
      <c r="O60" s="34">
        <v>4.4660778710732263</v>
      </c>
      <c r="P60" s="34">
        <v>1.6638791052045576</v>
      </c>
      <c r="Q60" s="34">
        <v>1.9850132435070833</v>
      </c>
      <c r="R60" s="34">
        <v>1.9425942136139129</v>
      </c>
      <c r="S60" s="22"/>
      <c r="T60" s="34">
        <v>4.775021581919094</v>
      </c>
      <c r="U60" s="34">
        <v>4.9309465566348951</v>
      </c>
      <c r="W60" s="80">
        <v>0.19</v>
      </c>
      <c r="X60" s="80">
        <v>0.34</v>
      </c>
      <c r="Y60" s="80" t="s">
        <v>91</v>
      </c>
    </row>
    <row r="61" spans="1:27" ht="14.5" customHeight="1" x14ac:dyDescent="0.35">
      <c r="A61" s="30" t="s">
        <v>160</v>
      </c>
      <c r="B61" s="30" t="s">
        <v>38</v>
      </c>
      <c r="C61" s="30" t="s">
        <v>68</v>
      </c>
      <c r="D61" s="62" t="s">
        <v>175</v>
      </c>
      <c r="E61" s="87">
        <v>17</v>
      </c>
      <c r="F61" s="31">
        <v>14.859260254599999</v>
      </c>
      <c r="G61" s="33">
        <v>2534</v>
      </c>
      <c r="H61" s="21"/>
      <c r="I61" s="34">
        <v>0.42684968195512152</v>
      </c>
      <c r="J61" s="34">
        <v>5.550668543279369</v>
      </c>
      <c r="K61" s="34">
        <v>2.513079494257342</v>
      </c>
      <c r="L61" s="34">
        <v>3.3040842740445164</v>
      </c>
      <c r="M61" s="34">
        <v>2.9577508447597989</v>
      </c>
      <c r="N61" s="34">
        <v>0.80518518833758712</v>
      </c>
      <c r="O61" s="34">
        <v>5.8224719683411363</v>
      </c>
      <c r="P61" s="34">
        <v>2.4077448578070149</v>
      </c>
      <c r="Q61" s="34">
        <v>3.2524510575539178</v>
      </c>
      <c r="R61" s="34">
        <v>2.7430971118451053</v>
      </c>
      <c r="S61" s="22"/>
      <c r="T61" s="34">
        <v>4.3221172930220186</v>
      </c>
      <c r="U61" s="34">
        <v>4.2952746492662843</v>
      </c>
      <c r="W61" s="80">
        <v>0.2</v>
      </c>
      <c r="X61" s="80">
        <v>0.28000000000000003</v>
      </c>
      <c r="Y61" s="80">
        <v>0.28000000000000003</v>
      </c>
    </row>
    <row r="62" spans="1:27" ht="14.5" customHeight="1" x14ac:dyDescent="0.35">
      <c r="A62" s="30" t="s">
        <v>88</v>
      </c>
      <c r="B62" s="30" t="s">
        <v>37</v>
      </c>
      <c r="C62" s="30" t="s">
        <v>69</v>
      </c>
      <c r="D62" s="62" t="s">
        <v>175</v>
      </c>
      <c r="E62" s="87">
        <v>15</v>
      </c>
      <c r="F62" s="31">
        <v>59.402129459999998</v>
      </c>
      <c r="G62" s="33">
        <v>7452</v>
      </c>
      <c r="H62" s="21"/>
      <c r="I62" s="34">
        <v>-1.0718954248365997</v>
      </c>
      <c r="J62" s="34">
        <v>3.8989566172432655</v>
      </c>
      <c r="K62" s="34">
        <v>1.4909964406491394</v>
      </c>
      <c r="L62" s="34">
        <v>2.4847115434693867</v>
      </c>
      <c r="M62" s="34">
        <v>2.0489839881122407</v>
      </c>
      <c r="N62" s="34">
        <v>-1.3758590308370011</v>
      </c>
      <c r="O62" s="34">
        <v>2.946156201918626</v>
      </c>
      <c r="P62" s="34">
        <v>1.0669620482496311</v>
      </c>
      <c r="Q62" s="34">
        <v>2.046292759009094</v>
      </c>
      <c r="R62" s="34">
        <v>1.8202313805141257</v>
      </c>
      <c r="S62" s="22"/>
      <c r="T62" s="34">
        <v>7.397415754007981</v>
      </c>
      <c r="U62" s="34">
        <v>6.2820449034157884</v>
      </c>
      <c r="W62" s="80">
        <v>0.2</v>
      </c>
      <c r="X62" s="80">
        <v>0.32</v>
      </c>
      <c r="Y62" s="80" t="s">
        <v>91</v>
      </c>
    </row>
    <row r="63" spans="1:27" ht="14.5" customHeight="1" x14ac:dyDescent="0.35">
      <c r="A63" s="30" t="s">
        <v>89</v>
      </c>
      <c r="B63" s="30" t="s">
        <v>39</v>
      </c>
      <c r="C63" s="30" t="s">
        <v>70</v>
      </c>
      <c r="D63" s="62" t="s">
        <v>175</v>
      </c>
      <c r="E63" s="87">
        <v>15</v>
      </c>
      <c r="F63" s="31">
        <v>73.275591800000001</v>
      </c>
      <c r="G63" s="33">
        <v>8389</v>
      </c>
      <c r="H63" s="21"/>
      <c r="I63" s="34">
        <v>-1.8366109330330116</v>
      </c>
      <c r="J63" s="34">
        <v>2.990365388111238</v>
      </c>
      <c r="K63" s="34">
        <v>1.8332268798594953</v>
      </c>
      <c r="L63" s="34">
        <v>2.4896720830482666</v>
      </c>
      <c r="M63" s="34">
        <v>2.0187656537327126</v>
      </c>
      <c r="N63" s="34">
        <v>-1.5144450935332898</v>
      </c>
      <c r="O63" s="34">
        <v>3.054576658487318</v>
      </c>
      <c r="P63" s="34">
        <v>0.42478539650123714</v>
      </c>
      <c r="Q63" s="34">
        <v>0.68068177025002452</v>
      </c>
      <c r="R63" s="34">
        <v>1.0706133626020575</v>
      </c>
      <c r="S63" s="22"/>
      <c r="T63" s="34">
        <v>5.3729555648848066</v>
      </c>
      <c r="U63" s="34">
        <v>7.6641388553094947</v>
      </c>
      <c r="W63" s="80">
        <v>0.2</v>
      </c>
      <c r="X63" s="80" t="s">
        <v>91</v>
      </c>
      <c r="Y63" s="80">
        <v>0.2208</v>
      </c>
    </row>
    <row r="64" spans="1:27" ht="14.5" customHeight="1" x14ac:dyDescent="0.35">
      <c r="A64" s="30" t="s">
        <v>116</v>
      </c>
      <c r="B64" s="30" t="s">
        <v>41</v>
      </c>
      <c r="C64" s="30" t="s">
        <v>148</v>
      </c>
      <c r="D64" s="62" t="s">
        <v>175</v>
      </c>
      <c r="E64" s="87">
        <v>10</v>
      </c>
      <c r="F64" s="31">
        <v>34.472431630000003</v>
      </c>
      <c r="G64" s="33">
        <v>7134</v>
      </c>
      <c r="H64" s="21"/>
      <c r="I64" s="34">
        <v>-0.5160814671458902</v>
      </c>
      <c r="J64" s="34">
        <v>4.1586260131223352</v>
      </c>
      <c r="K64" s="34">
        <v>1.0402637789510116</v>
      </c>
      <c r="L64" s="34">
        <v>1.1423432261154609</v>
      </c>
      <c r="M64" s="34">
        <v>1.231081451204985</v>
      </c>
      <c r="N64" s="34">
        <v>-1.2044509093611655E-2</v>
      </c>
      <c r="O64" s="34">
        <v>4.1213411122034804</v>
      </c>
      <c r="P64" s="34">
        <v>1.4422147144515396</v>
      </c>
      <c r="Q64" s="34">
        <v>1.5526575744933435</v>
      </c>
      <c r="R64" s="34">
        <v>1.2265811621569034</v>
      </c>
      <c r="S64" s="22"/>
      <c r="T64" s="34">
        <v>3.8317274205083809</v>
      </c>
      <c r="U64" s="34">
        <v>3.7034635359524164</v>
      </c>
      <c r="W64" s="80">
        <v>0.2</v>
      </c>
      <c r="X64" s="80">
        <v>0.37</v>
      </c>
      <c r="Y64" s="80" t="s">
        <v>91</v>
      </c>
    </row>
    <row r="65" spans="1:25" ht="14.5" customHeight="1" x14ac:dyDescent="0.35">
      <c r="A65" s="30" t="s">
        <v>131</v>
      </c>
      <c r="B65" s="30" t="s">
        <v>139</v>
      </c>
      <c r="C65" s="30" t="s">
        <v>147</v>
      </c>
      <c r="D65" s="62" t="s">
        <v>176</v>
      </c>
      <c r="E65" s="32">
        <v>0</v>
      </c>
      <c r="F65" s="31">
        <v>0.58699663820000003</v>
      </c>
      <c r="G65" s="33">
        <v>45</v>
      </c>
      <c r="H65" s="21"/>
      <c r="I65" s="34">
        <v>0.56242969628796935</v>
      </c>
      <c r="J65" s="34">
        <v>3.6321483771251994</v>
      </c>
      <c r="K65" s="34" t="s">
        <v>161</v>
      </c>
      <c r="L65" s="34" t="s">
        <v>161</v>
      </c>
      <c r="M65" s="34">
        <v>2.662838451819316</v>
      </c>
      <c r="N65" s="34">
        <v>0.60673947540372808</v>
      </c>
      <c r="O65" s="34">
        <v>4.1453280510194368</v>
      </c>
      <c r="P65" s="34" t="s">
        <v>161</v>
      </c>
      <c r="Q65" s="34" t="s">
        <v>161</v>
      </c>
      <c r="R65" s="34">
        <v>2.841518111158936</v>
      </c>
      <c r="S65" s="22"/>
      <c r="T65" s="34" t="s">
        <v>161</v>
      </c>
      <c r="U65" s="34" t="s">
        <v>161</v>
      </c>
      <c r="W65" s="80">
        <v>0.17929999999999999</v>
      </c>
      <c r="X65" s="80">
        <v>0.33169999999999999</v>
      </c>
      <c r="Y65" s="80" t="s">
        <v>91</v>
      </c>
    </row>
    <row r="66" spans="1:25" x14ac:dyDescent="0.35">
      <c r="D66" s="8"/>
      <c r="E66" s="19"/>
      <c r="F66" s="90"/>
      <c r="G66" s="20"/>
      <c r="H66" s="7"/>
      <c r="I66" s="9"/>
      <c r="J66" s="9"/>
      <c r="K66" s="9"/>
      <c r="L66" s="9"/>
      <c r="M66" s="9"/>
      <c r="N66" s="10"/>
      <c r="O66" s="10"/>
      <c r="P66" s="10"/>
      <c r="Q66" s="10"/>
      <c r="R66" s="10"/>
      <c r="S66" s="11"/>
      <c r="T66" s="12"/>
      <c r="U66" s="13"/>
      <c r="V66" s="1"/>
      <c r="W66" s="13"/>
      <c r="X66" s="13"/>
      <c r="Y66" s="13"/>
    </row>
    <row r="67" spans="1:25" s="41" customFormat="1" x14ac:dyDescent="0.35">
      <c r="A67" s="35"/>
      <c r="B67" s="35"/>
      <c r="C67" s="35"/>
      <c r="D67" s="35"/>
      <c r="E67" s="36"/>
      <c r="F67" s="37"/>
      <c r="G67" s="38" t="s">
        <v>109</v>
      </c>
      <c r="H67" s="39"/>
      <c r="I67" s="39">
        <v>-4.6424296384665977</v>
      </c>
      <c r="J67" s="39">
        <v>4.0656404689733927</v>
      </c>
      <c r="K67" s="39">
        <v>4.6763753162613275</v>
      </c>
      <c r="L67" s="39">
        <v>10.818817982032975</v>
      </c>
      <c r="M67" s="39">
        <v>8.8352244783026137</v>
      </c>
      <c r="N67" s="39">
        <v>-4.1743935985253335</v>
      </c>
      <c r="O67" s="39">
        <v>6.2112039072285921</v>
      </c>
      <c r="P67" s="39">
        <v>6.1550812125875538</v>
      </c>
      <c r="Q67" s="39">
        <v>12.155706421452207</v>
      </c>
      <c r="R67" s="39">
        <v>10.003283200963708</v>
      </c>
      <c r="S67" s="39"/>
      <c r="T67" s="39"/>
      <c r="U67" s="39"/>
      <c r="V67" s="40"/>
      <c r="W67" s="39"/>
      <c r="X67" s="39"/>
      <c r="Y67" s="39"/>
    </row>
    <row r="68" spans="1:25" x14ac:dyDescent="0.35">
      <c r="A68" s="14"/>
      <c r="B68" s="14"/>
      <c r="C68" s="14"/>
      <c r="D68" s="14"/>
      <c r="E68" s="14"/>
      <c r="F68" s="14"/>
      <c r="G68" s="14"/>
      <c r="H68" s="14"/>
      <c r="I68" s="14"/>
      <c r="J68" s="14"/>
      <c r="K68" s="14"/>
      <c r="L68" s="14"/>
      <c r="M68" s="14"/>
      <c r="N68" s="14"/>
      <c r="O68" s="14"/>
      <c r="P68" s="14"/>
      <c r="Q68" s="14"/>
      <c r="R68" s="14"/>
      <c r="S68" s="14"/>
      <c r="T68" s="14"/>
      <c r="U68" s="14"/>
      <c r="V68" s="1"/>
    </row>
    <row r="69" spans="1:25" s="48" customFormat="1" ht="13.5" x14ac:dyDescent="0.3">
      <c r="A69" s="47" t="s">
        <v>82</v>
      </c>
      <c r="B69" s="47"/>
      <c r="C69" s="47"/>
      <c r="D69" s="47"/>
      <c r="E69" s="47"/>
      <c r="F69" s="47"/>
      <c r="G69" s="47"/>
      <c r="H69" s="47"/>
      <c r="I69" s="47"/>
      <c r="J69" s="47"/>
      <c r="K69" s="47"/>
      <c r="L69" s="47"/>
      <c r="M69" s="47"/>
      <c r="N69" s="47"/>
      <c r="O69" s="47"/>
      <c r="P69" s="47"/>
      <c r="Q69" s="47"/>
      <c r="R69" s="47"/>
      <c r="S69" s="47"/>
      <c r="T69" s="47"/>
    </row>
    <row r="70" spans="1:25" s="48" customFormat="1" ht="13.5" x14ac:dyDescent="0.3">
      <c r="A70" s="47" t="s">
        <v>93</v>
      </c>
      <c r="B70" s="47"/>
      <c r="C70" s="47"/>
      <c r="D70" s="47"/>
      <c r="E70" s="47"/>
      <c r="F70" s="68"/>
      <c r="G70" s="68"/>
      <c r="H70" s="47"/>
      <c r="I70" s="47"/>
      <c r="J70" s="47"/>
      <c r="K70" s="47"/>
      <c r="L70" s="47"/>
      <c r="M70" s="47"/>
      <c r="N70" s="47"/>
      <c r="O70" s="47"/>
      <c r="P70" s="47"/>
      <c r="Q70" s="47"/>
      <c r="R70" s="47"/>
      <c r="S70" s="47"/>
      <c r="T70" s="47"/>
    </row>
    <row r="71" spans="1:25" s="48" customFormat="1" ht="13.5" x14ac:dyDescent="0.3">
      <c r="A71" s="47" t="s">
        <v>95</v>
      </c>
      <c r="B71" s="47"/>
      <c r="C71" s="47"/>
      <c r="D71" s="47"/>
      <c r="E71" s="47"/>
      <c r="F71" s="47"/>
      <c r="G71" s="47"/>
      <c r="H71" s="47"/>
      <c r="I71" s="47"/>
      <c r="J71" s="47"/>
      <c r="K71" s="47"/>
      <c r="L71" s="47"/>
      <c r="M71" s="47"/>
      <c r="N71" s="47"/>
      <c r="O71" s="47"/>
      <c r="P71" s="47"/>
      <c r="Q71" s="47"/>
      <c r="R71" s="47"/>
      <c r="S71" s="47"/>
      <c r="T71" s="47"/>
    </row>
    <row r="72" spans="1:25" s="48" customFormat="1" ht="13.5" x14ac:dyDescent="0.3">
      <c r="A72" s="47" t="s">
        <v>96</v>
      </c>
      <c r="B72" s="47"/>
      <c r="C72" s="47"/>
      <c r="D72" s="47"/>
      <c r="E72" s="47"/>
      <c r="F72" s="47"/>
      <c r="G72" s="47"/>
      <c r="H72" s="47"/>
      <c r="I72" s="47"/>
      <c r="J72" s="47"/>
      <c r="K72" s="47"/>
      <c r="L72" s="47"/>
      <c r="M72" s="47"/>
      <c r="N72" s="47"/>
      <c r="O72" s="47"/>
      <c r="P72" s="47"/>
      <c r="Q72" s="47"/>
      <c r="R72" s="47"/>
      <c r="S72" s="47"/>
      <c r="T72" s="47"/>
    </row>
    <row r="73" spans="1:25" s="48" customFormat="1" ht="13.5" x14ac:dyDescent="0.3">
      <c r="A73" s="47" t="s">
        <v>180</v>
      </c>
      <c r="B73" s="49"/>
      <c r="C73" s="49"/>
      <c r="D73" s="49"/>
      <c r="E73" s="49"/>
      <c r="F73" s="49"/>
      <c r="G73" s="49"/>
      <c r="H73" s="49"/>
      <c r="I73" s="49"/>
      <c r="J73" s="49"/>
      <c r="K73" s="49"/>
      <c r="L73" s="49"/>
      <c r="M73" s="49"/>
      <c r="N73" s="49"/>
      <c r="O73" s="49"/>
      <c r="P73" s="49"/>
      <c r="Q73" s="49"/>
      <c r="R73" s="49"/>
      <c r="S73" s="49"/>
      <c r="T73" s="49"/>
    </row>
    <row r="74" spans="1:25" s="48" customFormat="1" ht="13.5" x14ac:dyDescent="0.3">
      <c r="A74" s="50" t="s">
        <v>115</v>
      </c>
      <c r="B74" s="49"/>
      <c r="C74" s="49"/>
      <c r="D74" s="49"/>
      <c r="E74" s="49"/>
      <c r="F74" s="49"/>
      <c r="G74" s="49"/>
      <c r="H74" s="49"/>
      <c r="I74" s="49"/>
      <c r="J74" s="49"/>
      <c r="K74" s="49"/>
      <c r="L74" s="49"/>
      <c r="M74" s="49"/>
      <c r="N74" s="49"/>
      <c r="O74" s="49"/>
      <c r="P74" s="49"/>
      <c r="Q74" s="49"/>
      <c r="R74" s="49"/>
      <c r="S74" s="49"/>
      <c r="T74" s="49"/>
    </row>
    <row r="75" spans="1:25" s="48" customFormat="1" ht="13.5" x14ac:dyDescent="0.3">
      <c r="A75" s="49" t="s">
        <v>101</v>
      </c>
      <c r="B75" s="49"/>
      <c r="C75" s="49"/>
      <c r="D75" s="49"/>
      <c r="E75" s="49"/>
      <c r="F75" s="49"/>
      <c r="G75" s="49"/>
      <c r="H75" s="49"/>
      <c r="I75" s="49"/>
      <c r="J75" s="49"/>
      <c r="K75" s="49"/>
      <c r="L75" s="49"/>
      <c r="M75" s="49"/>
      <c r="N75" s="49"/>
      <c r="O75" s="49"/>
      <c r="P75" s="49"/>
      <c r="Q75" s="49"/>
      <c r="R75" s="49"/>
      <c r="S75" s="49"/>
      <c r="T75" s="49"/>
    </row>
    <row r="76" spans="1:25" s="48" customFormat="1" ht="13.5" x14ac:dyDescent="0.3">
      <c r="A76" s="49" t="s">
        <v>108</v>
      </c>
      <c r="B76" s="49"/>
      <c r="C76" s="49"/>
      <c r="D76" s="49"/>
      <c r="E76" s="49"/>
      <c r="F76" s="49"/>
      <c r="G76" s="49"/>
      <c r="H76" s="49"/>
      <c r="I76" s="49"/>
      <c r="J76" s="49"/>
      <c r="K76" s="49"/>
      <c r="L76" s="49"/>
      <c r="M76" s="49"/>
      <c r="N76" s="49"/>
      <c r="O76" s="49"/>
      <c r="P76" s="49"/>
      <c r="Q76" s="49"/>
      <c r="R76" s="49"/>
      <c r="S76" s="49"/>
      <c r="T76" s="49"/>
    </row>
    <row r="77" spans="1:25" x14ac:dyDescent="0.35">
      <c r="A77" s="47" t="s">
        <v>152</v>
      </c>
      <c r="D77" s="7"/>
      <c r="E77" s="7"/>
      <c r="F77" s="7"/>
      <c r="G77" s="7"/>
      <c r="H77" s="7"/>
      <c r="I77" s="7"/>
      <c r="J77" s="7"/>
      <c r="K77" s="7"/>
      <c r="L77" s="7"/>
      <c r="M77" s="7"/>
      <c r="N77" s="7"/>
      <c r="O77" s="7"/>
      <c r="P77" s="7"/>
      <c r="Q77" s="7"/>
      <c r="R77" s="7"/>
      <c r="S77" s="7"/>
      <c r="T77" s="7"/>
    </row>
    <row r="78" spans="1:25" x14ac:dyDescent="0.35">
      <c r="A78" s="47" t="s">
        <v>153</v>
      </c>
    </row>
    <row r="79" spans="1:25" x14ac:dyDescent="0.35">
      <c r="A79" s="47" t="s">
        <v>156</v>
      </c>
    </row>
    <row r="80" spans="1:25" x14ac:dyDescent="0.35">
      <c r="A80" s="47" t="s">
        <v>155</v>
      </c>
      <c r="E80" s="61"/>
      <c r="F80" s="61"/>
      <c r="G80" s="61"/>
    </row>
    <row r="81" spans="1:22" x14ac:dyDescent="0.35">
      <c r="A81" s="84" t="s">
        <v>187</v>
      </c>
      <c r="E81" s="61"/>
      <c r="F81" s="61"/>
      <c r="G81" s="61"/>
      <c r="I81" s="57"/>
      <c r="J81" s="57"/>
      <c r="K81" s="57"/>
      <c r="L81" s="57"/>
      <c r="M81" s="57"/>
      <c r="N81" s="57"/>
      <c r="O81" s="57"/>
      <c r="P81" s="57"/>
      <c r="Q81" s="57"/>
      <c r="R81" s="57"/>
      <c r="S81" s="57"/>
      <c r="T81" s="57"/>
      <c r="U81" s="57"/>
      <c r="V81" s="57"/>
    </row>
    <row r="82" spans="1:22" x14ac:dyDescent="0.35">
      <c r="A82" s="82"/>
      <c r="E82" s="5"/>
      <c r="F82" s="61"/>
      <c r="G82" s="58"/>
      <c r="I82" s="60"/>
      <c r="J82" s="60"/>
      <c r="K82" s="60"/>
      <c r="L82" s="60"/>
      <c r="M82" s="60"/>
      <c r="N82" s="59"/>
      <c r="O82" s="59"/>
      <c r="P82" s="59"/>
      <c r="Q82" s="59"/>
      <c r="R82" s="59"/>
      <c r="S82" s="57"/>
      <c r="T82" s="57"/>
      <c r="U82" s="57"/>
      <c r="V82" s="57"/>
    </row>
    <row r="83" spans="1:22" x14ac:dyDescent="0.35">
      <c r="A83" s="82"/>
      <c r="E83" s="46"/>
      <c r="F83" s="46"/>
      <c r="G83" s="46"/>
      <c r="K83" s="46"/>
      <c r="L83" s="46"/>
      <c r="M83" s="46"/>
      <c r="N83" s="77"/>
      <c r="O83" s="77"/>
      <c r="P83" s="77"/>
      <c r="Q83" s="77"/>
      <c r="R83" s="77"/>
    </row>
    <row r="84" spans="1:22" x14ac:dyDescent="0.35">
      <c r="A84" s="82"/>
      <c r="E84" s="5"/>
      <c r="F84" s="61"/>
      <c r="G84" s="58"/>
      <c r="I84" s="74"/>
      <c r="J84" s="74"/>
      <c r="K84" s="74"/>
      <c r="L84" s="74"/>
      <c r="M84" s="74"/>
      <c r="N84" s="79"/>
      <c r="O84" s="79"/>
      <c r="P84" s="77"/>
      <c r="Q84" s="77"/>
      <c r="R84" s="77"/>
      <c r="T84" s="73"/>
      <c r="U84" s="73"/>
    </row>
    <row r="85" spans="1:22" x14ac:dyDescent="0.35">
      <c r="A85" s="82"/>
      <c r="E85" s="46"/>
      <c r="F85" s="46"/>
      <c r="G85" s="46"/>
      <c r="I85" s="74"/>
      <c r="J85" s="74"/>
      <c r="K85" s="74"/>
      <c r="L85" s="74"/>
      <c r="M85" s="74"/>
      <c r="N85" s="74"/>
      <c r="O85" s="74"/>
      <c r="P85" s="74"/>
      <c r="Q85" s="74"/>
      <c r="R85" s="74"/>
      <c r="T85" s="74"/>
      <c r="U85" s="74"/>
    </row>
    <row r="86" spans="1:22" x14ac:dyDescent="0.35">
      <c r="A86" s="82"/>
      <c r="E86" s="5"/>
      <c r="F86" s="61"/>
      <c r="G86" s="58"/>
      <c r="I86" s="75"/>
      <c r="J86" s="75"/>
      <c r="K86" s="76"/>
      <c r="L86" s="76"/>
      <c r="M86" s="76"/>
      <c r="N86" s="72"/>
      <c r="O86" s="72"/>
      <c r="P86" s="74"/>
      <c r="Q86" s="74"/>
      <c r="R86" s="74"/>
      <c r="T86" s="74"/>
      <c r="U86" s="74"/>
    </row>
    <row r="87" spans="1:22" x14ac:dyDescent="0.35">
      <c r="A87" s="82"/>
      <c r="E87" s="78"/>
      <c r="F87" s="78"/>
      <c r="G87" s="78"/>
      <c r="I87" s="46"/>
      <c r="J87" s="46"/>
      <c r="K87" s="56"/>
      <c r="L87" s="56"/>
      <c r="M87" s="56"/>
      <c r="N87" s="59"/>
      <c r="O87" s="59"/>
    </row>
    <row r="88" spans="1:22" x14ac:dyDescent="0.35">
      <c r="A88" s="82"/>
      <c r="D88" s="71"/>
      <c r="E88" s="78"/>
      <c r="F88" s="78"/>
      <c r="G88" s="78"/>
    </row>
    <row r="89" spans="1:22" x14ac:dyDescent="0.35">
      <c r="A89" s="82"/>
      <c r="D89" s="71"/>
      <c r="E89" s="6"/>
      <c r="G89" s="56"/>
      <c r="H89" s="56"/>
      <c r="I89" s="56"/>
      <c r="J89" s="56"/>
    </row>
    <row r="90" spans="1:22" x14ac:dyDescent="0.35">
      <c r="G90" s="59"/>
      <c r="H90" s="70"/>
      <c r="I90" s="59"/>
      <c r="J90" s="59"/>
      <c r="K90" s="70"/>
      <c r="L90" s="70"/>
      <c r="M90" s="70"/>
    </row>
    <row r="92" spans="1:22" x14ac:dyDescent="0.35">
      <c r="F92" s="67"/>
    </row>
  </sheetData>
  <mergeCells count="15">
    <mergeCell ref="A45:C45"/>
    <mergeCell ref="A52:C52"/>
    <mergeCell ref="A59:C59"/>
    <mergeCell ref="A10:C10"/>
    <mergeCell ref="A17:C17"/>
    <mergeCell ref="A24:C24"/>
    <mergeCell ref="A31:C31"/>
    <mergeCell ref="A38:C38"/>
    <mergeCell ref="A3:C3"/>
    <mergeCell ref="W1:Y1"/>
    <mergeCell ref="D1:D2"/>
    <mergeCell ref="F1:F2"/>
    <mergeCell ref="G1:G2"/>
    <mergeCell ref="T1:U1"/>
    <mergeCell ref="I1:R1"/>
  </mergeCells>
  <phoneticPr fontId="33" type="noConversion"/>
  <conditionalFormatting sqref="I66:M66">
    <cfRule type="top10" dxfId="70" priority="1370" percent="1" rank="10"/>
  </conditionalFormatting>
  <conditionalFormatting sqref="I3:R65">
    <cfRule type="cellIs" dxfId="69" priority="225" operator="greaterThanOrEqual">
      <formula>0</formula>
    </cfRule>
    <cfRule type="cellIs" dxfId="68" priority="226" operator="lessThan">
      <formula>0</formula>
    </cfRule>
  </conditionalFormatting>
  <conditionalFormatting sqref="T3:U9">
    <cfRule type="cellIs" dxfId="67" priority="703" operator="greaterThanOrEqual">
      <formula>0</formula>
    </cfRule>
    <cfRule type="cellIs" dxfId="66" priority="704" operator="lessThan">
      <formula>0</formula>
    </cfRule>
  </conditionalFormatting>
  <conditionalFormatting sqref="T11:U16">
    <cfRule type="cellIs" dxfId="65" priority="15" operator="greaterThanOrEqual">
      <formula>0</formula>
    </cfRule>
    <cfRule type="cellIs" dxfId="64" priority="16" operator="lessThan">
      <formula>0</formula>
    </cfRule>
  </conditionalFormatting>
  <conditionalFormatting sqref="T18:U23">
    <cfRule type="cellIs" dxfId="63" priority="13" operator="greaterThanOrEqual">
      <formula>0</formula>
    </cfRule>
    <cfRule type="cellIs" dxfId="62" priority="14" operator="lessThan">
      <formula>0</formula>
    </cfRule>
  </conditionalFormatting>
  <conditionalFormatting sqref="T25:U30">
    <cfRule type="cellIs" dxfId="61" priority="11" operator="greaterThanOrEqual">
      <formula>0</formula>
    </cfRule>
    <cfRule type="cellIs" dxfId="60" priority="12" operator="lessThan">
      <formula>0</formula>
    </cfRule>
  </conditionalFormatting>
  <conditionalFormatting sqref="T32:U37">
    <cfRule type="cellIs" dxfId="59" priority="9" operator="greaterThanOrEqual">
      <formula>0</formula>
    </cfRule>
    <cfRule type="cellIs" dxfId="58" priority="10" operator="lessThan">
      <formula>0</formula>
    </cfRule>
  </conditionalFormatting>
  <conditionalFormatting sqref="T39:U44">
    <cfRule type="cellIs" dxfId="57" priority="7" operator="greaterThanOrEqual">
      <formula>0</formula>
    </cfRule>
    <cfRule type="cellIs" dxfId="56" priority="8" operator="lessThan">
      <formula>0</formula>
    </cfRule>
  </conditionalFormatting>
  <conditionalFormatting sqref="T46:U51">
    <cfRule type="cellIs" dxfId="55" priority="5" operator="greaterThanOrEqual">
      <formula>0</formula>
    </cfRule>
    <cfRule type="cellIs" dxfId="54" priority="6" operator="lessThan">
      <formula>0</formula>
    </cfRule>
  </conditionalFormatting>
  <conditionalFormatting sqref="T53:U58">
    <cfRule type="cellIs" dxfId="53" priority="3" operator="greaterThanOrEqual">
      <formula>0</formula>
    </cfRule>
    <cfRule type="cellIs" dxfId="52" priority="4" operator="lessThan">
      <formula>0</formula>
    </cfRule>
  </conditionalFormatting>
  <conditionalFormatting sqref="T60:U65">
    <cfRule type="cellIs" dxfId="51" priority="1" operator="greaterThanOrEqual">
      <formula>0</formula>
    </cfRule>
    <cfRule type="cellIs" dxfId="50" priority="2" operator="lessThan">
      <formula>0</formula>
    </cfRule>
  </conditionalFormatting>
  <hyperlinks>
    <hyperlink ref="E1" location="Strategijų_palyginimas!A1" display="Strategija " xr:uid="{00000000-0004-0000-0000-000000000000}"/>
    <hyperlink ref="A10" location="'1996-2002'!A1" display="Tikslinės pensijų fondų dalyvių grupės pensijų fondai, 1996-2002" xr:uid="{00000000-0004-0000-0000-000001000000}"/>
    <hyperlink ref="A17" location="'1989-1995'!A1" display="Tikslinės pensijų fondų dalyvių grupės pensijų fondai, 1989-1995" xr:uid="{00000000-0004-0000-0000-000002000000}"/>
    <hyperlink ref="A24" location="'1982-1988'!A1" display="Tikslinės pensijų fondų dalyvių grupės pensijų fondai, 1982-1988" xr:uid="{00000000-0004-0000-0000-000003000000}"/>
    <hyperlink ref="A31" location="'1975-1981'!A1" display="Tikslinės pensijų fondų dalyvių grupės pensijų fondai, 1975-1981" xr:uid="{00000000-0004-0000-0000-000004000000}"/>
    <hyperlink ref="A38" location="'1968-1974'!A1" display="Tikslinės pensijų fondų dalyvių grupės pensijų fondai, 1968-1974" xr:uid="{00000000-0004-0000-0000-000005000000}"/>
    <hyperlink ref="A45" location="'1961-1967'!A1" display="Tikslinės pensijų fondų dalyvių grupės pensijų fondai, 1961-1967" xr:uid="{00000000-0004-0000-0000-000006000000}"/>
    <hyperlink ref="A52" location="'1954-1960'!A1" display="Tikslinės pensijų fondų dalyvių grupės pensijų fondai, 1954-1960" xr:uid="{00000000-0004-0000-0000-000007000000}"/>
    <hyperlink ref="A59" location="TIF!A1" display="Pensijų turto išsaugojimo pensijų fondai" xr:uid="{00000000-0004-0000-0000-000008000000}"/>
    <hyperlink ref="A3" location="'1996-2002'!A1" display="Tikslinės pensijų fondų dalyvių grupės pensijų fondai, 1996-2002" xr:uid="{AC16E2C2-2DD8-499B-BBFE-86DC5BDC6CB7}"/>
  </hyperlinks>
  <pageMargins left="0.7" right="0.7" top="0.75" bottom="0.75" header="0.3" footer="0.3"/>
  <pageSetup paperSize="9" orientation="portrait" horizontalDpi="300" verticalDpi="300" r:id="rId1"/>
  <headerFooter>
    <oddHeader>&amp;R&amp;"Calibri"&amp;10&amp;K000000LB RIBOTO NAUDOJIMO (RESTRICTED)&amp;1#</oddHeader>
    <oddFooter>&amp;R&amp;1#&amp;"Calibri"&amp;10&amp;K000000LB RIBOTO NAUDOJIMO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3A91F-7B7A-4F7F-A860-8B63BAE9F348}">
  <dimension ref="A1:AA70"/>
  <sheetViews>
    <sheetView showGridLines="0" zoomScale="50" zoomScaleNormal="50" workbookViewId="0"/>
  </sheetViews>
  <sheetFormatPr defaultColWidth="8.81640625" defaultRowHeight="15.5" x14ac:dyDescent="0.35"/>
  <cols>
    <col min="1" max="1" width="44.54296875" style="15" customWidth="1"/>
    <col min="2" max="2" width="14.81640625" style="15" bestFit="1" customWidth="1"/>
    <col min="3" max="3" width="67.54296875" style="15" customWidth="1"/>
    <col min="4" max="4" width="15.54296875" style="15" customWidth="1"/>
    <col min="5" max="5" width="16.1796875" style="15" bestFit="1" customWidth="1"/>
    <col min="6" max="6" width="17" style="15" customWidth="1"/>
    <col min="7" max="7" width="17.81640625" style="15" customWidth="1"/>
    <col min="8" max="8" width="1.453125" style="15" customWidth="1"/>
    <col min="9" max="9" width="16.54296875" style="15" customWidth="1"/>
    <col min="10" max="10" width="17.6328125" style="15" customWidth="1"/>
    <col min="11" max="15" width="17.453125" style="15" customWidth="1"/>
    <col min="16" max="16" width="18.1796875" style="15" customWidth="1"/>
    <col min="17" max="17" width="17.453125" style="15" customWidth="1"/>
    <col min="18" max="18" width="18.1796875" style="15" customWidth="1"/>
    <col min="19" max="19" width="1.453125" style="15" customWidth="1"/>
    <col min="20" max="20" width="18.54296875" style="15" customWidth="1"/>
    <col min="21" max="21" width="18.1796875" style="15" customWidth="1"/>
    <col min="22" max="22" width="1.453125" style="15" customWidth="1"/>
    <col min="23" max="23" width="15.453125" style="15" customWidth="1"/>
    <col min="24" max="24" width="14.453125" style="15" customWidth="1"/>
    <col min="25" max="25" width="17.453125" style="15" customWidth="1"/>
    <col min="26" max="16384" width="8.81640625" style="15"/>
  </cols>
  <sheetData>
    <row r="1" spans="1:27" ht="22.4" customHeight="1" x14ac:dyDescent="0.35">
      <c r="A1" s="92">
        <v>45747</v>
      </c>
      <c r="B1" s="24"/>
      <c r="C1" s="86" t="s">
        <v>76</v>
      </c>
      <c r="D1" s="98" t="s">
        <v>90</v>
      </c>
      <c r="E1" s="29" t="s">
        <v>75</v>
      </c>
      <c r="F1" s="98" t="s">
        <v>100</v>
      </c>
      <c r="G1" s="98" t="s">
        <v>71</v>
      </c>
      <c r="H1" s="26"/>
      <c r="I1" s="104" t="s">
        <v>72</v>
      </c>
      <c r="J1" s="105"/>
      <c r="K1" s="105"/>
      <c r="L1" s="105"/>
      <c r="M1" s="105"/>
      <c r="N1" s="105"/>
      <c r="O1" s="105"/>
      <c r="P1" s="105"/>
      <c r="Q1" s="105"/>
      <c r="R1" s="105"/>
      <c r="S1" s="27"/>
      <c r="T1" s="100" t="s">
        <v>97</v>
      </c>
      <c r="U1" s="101">
        <v>0</v>
      </c>
      <c r="V1" s="27"/>
      <c r="W1" s="96" t="s">
        <v>188</v>
      </c>
      <c r="X1" s="102">
        <v>0</v>
      </c>
      <c r="Y1" s="102">
        <v>0</v>
      </c>
    </row>
    <row r="2" spans="1:27" ht="92.5" customHeight="1" x14ac:dyDescent="0.35">
      <c r="A2" s="23" t="s">
        <v>42</v>
      </c>
      <c r="B2" s="23" t="s">
        <v>43</v>
      </c>
      <c r="C2" s="23" t="s">
        <v>44</v>
      </c>
      <c r="D2" s="99">
        <v>0</v>
      </c>
      <c r="E2" s="23" t="s">
        <v>99</v>
      </c>
      <c r="F2" s="99">
        <v>0</v>
      </c>
      <c r="G2" s="99">
        <v>0</v>
      </c>
      <c r="H2" s="26"/>
      <c r="I2" s="94" t="s">
        <v>92</v>
      </c>
      <c r="J2" s="23" t="s">
        <v>183</v>
      </c>
      <c r="K2" s="23" t="s">
        <v>157</v>
      </c>
      <c r="L2" s="23" t="s">
        <v>177</v>
      </c>
      <c r="M2" s="23" t="s">
        <v>185</v>
      </c>
      <c r="N2" s="23" t="s">
        <v>94</v>
      </c>
      <c r="O2" s="23" t="s">
        <v>184</v>
      </c>
      <c r="P2" s="23" t="s">
        <v>158</v>
      </c>
      <c r="Q2" s="23" t="s">
        <v>178</v>
      </c>
      <c r="R2" s="23" t="s">
        <v>186</v>
      </c>
      <c r="S2" s="28"/>
      <c r="T2" s="23" t="s">
        <v>111</v>
      </c>
      <c r="U2" s="23" t="s">
        <v>112</v>
      </c>
      <c r="V2" s="28"/>
      <c r="W2" s="23" t="s">
        <v>149</v>
      </c>
      <c r="X2" s="23" t="s">
        <v>150</v>
      </c>
      <c r="Y2" s="23" t="s">
        <v>151</v>
      </c>
    </row>
    <row r="3" spans="1:27" ht="21.5" customHeight="1" x14ac:dyDescent="0.35">
      <c r="A3" s="95" t="s">
        <v>182</v>
      </c>
      <c r="B3" s="95"/>
      <c r="C3" s="95"/>
      <c r="D3" s="42"/>
      <c r="E3" s="42"/>
      <c r="F3" s="43"/>
      <c r="G3" s="66" t="s">
        <v>98</v>
      </c>
      <c r="H3" s="43"/>
      <c r="I3" s="63">
        <v>-7.7217924104345999</v>
      </c>
      <c r="J3" s="63" t="s">
        <v>161</v>
      </c>
      <c r="K3" s="63" t="s">
        <v>161</v>
      </c>
      <c r="L3" s="63" t="s">
        <v>161</v>
      </c>
      <c r="M3" s="63">
        <v>-7.7217924104345999</v>
      </c>
      <c r="N3" s="63">
        <v>-5.577284950716658</v>
      </c>
      <c r="O3" s="63" t="s">
        <v>161</v>
      </c>
      <c r="P3" s="63" t="s">
        <v>161</v>
      </c>
      <c r="Q3" s="63" t="s">
        <v>161</v>
      </c>
      <c r="R3" s="63">
        <v>-5.577284950716658</v>
      </c>
      <c r="S3" s="43"/>
      <c r="T3" s="43"/>
      <c r="U3" s="43"/>
      <c r="V3" s="43"/>
      <c r="W3" s="43"/>
      <c r="X3" s="43"/>
      <c r="Y3" s="43"/>
    </row>
    <row r="4" spans="1:27" customFormat="1" ht="14.5" customHeight="1" x14ac:dyDescent="0.35">
      <c r="A4" s="30" t="s">
        <v>36</v>
      </c>
      <c r="B4" s="30" t="s">
        <v>166</v>
      </c>
      <c r="C4" s="30" t="s">
        <v>169</v>
      </c>
      <c r="D4" s="88" t="s">
        <v>168</v>
      </c>
      <c r="E4" s="32">
        <v>90</v>
      </c>
      <c r="F4" s="31">
        <v>2.29546538</v>
      </c>
      <c r="G4" s="33">
        <v>4502</v>
      </c>
      <c r="H4" s="21"/>
      <c r="I4" s="34">
        <v>-7.66</v>
      </c>
      <c r="J4" s="34" t="s">
        <v>161</v>
      </c>
      <c r="K4" s="34" t="s">
        <v>161</v>
      </c>
      <c r="L4" s="34" t="s">
        <v>161</v>
      </c>
      <c r="M4" s="34">
        <v>-7.66</v>
      </c>
      <c r="N4" s="34">
        <v>-4.6500999999999904</v>
      </c>
      <c r="O4" s="34" t="s">
        <v>161</v>
      </c>
      <c r="P4" s="34" t="s">
        <v>161</v>
      </c>
      <c r="Q4" s="34" t="s">
        <v>161</v>
      </c>
      <c r="R4" s="34">
        <v>-4.6500999999999904</v>
      </c>
      <c r="S4" s="22"/>
      <c r="T4" s="34" t="s">
        <v>161</v>
      </c>
      <c r="U4" s="34" t="s">
        <v>161</v>
      </c>
      <c r="V4" s="22"/>
      <c r="W4" s="34" t="s">
        <v>91</v>
      </c>
      <c r="X4" s="34" t="s">
        <v>91</v>
      </c>
      <c r="Y4" s="34" t="s">
        <v>91</v>
      </c>
      <c r="Z4" s="56"/>
      <c r="AA4" s="56"/>
    </row>
    <row r="5" spans="1:27" customFormat="1" ht="14.5" customHeight="1" x14ac:dyDescent="0.35">
      <c r="A5" s="30" t="s">
        <v>160</v>
      </c>
      <c r="B5" s="30" t="s">
        <v>167</v>
      </c>
      <c r="C5" s="30" t="s">
        <v>174</v>
      </c>
      <c r="D5" s="88" t="s">
        <v>168</v>
      </c>
      <c r="E5" s="32">
        <v>97</v>
      </c>
      <c r="F5" s="31">
        <v>0.94698043619999994</v>
      </c>
      <c r="G5" s="33">
        <v>2389</v>
      </c>
      <c r="H5" s="21"/>
      <c r="I5" s="34">
        <v>-7.399999999999995</v>
      </c>
      <c r="J5" s="34" t="s">
        <v>161</v>
      </c>
      <c r="K5" s="34" t="s">
        <v>161</v>
      </c>
      <c r="L5" s="34" t="s">
        <v>161</v>
      </c>
      <c r="M5" s="34">
        <v>-7.399999999999995</v>
      </c>
      <c r="N5" s="34">
        <v>-6.1423999999999923</v>
      </c>
      <c r="O5" s="34" t="s">
        <v>161</v>
      </c>
      <c r="P5" s="34" t="s">
        <v>161</v>
      </c>
      <c r="Q5" s="34" t="s">
        <v>161</v>
      </c>
      <c r="R5" s="34">
        <v>-6.1423999999999923</v>
      </c>
      <c r="S5" s="22"/>
      <c r="T5" s="34" t="s">
        <v>161</v>
      </c>
      <c r="U5" s="34" t="s">
        <v>161</v>
      </c>
      <c r="V5" s="22"/>
      <c r="W5" s="34" t="s">
        <v>91</v>
      </c>
      <c r="X5" s="34" t="s">
        <v>91</v>
      </c>
      <c r="Y5" s="34" t="s">
        <v>91</v>
      </c>
      <c r="Z5" s="56"/>
      <c r="AA5" s="56"/>
    </row>
    <row r="6" spans="1:27" customFormat="1" ht="14.5" customHeight="1" x14ac:dyDescent="0.35">
      <c r="A6" s="30" t="s">
        <v>88</v>
      </c>
      <c r="B6" s="30" t="s">
        <v>162</v>
      </c>
      <c r="C6" s="30" t="s">
        <v>170</v>
      </c>
      <c r="D6" s="88" t="s">
        <v>168</v>
      </c>
      <c r="E6" s="32">
        <v>98</v>
      </c>
      <c r="F6" s="31">
        <v>1.15807756</v>
      </c>
      <c r="G6" s="33">
        <v>1320</v>
      </c>
      <c r="H6" s="21"/>
      <c r="I6" s="34">
        <v>-7.7999999999999954</v>
      </c>
      <c r="J6" s="34" t="s">
        <v>161</v>
      </c>
      <c r="K6" s="34" t="s">
        <v>161</v>
      </c>
      <c r="L6" s="34" t="s">
        <v>161</v>
      </c>
      <c r="M6" s="34">
        <v>-7.7999999999999954</v>
      </c>
      <c r="N6" s="34">
        <v>-5.9424999999999955</v>
      </c>
      <c r="O6" s="34" t="s">
        <v>161</v>
      </c>
      <c r="P6" s="34" t="s">
        <v>161</v>
      </c>
      <c r="Q6" s="34" t="s">
        <v>161</v>
      </c>
      <c r="R6" s="34">
        <v>-5.9424999999999955</v>
      </c>
      <c r="S6" s="22"/>
      <c r="T6" s="34" t="s">
        <v>161</v>
      </c>
      <c r="U6" s="34" t="s">
        <v>161</v>
      </c>
      <c r="V6" s="22"/>
      <c r="W6" s="34" t="s">
        <v>91</v>
      </c>
      <c r="X6" s="34" t="s">
        <v>91</v>
      </c>
      <c r="Y6" s="34" t="s">
        <v>91</v>
      </c>
      <c r="Z6" s="56"/>
      <c r="AA6" s="56"/>
    </row>
    <row r="7" spans="1:27" customFormat="1" ht="14.5" customHeight="1" x14ac:dyDescent="0.35">
      <c r="A7" s="30" t="s">
        <v>89</v>
      </c>
      <c r="B7" s="30" t="s">
        <v>163</v>
      </c>
      <c r="C7" s="30" t="s">
        <v>172</v>
      </c>
      <c r="D7" s="88" t="s">
        <v>168</v>
      </c>
      <c r="E7" s="32">
        <v>97</v>
      </c>
      <c r="F7" s="31">
        <v>1.577888</v>
      </c>
      <c r="G7" s="33">
        <v>1874</v>
      </c>
      <c r="H7" s="21"/>
      <c r="I7" s="34">
        <v>-8.4200000000000053</v>
      </c>
      <c r="J7" s="34" t="s">
        <v>161</v>
      </c>
      <c r="K7" s="34" t="s">
        <v>161</v>
      </c>
      <c r="L7" s="34" t="s">
        <v>161</v>
      </c>
      <c r="M7" s="34">
        <v>-8.4200000000000053</v>
      </c>
      <c r="N7" s="34">
        <v>-5.7603999999999989</v>
      </c>
      <c r="O7" s="34" t="s">
        <v>161</v>
      </c>
      <c r="P7" s="34" t="s">
        <v>161</v>
      </c>
      <c r="Q7" s="34" t="s">
        <v>161</v>
      </c>
      <c r="R7" s="34">
        <v>-5.7603999999999989</v>
      </c>
      <c r="S7" s="22"/>
      <c r="T7" s="34" t="s">
        <v>161</v>
      </c>
      <c r="U7" s="34" t="s">
        <v>161</v>
      </c>
      <c r="V7" s="22"/>
      <c r="W7" s="34" t="s">
        <v>91</v>
      </c>
      <c r="X7" s="34" t="s">
        <v>91</v>
      </c>
      <c r="Y7" s="34" t="s">
        <v>91</v>
      </c>
      <c r="Z7" s="56"/>
      <c r="AA7" s="56"/>
    </row>
    <row r="8" spans="1:27" customFormat="1" ht="14.5" customHeight="1" x14ac:dyDescent="0.35">
      <c r="A8" s="30" t="s">
        <v>116</v>
      </c>
      <c r="B8" s="30" t="s">
        <v>165</v>
      </c>
      <c r="C8" s="30" t="s">
        <v>173</v>
      </c>
      <c r="D8" s="88" t="s">
        <v>168</v>
      </c>
      <c r="E8" s="32">
        <v>90</v>
      </c>
      <c r="F8" s="31">
        <v>0.94514975000000001</v>
      </c>
      <c r="G8" s="33">
        <v>1284</v>
      </c>
      <c r="H8" s="21"/>
      <c r="I8" s="34">
        <v>-8.1899999999999977</v>
      </c>
      <c r="J8" s="34" t="s">
        <v>161</v>
      </c>
      <c r="K8" s="34" t="s">
        <v>161</v>
      </c>
      <c r="L8" s="34" t="s">
        <v>161</v>
      </c>
      <c r="M8" s="34">
        <v>-8.1899999999999977</v>
      </c>
      <c r="N8" s="34">
        <v>-5.062600000000006</v>
      </c>
      <c r="O8" s="34" t="s">
        <v>161</v>
      </c>
      <c r="P8" s="34" t="s">
        <v>161</v>
      </c>
      <c r="Q8" s="34" t="s">
        <v>161</v>
      </c>
      <c r="R8" s="34">
        <v>-5.062600000000006</v>
      </c>
      <c r="S8" s="22"/>
      <c r="T8" s="34" t="s">
        <v>161</v>
      </c>
      <c r="U8" s="34" t="s">
        <v>161</v>
      </c>
      <c r="V8" s="22"/>
      <c r="W8" s="34" t="s">
        <v>91</v>
      </c>
      <c r="X8" s="34" t="s">
        <v>91</v>
      </c>
      <c r="Y8" s="34" t="s">
        <v>91</v>
      </c>
      <c r="Z8" s="56"/>
      <c r="AA8" s="56"/>
    </row>
    <row r="9" spans="1:27" customFormat="1" ht="14.5" customHeight="1" x14ac:dyDescent="0.35">
      <c r="A9" s="30" t="s">
        <v>154</v>
      </c>
      <c r="B9" s="30" t="s">
        <v>164</v>
      </c>
      <c r="C9" s="30" t="s">
        <v>171</v>
      </c>
      <c r="D9" s="88" t="s">
        <v>168</v>
      </c>
      <c r="E9" s="32">
        <v>100</v>
      </c>
      <c r="F9" s="31">
        <v>1.9744626903</v>
      </c>
      <c r="G9" s="33">
        <v>2697</v>
      </c>
      <c r="H9" s="21"/>
      <c r="I9" s="34">
        <v>-7.1200000000000045</v>
      </c>
      <c r="J9" s="34" t="s">
        <v>161</v>
      </c>
      <c r="K9" s="34" t="s">
        <v>161</v>
      </c>
      <c r="L9" s="34" t="s">
        <v>161</v>
      </c>
      <c r="M9" s="34">
        <v>-7.1200000000000045</v>
      </c>
      <c r="N9" s="34">
        <v>-6.2699999999999978</v>
      </c>
      <c r="O9" s="34" t="s">
        <v>161</v>
      </c>
      <c r="P9" s="34" t="s">
        <v>161</v>
      </c>
      <c r="Q9" s="34" t="s">
        <v>161</v>
      </c>
      <c r="R9" s="34">
        <v>-6.2699999999999978</v>
      </c>
      <c r="S9" s="22"/>
      <c r="T9" s="34" t="s">
        <v>161</v>
      </c>
      <c r="U9" s="34" t="s">
        <v>161</v>
      </c>
      <c r="V9" s="22"/>
      <c r="W9" s="34" t="s">
        <v>91</v>
      </c>
      <c r="X9" s="34" t="s">
        <v>91</v>
      </c>
      <c r="Y9" s="34" t="s">
        <v>91</v>
      </c>
      <c r="Z9" s="56"/>
      <c r="AA9" s="56"/>
    </row>
    <row r="10" spans="1:27" x14ac:dyDescent="0.35">
      <c r="A10" s="16"/>
      <c r="B10" s="16"/>
      <c r="C10" s="16"/>
      <c r="D10" s="16"/>
      <c r="E10" s="16"/>
      <c r="F10" s="16"/>
      <c r="G10" s="16"/>
      <c r="H10" s="16"/>
      <c r="I10" s="16"/>
      <c r="J10" s="16"/>
      <c r="K10" s="16"/>
      <c r="L10" s="16"/>
      <c r="M10" s="16"/>
      <c r="N10" s="16"/>
      <c r="O10" s="16"/>
      <c r="P10" s="16"/>
      <c r="Q10" s="16"/>
      <c r="R10" s="16"/>
      <c r="S10" s="16"/>
      <c r="T10" s="16"/>
      <c r="U10" s="16"/>
      <c r="V10" s="16"/>
    </row>
    <row r="11" spans="1:27" s="53" customFormat="1" ht="13.5" x14ac:dyDescent="0.3">
      <c r="A11" s="51" t="s">
        <v>179</v>
      </c>
      <c r="B11" s="47"/>
      <c r="C11" s="47"/>
      <c r="D11" s="52"/>
      <c r="E11" s="52"/>
      <c r="F11" s="52"/>
      <c r="G11" s="52"/>
      <c r="H11" s="52"/>
      <c r="I11" s="52"/>
      <c r="J11" s="52"/>
      <c r="K11" s="52"/>
      <c r="L11" s="52"/>
      <c r="M11" s="52"/>
      <c r="N11" s="52"/>
      <c r="O11" s="52"/>
      <c r="P11" s="52"/>
      <c r="Q11" s="52"/>
      <c r="R11" s="52"/>
    </row>
    <row r="12" spans="1:27" s="53" customFormat="1" ht="13.5" x14ac:dyDescent="0.3">
      <c r="A12" s="47" t="s">
        <v>93</v>
      </c>
      <c r="B12" s="51"/>
      <c r="C12" s="51"/>
    </row>
    <row r="13" spans="1:27" s="53" customFormat="1" ht="13.5" x14ac:dyDescent="0.3">
      <c r="A13" s="51" t="s">
        <v>95</v>
      </c>
      <c r="B13" s="51"/>
      <c r="C13" s="51"/>
    </row>
    <row r="14" spans="1:27" s="53" customFormat="1" ht="13.5" x14ac:dyDescent="0.3">
      <c r="A14" s="51" t="s">
        <v>96</v>
      </c>
      <c r="B14" s="51"/>
      <c r="C14" s="51"/>
    </row>
    <row r="15" spans="1:27" s="53" customFormat="1" ht="13.5" x14ac:dyDescent="0.3">
      <c r="A15" s="51" t="s">
        <v>180</v>
      </c>
      <c r="B15" s="52"/>
      <c r="C15" s="52"/>
    </row>
    <row r="16" spans="1:27" s="53" customFormat="1" ht="13.5" x14ac:dyDescent="0.3">
      <c r="A16" s="54" t="s">
        <v>115</v>
      </c>
      <c r="B16" s="52"/>
      <c r="C16" s="52"/>
    </row>
    <row r="17" spans="1:4" s="53" customFormat="1" ht="13.5" x14ac:dyDescent="0.3">
      <c r="A17" s="54" t="s">
        <v>101</v>
      </c>
    </row>
    <row r="18" spans="1:4" s="53" customFormat="1" ht="13.5" x14ac:dyDescent="0.3">
      <c r="A18" s="54" t="s">
        <v>181</v>
      </c>
    </row>
    <row r="19" spans="1:4" s="53" customFormat="1" ht="13.5" x14ac:dyDescent="0.3">
      <c r="A19" s="54" t="s">
        <v>152</v>
      </c>
    </row>
    <row r="20" spans="1:4" s="53" customFormat="1" ht="13.5" x14ac:dyDescent="0.3">
      <c r="A20" s="54" t="s">
        <v>153</v>
      </c>
    </row>
    <row r="21" spans="1:4" s="53" customFormat="1" ht="13.5" x14ac:dyDescent="0.3">
      <c r="A21" s="54" t="s">
        <v>156</v>
      </c>
    </row>
    <row r="22" spans="1:4" s="53" customFormat="1" ht="13.5" x14ac:dyDescent="0.3">
      <c r="A22" s="54" t="s">
        <v>155</v>
      </c>
    </row>
    <row r="23" spans="1:4" s="53" customFormat="1" ht="13.5" x14ac:dyDescent="0.3">
      <c r="A23" s="84" t="s">
        <v>187</v>
      </c>
    </row>
    <row r="24" spans="1:4" x14ac:dyDescent="0.35">
      <c r="A24" s="54"/>
    </row>
    <row r="25" spans="1:4" x14ac:dyDescent="0.35">
      <c r="A25" s="35" t="s">
        <v>113</v>
      </c>
      <c r="B25" s="35"/>
      <c r="C25" s="35"/>
      <c r="D25" s="35"/>
    </row>
    <row r="26" spans="1:4" s="53" customFormat="1" ht="13.5" x14ac:dyDescent="0.3">
      <c r="A26" s="51" t="s">
        <v>83</v>
      </c>
      <c r="B26" s="52"/>
      <c r="C26" s="52"/>
    </row>
    <row r="27" spans="1:4" s="53" customFormat="1" ht="13.5" x14ac:dyDescent="0.3">
      <c r="A27" s="51" t="s">
        <v>84</v>
      </c>
      <c r="B27" s="52"/>
      <c r="C27" s="52"/>
    </row>
    <row r="28" spans="1:4" x14ac:dyDescent="0.35">
      <c r="A28" s="17"/>
      <c r="B28" s="17"/>
      <c r="C28" s="17"/>
    </row>
    <row r="35" spans="1:3" x14ac:dyDescent="0.35">
      <c r="A35" s="35" t="s">
        <v>0</v>
      </c>
      <c r="B35" s="35" t="s">
        <v>73</v>
      </c>
      <c r="C35" s="35" t="s">
        <v>72</v>
      </c>
    </row>
    <row r="36" spans="1:3" x14ac:dyDescent="0.35">
      <c r="A36" s="30" t="s">
        <v>166</v>
      </c>
      <c r="B36" s="31" t="s">
        <v>161</v>
      </c>
      <c r="C36" s="31" t="s">
        <v>161</v>
      </c>
    </row>
    <row r="37" spans="1:3" x14ac:dyDescent="0.35">
      <c r="A37" s="30" t="s">
        <v>167</v>
      </c>
      <c r="B37" s="31" t="s">
        <v>161</v>
      </c>
      <c r="C37" s="31" t="s">
        <v>161</v>
      </c>
    </row>
    <row r="38" spans="1:3" x14ac:dyDescent="0.35">
      <c r="A38" s="30" t="s">
        <v>162</v>
      </c>
      <c r="B38" s="31" t="s">
        <v>161</v>
      </c>
      <c r="C38" s="31" t="s">
        <v>161</v>
      </c>
    </row>
    <row r="39" spans="1:3" x14ac:dyDescent="0.35">
      <c r="A39" s="30" t="s">
        <v>163</v>
      </c>
      <c r="B39" s="31" t="s">
        <v>161</v>
      </c>
      <c r="C39" s="31" t="s">
        <v>161</v>
      </c>
    </row>
    <row r="40" spans="1:3" x14ac:dyDescent="0.35">
      <c r="A40" s="30" t="s">
        <v>165</v>
      </c>
      <c r="B40" s="31" t="s">
        <v>161</v>
      </c>
      <c r="C40" s="31" t="s">
        <v>161</v>
      </c>
    </row>
    <row r="57" spans="1:5" x14ac:dyDescent="0.35">
      <c r="A57" s="35" t="s">
        <v>114</v>
      </c>
      <c r="B57" s="35"/>
      <c r="C57" s="35"/>
      <c r="D57" s="35"/>
      <c r="E57" s="35"/>
    </row>
    <row r="58" spans="1:5" s="53" customFormat="1" ht="13.5" x14ac:dyDescent="0.3">
      <c r="A58" s="51" t="s">
        <v>85</v>
      </c>
      <c r="B58" s="52"/>
      <c r="C58" s="52"/>
    </row>
    <row r="59" spans="1:5" s="53" customFormat="1" ht="13.5" x14ac:dyDescent="0.3">
      <c r="A59" s="51" t="s">
        <v>86</v>
      </c>
      <c r="B59" s="52"/>
      <c r="C59" s="52"/>
    </row>
    <row r="60" spans="1:5" s="53" customFormat="1" ht="13.5" x14ac:dyDescent="0.3">
      <c r="A60" s="51" t="s">
        <v>87</v>
      </c>
      <c r="B60" s="52"/>
      <c r="C60" s="52"/>
    </row>
    <row r="65" spans="1:4" x14ac:dyDescent="0.35">
      <c r="A65" s="35" t="s">
        <v>0</v>
      </c>
      <c r="B65" s="35" t="s">
        <v>77</v>
      </c>
      <c r="C65" s="35" t="s">
        <v>78</v>
      </c>
      <c r="D65" s="35" t="s">
        <v>79</v>
      </c>
    </row>
    <row r="66" spans="1:4" x14ac:dyDescent="0.35">
      <c r="A66" s="30" t="s">
        <v>166</v>
      </c>
      <c r="B66" s="31">
        <v>4.5019999999999998</v>
      </c>
      <c r="C66" s="31" t="s">
        <v>161</v>
      </c>
      <c r="D66" s="31">
        <v>2.29546538</v>
      </c>
    </row>
    <row r="67" spans="1:4" x14ac:dyDescent="0.35">
      <c r="A67" s="30" t="s">
        <v>167</v>
      </c>
      <c r="B67" s="31">
        <v>2.3889999999999998</v>
      </c>
      <c r="C67" s="31" t="s">
        <v>161</v>
      </c>
      <c r="D67" s="31">
        <v>0.94698043619999994</v>
      </c>
    </row>
    <row r="68" spans="1:4" x14ac:dyDescent="0.35">
      <c r="A68" s="30" t="s">
        <v>162</v>
      </c>
      <c r="B68" s="31">
        <v>1.32</v>
      </c>
      <c r="C68" s="31" t="s">
        <v>161</v>
      </c>
      <c r="D68" s="31">
        <v>1.15807756</v>
      </c>
    </row>
    <row r="69" spans="1:4" x14ac:dyDescent="0.35">
      <c r="A69" s="30" t="s">
        <v>163</v>
      </c>
      <c r="B69" s="31">
        <v>1.8740000000000001</v>
      </c>
      <c r="C69" s="31" t="s">
        <v>161</v>
      </c>
      <c r="D69" s="31">
        <v>1.577888</v>
      </c>
    </row>
    <row r="70" spans="1:4" x14ac:dyDescent="0.35">
      <c r="A70" s="30" t="s">
        <v>165</v>
      </c>
      <c r="B70" s="31">
        <v>1.284</v>
      </c>
      <c r="C70" s="31" t="s">
        <v>161</v>
      </c>
      <c r="D70" s="31">
        <v>0.94514975000000001</v>
      </c>
    </row>
  </sheetData>
  <mergeCells count="7">
    <mergeCell ref="T1:U1"/>
    <mergeCell ref="W1:Y1"/>
    <mergeCell ref="A3:C3"/>
    <mergeCell ref="D1:D2"/>
    <mergeCell ref="F1:F2"/>
    <mergeCell ref="G1:G2"/>
    <mergeCell ref="I1:R1"/>
  </mergeCells>
  <conditionalFormatting sqref="I3:R9">
    <cfRule type="cellIs" dxfId="49" priority="1" operator="greaterThanOrEqual">
      <formula>0</formula>
    </cfRule>
    <cfRule type="cellIs" dxfId="48" priority="2" operator="lessThan">
      <formula>0</formula>
    </cfRule>
  </conditionalFormatting>
  <conditionalFormatting sqref="T4:U9 W4:Y9">
    <cfRule type="cellIs" dxfId="47" priority="3" operator="greaterThanOrEqual">
      <formula>0</formula>
    </cfRule>
    <cfRule type="cellIs" dxfId="46" priority="4" operator="lessThan">
      <formula>0</formula>
    </cfRule>
  </conditionalFormatting>
  <hyperlinks>
    <hyperlink ref="C1" location="GCF_2024!A1" display="GCF_2024!A1" xr:uid="{571F8C76-23A1-4DAC-8D16-4B38B80741F4}"/>
  </hyperlinks>
  <pageMargins left="0.7" right="0.7" top="0.75" bottom="0.75" header="0.3" footer="0.3"/>
  <pageSetup paperSize="9" orientation="portrait" r:id="rId1"/>
  <headerFooter>
    <oddHeader>&amp;R&amp;"Calibri"&amp;10&amp;K000000LB RIBOTO NAUDOJIMO (RESTRICTED)&amp;1#</oddHeader>
    <oddFooter>&amp;R&amp;1#&amp;"Calibri"&amp;10&amp;K000000LB RIBOTO NAUDOJIMO (RESTRICTED)</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70"/>
  <sheetViews>
    <sheetView showGridLines="0" zoomScale="50" zoomScaleNormal="50" workbookViewId="0"/>
  </sheetViews>
  <sheetFormatPr defaultColWidth="8.81640625" defaultRowHeight="15.5" x14ac:dyDescent="0.35"/>
  <cols>
    <col min="1" max="1" width="44.54296875" style="15" customWidth="1"/>
    <col min="2" max="2" width="14.81640625" style="15" bestFit="1" customWidth="1"/>
    <col min="3" max="3" width="67.54296875" style="15" customWidth="1"/>
    <col min="4" max="4" width="15.54296875" style="15" customWidth="1"/>
    <col min="5" max="5" width="16.1796875" style="15" bestFit="1" customWidth="1"/>
    <col min="6" max="6" width="17" style="15" customWidth="1"/>
    <col min="7" max="7" width="17.81640625" style="15" customWidth="1"/>
    <col min="8" max="8" width="1.453125" style="15" customWidth="1"/>
    <col min="9" max="10" width="16.54296875" style="15" customWidth="1"/>
    <col min="11" max="15" width="17.453125" style="15" customWidth="1"/>
    <col min="16" max="16" width="17.08984375" style="15" customWidth="1"/>
    <col min="17" max="17" width="16.90625" style="15" customWidth="1"/>
    <col min="18" max="18" width="18" style="15" customWidth="1"/>
    <col min="19" max="19" width="1.453125" style="15" customWidth="1"/>
    <col min="20" max="20" width="17.08984375" style="15" customWidth="1"/>
    <col min="21" max="21" width="18.1796875" style="15" customWidth="1"/>
    <col min="22" max="22" width="1.453125" style="15" customWidth="1"/>
    <col min="23" max="23" width="15.453125" style="15" customWidth="1"/>
    <col min="24" max="24" width="14.453125" style="15" customWidth="1"/>
    <col min="25" max="25" width="17.453125" style="15" customWidth="1"/>
    <col min="26" max="16384" width="8.81640625" style="15"/>
  </cols>
  <sheetData>
    <row r="1" spans="1:27" ht="22.4" customHeight="1" x14ac:dyDescent="0.35">
      <c r="A1" s="92">
        <v>45747</v>
      </c>
      <c r="B1" s="24"/>
      <c r="C1" s="86" t="s">
        <v>76</v>
      </c>
      <c r="D1" s="98" t="s">
        <v>90</v>
      </c>
      <c r="E1" s="29" t="s">
        <v>75</v>
      </c>
      <c r="F1" s="98" t="s">
        <v>100</v>
      </c>
      <c r="G1" s="98" t="s">
        <v>71</v>
      </c>
      <c r="H1" s="26"/>
      <c r="I1" s="96" t="s">
        <v>72</v>
      </c>
      <c r="J1" s="102"/>
      <c r="K1" s="102">
        <v>0</v>
      </c>
      <c r="L1" s="102"/>
      <c r="M1" s="102"/>
      <c r="N1" s="102">
        <v>0</v>
      </c>
      <c r="O1" s="102"/>
      <c r="P1" s="102">
        <v>0</v>
      </c>
      <c r="Q1" s="83"/>
      <c r="R1" s="91"/>
      <c r="S1" s="27"/>
      <c r="T1" s="100" t="s">
        <v>97</v>
      </c>
      <c r="U1" s="101">
        <v>0</v>
      </c>
      <c r="V1" s="27"/>
      <c r="W1" s="96" t="s">
        <v>188</v>
      </c>
      <c r="X1" s="102">
        <v>0</v>
      </c>
      <c r="Y1" s="102">
        <v>0</v>
      </c>
    </row>
    <row r="2" spans="1:27" ht="92.5" customHeight="1" x14ac:dyDescent="0.35">
      <c r="A2" s="23" t="s">
        <v>42</v>
      </c>
      <c r="B2" s="23" t="s">
        <v>43</v>
      </c>
      <c r="C2" s="23" t="s">
        <v>44</v>
      </c>
      <c r="D2" s="99">
        <v>0</v>
      </c>
      <c r="E2" s="23" t="s">
        <v>99</v>
      </c>
      <c r="F2" s="99">
        <v>0</v>
      </c>
      <c r="G2" s="99">
        <v>0</v>
      </c>
      <c r="H2" s="26"/>
      <c r="I2" s="94" t="s">
        <v>92</v>
      </c>
      <c r="J2" s="23" t="s">
        <v>183</v>
      </c>
      <c r="K2" s="23" t="s">
        <v>157</v>
      </c>
      <c r="L2" s="23" t="s">
        <v>177</v>
      </c>
      <c r="M2" s="23" t="s">
        <v>185</v>
      </c>
      <c r="N2" s="23" t="s">
        <v>94</v>
      </c>
      <c r="O2" s="23" t="s">
        <v>184</v>
      </c>
      <c r="P2" s="23" t="s">
        <v>158</v>
      </c>
      <c r="Q2" s="23" t="s">
        <v>178</v>
      </c>
      <c r="R2" s="23" t="s">
        <v>186</v>
      </c>
      <c r="S2" s="28"/>
      <c r="T2" s="23" t="s">
        <v>111</v>
      </c>
      <c r="U2" s="23" t="s">
        <v>112</v>
      </c>
      <c r="V2" s="28"/>
      <c r="W2" s="23" t="s">
        <v>149</v>
      </c>
      <c r="X2" s="23" t="s">
        <v>150</v>
      </c>
      <c r="Y2" s="23" t="s">
        <v>151</v>
      </c>
    </row>
    <row r="3" spans="1:27" ht="29.15" customHeight="1" x14ac:dyDescent="0.35">
      <c r="A3" s="95" t="s">
        <v>45</v>
      </c>
      <c r="B3" s="95"/>
      <c r="C3" s="95"/>
      <c r="D3" s="42"/>
      <c r="E3" s="42"/>
      <c r="F3" s="43"/>
      <c r="G3" s="66" t="s">
        <v>98</v>
      </c>
      <c r="H3" s="43"/>
      <c r="I3" s="63">
        <v>-6.0935879791225718</v>
      </c>
      <c r="J3" s="63">
        <v>3.6033378985790132</v>
      </c>
      <c r="K3" s="63">
        <v>5.3437144721193741</v>
      </c>
      <c r="L3" s="63">
        <v>12.230604285602487</v>
      </c>
      <c r="M3" s="63">
        <v>9.7807617166013685</v>
      </c>
      <c r="N3" s="63">
        <v>-5.2365235216787642</v>
      </c>
      <c r="O3" s="63">
        <v>6.6522306482109634</v>
      </c>
      <c r="P3" s="63">
        <v>7.3696244494022913</v>
      </c>
      <c r="Q3" s="63">
        <v>14.232382483221389</v>
      </c>
      <c r="R3" s="63">
        <v>11.358360852735528</v>
      </c>
      <c r="S3" s="43"/>
      <c r="T3" s="43"/>
      <c r="U3" s="43"/>
      <c r="V3" s="43"/>
      <c r="W3" s="43"/>
      <c r="X3" s="43"/>
      <c r="Y3" s="43"/>
    </row>
    <row r="4" spans="1:27" customFormat="1" ht="14.5" x14ac:dyDescent="0.35">
      <c r="A4" s="30" t="s">
        <v>36</v>
      </c>
      <c r="B4" s="30" t="s">
        <v>4</v>
      </c>
      <c r="C4" s="30" t="s">
        <v>46</v>
      </c>
      <c r="D4" s="62" t="s">
        <v>175</v>
      </c>
      <c r="E4" s="32">
        <v>90</v>
      </c>
      <c r="F4" s="31">
        <v>28.01076608</v>
      </c>
      <c r="G4" s="33">
        <v>13679</v>
      </c>
      <c r="H4" s="21"/>
      <c r="I4" s="34">
        <v>-5.9858593376216014</v>
      </c>
      <c r="J4" s="34">
        <v>4.7007281984488669</v>
      </c>
      <c r="K4" s="34">
        <v>5.3644244163237875</v>
      </c>
      <c r="L4" s="34">
        <v>11.685568175663551</v>
      </c>
      <c r="M4" s="34">
        <v>9.5478326906391011</v>
      </c>
      <c r="N4" s="34">
        <v>-4.6316245271199925</v>
      </c>
      <c r="O4" s="34">
        <v>7.0280186057838812</v>
      </c>
      <c r="P4" s="34">
        <v>7.0212531801652878</v>
      </c>
      <c r="Q4" s="34">
        <v>13.271244180296971</v>
      </c>
      <c r="R4" s="34">
        <v>10.798003303611448</v>
      </c>
      <c r="S4" s="22"/>
      <c r="T4" s="34">
        <v>11.267485379810841</v>
      </c>
      <c r="U4" s="34">
        <v>12.258378155523939</v>
      </c>
      <c r="V4" s="22"/>
      <c r="W4" s="34">
        <v>0.49</v>
      </c>
      <c r="X4" s="34">
        <v>0.7</v>
      </c>
      <c r="Y4" s="34" t="s">
        <v>91</v>
      </c>
      <c r="Z4" s="56"/>
      <c r="AA4" s="56"/>
    </row>
    <row r="5" spans="1:27" customFormat="1" ht="14.5" x14ac:dyDescent="0.35">
      <c r="A5" s="30" t="s">
        <v>160</v>
      </c>
      <c r="B5" s="30" t="s">
        <v>2</v>
      </c>
      <c r="C5" s="30" t="s">
        <v>124</v>
      </c>
      <c r="D5" s="62" t="s">
        <v>175</v>
      </c>
      <c r="E5" s="32">
        <v>97</v>
      </c>
      <c r="F5" s="31">
        <v>46.9469461419</v>
      </c>
      <c r="G5" s="33">
        <v>18430</v>
      </c>
      <c r="H5" s="21"/>
      <c r="I5" s="34">
        <v>-4.727103094386564</v>
      </c>
      <c r="J5" s="34">
        <v>4.9862919808087769</v>
      </c>
      <c r="K5" s="34">
        <v>6.0826455202224183</v>
      </c>
      <c r="L5" s="34">
        <v>12.682089589780121</v>
      </c>
      <c r="M5" s="34">
        <v>10.226282252827023</v>
      </c>
      <c r="N5" s="34">
        <v>-5.5981660149772905</v>
      </c>
      <c r="O5" s="34">
        <v>5.2603630883470531</v>
      </c>
      <c r="P5" s="34">
        <v>6.6665544138813759</v>
      </c>
      <c r="Q5" s="34">
        <v>14.381379986800313</v>
      </c>
      <c r="R5" s="34">
        <v>11.3502730202097</v>
      </c>
      <c r="S5" s="22"/>
      <c r="T5" s="34">
        <v>10.95207212534253</v>
      </c>
      <c r="U5" s="34">
        <v>13.437185876851871</v>
      </c>
      <c r="V5" s="22"/>
      <c r="W5" s="34">
        <v>0.5</v>
      </c>
      <c r="X5" s="34">
        <v>1.06</v>
      </c>
      <c r="Y5" s="34">
        <v>1.06</v>
      </c>
      <c r="Z5" s="56"/>
      <c r="AA5" s="56"/>
    </row>
    <row r="6" spans="1:27" customFormat="1" ht="14.5" x14ac:dyDescent="0.35">
      <c r="A6" s="30" t="s">
        <v>88</v>
      </c>
      <c r="B6" s="30" t="s">
        <v>1</v>
      </c>
      <c r="C6" s="65" t="s">
        <v>47</v>
      </c>
      <c r="D6" s="62" t="s">
        <v>175</v>
      </c>
      <c r="E6" s="32">
        <v>98</v>
      </c>
      <c r="F6" s="31">
        <v>63.625856520000006</v>
      </c>
      <c r="G6" s="33">
        <v>21627</v>
      </c>
      <c r="H6" s="21"/>
      <c r="I6" s="34">
        <v>-5.9260389643420286</v>
      </c>
      <c r="J6" s="34">
        <v>5.2889268431540071</v>
      </c>
      <c r="K6" s="34">
        <v>5.4147165184773804</v>
      </c>
      <c r="L6" s="34">
        <v>12.563370337338032</v>
      </c>
      <c r="M6" s="34">
        <v>10.334389059350046</v>
      </c>
      <c r="N6" s="34">
        <v>-5.3594964112851802</v>
      </c>
      <c r="O6" s="34">
        <v>7.5374052979324313</v>
      </c>
      <c r="P6" s="34">
        <v>8.3174315055962289</v>
      </c>
      <c r="Q6" s="34">
        <v>15.480691254052626</v>
      </c>
      <c r="R6" s="34">
        <v>12.578252777300559</v>
      </c>
      <c r="S6" s="22"/>
      <c r="T6" s="34">
        <v>12.30631479324671</v>
      </c>
      <c r="U6" s="34">
        <v>13.888440691159417</v>
      </c>
      <c r="V6" s="22"/>
      <c r="W6" s="34">
        <v>0.5</v>
      </c>
      <c r="X6" s="34" t="s">
        <v>91</v>
      </c>
      <c r="Y6" s="34">
        <v>0.78</v>
      </c>
      <c r="Z6" s="56"/>
      <c r="AA6" s="56"/>
    </row>
    <row r="7" spans="1:27" customFormat="1" ht="14.5" x14ac:dyDescent="0.35">
      <c r="A7" s="30" t="s">
        <v>89</v>
      </c>
      <c r="B7" s="30" t="s">
        <v>3</v>
      </c>
      <c r="C7" s="30" t="s">
        <v>102</v>
      </c>
      <c r="D7" s="62" t="s">
        <v>175</v>
      </c>
      <c r="E7" s="32">
        <v>97</v>
      </c>
      <c r="F7" s="31">
        <v>143.98318269000001</v>
      </c>
      <c r="G7" s="33">
        <v>49696</v>
      </c>
      <c r="H7" s="21"/>
      <c r="I7" s="34">
        <v>-6.4075295118579234</v>
      </c>
      <c r="J7" s="34">
        <v>1.863533769315362</v>
      </c>
      <c r="K7" s="34">
        <v>4.9572311536441038</v>
      </c>
      <c r="L7" s="34">
        <v>12.018580261729594</v>
      </c>
      <c r="M7" s="34">
        <v>9.856419821641671</v>
      </c>
      <c r="N7" s="34">
        <v>-5.2711946330464388</v>
      </c>
      <c r="O7" s="34">
        <v>7.1140092288797696</v>
      </c>
      <c r="P7" s="34">
        <v>7.5608144383815468</v>
      </c>
      <c r="Q7" s="34">
        <v>14.092727675346284</v>
      </c>
      <c r="R7" s="34">
        <v>11.620095651055596</v>
      </c>
      <c r="S7" s="22"/>
      <c r="T7" s="34">
        <v>13.015003387496392</v>
      </c>
      <c r="U7" s="34">
        <v>13.576765114175316</v>
      </c>
      <c r="V7" s="22"/>
      <c r="W7" s="34">
        <v>0.41000000000000003</v>
      </c>
      <c r="X7" s="34" t="s">
        <v>91</v>
      </c>
      <c r="Y7" s="34">
        <v>0.66990000000000005</v>
      </c>
      <c r="Z7" s="56"/>
      <c r="AA7" s="56"/>
    </row>
    <row r="8" spans="1:27" customFormat="1" ht="14.5" x14ac:dyDescent="0.35">
      <c r="A8" s="30" t="s">
        <v>116</v>
      </c>
      <c r="B8" s="30" t="s">
        <v>5</v>
      </c>
      <c r="C8" s="30" t="s">
        <v>117</v>
      </c>
      <c r="D8" s="62" t="s">
        <v>175</v>
      </c>
      <c r="E8" s="32">
        <v>90</v>
      </c>
      <c r="F8" s="31">
        <v>50.881279299999996</v>
      </c>
      <c r="G8" s="33">
        <v>19999</v>
      </c>
      <c r="H8" s="21"/>
      <c r="I8" s="34">
        <v>-6.9111645913989666</v>
      </c>
      <c r="J8" s="34">
        <v>3.4236224133922466</v>
      </c>
      <c r="K8" s="34">
        <v>5.6553983553496945</v>
      </c>
      <c r="L8" s="34">
        <v>12.297945191142045</v>
      </c>
      <c r="M8" s="34">
        <v>9.6545631686024933</v>
      </c>
      <c r="N8" s="34">
        <v>-4.7315420963134684</v>
      </c>
      <c r="O8" s="34">
        <v>5.5960224396018443</v>
      </c>
      <c r="P8" s="34">
        <v>6.4838754612756455</v>
      </c>
      <c r="Q8" s="34">
        <v>13.45823668394701</v>
      </c>
      <c r="R8" s="34">
        <v>11.044115261901677</v>
      </c>
      <c r="S8" s="22"/>
      <c r="T8" s="34">
        <v>12.612964906472374</v>
      </c>
      <c r="U8" s="34">
        <v>13.208749704590673</v>
      </c>
      <c r="V8" s="22"/>
      <c r="W8" s="34">
        <v>0.5</v>
      </c>
      <c r="X8" s="34">
        <v>1.1100000000000001</v>
      </c>
      <c r="Y8" s="34" t="s">
        <v>91</v>
      </c>
      <c r="Z8" s="56"/>
      <c r="AA8" s="56"/>
    </row>
    <row r="9" spans="1:27" customFormat="1" ht="13" customHeight="1" x14ac:dyDescent="0.35">
      <c r="A9" s="30" t="s">
        <v>131</v>
      </c>
      <c r="B9" s="30" t="s">
        <v>132</v>
      </c>
      <c r="C9" s="30" t="s">
        <v>146</v>
      </c>
      <c r="D9" s="62" t="s">
        <v>176</v>
      </c>
      <c r="E9" s="32">
        <v>100</v>
      </c>
      <c r="F9" s="31">
        <v>28.042809740300001</v>
      </c>
      <c r="G9" s="33">
        <v>9809</v>
      </c>
      <c r="H9" s="21"/>
      <c r="I9" s="34">
        <v>-5.773672055427248</v>
      </c>
      <c r="J9" s="34">
        <v>5.6265101829478636</v>
      </c>
      <c r="K9" s="34" t="s">
        <v>161</v>
      </c>
      <c r="L9" s="34" t="s">
        <v>161</v>
      </c>
      <c r="M9" s="34">
        <v>7.8519723503424288</v>
      </c>
      <c r="N9" s="34">
        <v>-5.6945183608302248</v>
      </c>
      <c r="O9" s="34">
        <v>6.1441040561355242</v>
      </c>
      <c r="P9" s="34" t="s">
        <v>161</v>
      </c>
      <c r="Q9" s="34" t="s">
        <v>161</v>
      </c>
      <c r="R9" s="34">
        <v>8.390144840421021</v>
      </c>
      <c r="S9" s="22"/>
      <c r="T9" s="34" t="s">
        <v>161</v>
      </c>
      <c r="U9" s="34" t="s">
        <v>161</v>
      </c>
      <c r="V9" s="22"/>
      <c r="W9" s="34">
        <v>0.44690000000000002</v>
      </c>
      <c r="X9" s="34">
        <v>0.57340000000000002</v>
      </c>
      <c r="Y9" s="34" t="s">
        <v>91</v>
      </c>
      <c r="Z9" s="56"/>
      <c r="AA9" s="56"/>
    </row>
    <row r="10" spans="1:27" x14ac:dyDescent="0.35">
      <c r="A10" s="16"/>
      <c r="B10" s="16"/>
      <c r="C10" s="16"/>
      <c r="D10" s="16"/>
      <c r="E10" s="16"/>
      <c r="F10" s="16"/>
      <c r="G10" s="16"/>
      <c r="H10" s="16"/>
      <c r="I10" s="16"/>
      <c r="J10" s="16"/>
      <c r="K10" s="16"/>
      <c r="L10" s="16"/>
      <c r="M10" s="16"/>
      <c r="N10" s="16"/>
      <c r="O10" s="16"/>
      <c r="P10" s="16"/>
      <c r="Q10" s="16"/>
      <c r="R10" s="16"/>
      <c r="S10" s="16"/>
      <c r="T10" s="16"/>
      <c r="U10" s="16"/>
      <c r="V10" s="16"/>
    </row>
    <row r="11" spans="1:27" s="53" customFormat="1" ht="13.5" x14ac:dyDescent="0.3">
      <c r="A11" s="51" t="s">
        <v>179</v>
      </c>
      <c r="B11" s="47"/>
      <c r="C11" s="47"/>
      <c r="D11" s="52"/>
      <c r="E11" s="52"/>
      <c r="F11" s="52"/>
      <c r="G11" s="52"/>
      <c r="H11" s="52"/>
      <c r="I11" s="52"/>
      <c r="J11" s="52"/>
      <c r="K11" s="52"/>
      <c r="L11" s="52"/>
      <c r="M11" s="52"/>
      <c r="N11" s="52"/>
      <c r="O11" s="52"/>
      <c r="P11" s="52"/>
      <c r="Q11" s="52"/>
      <c r="R11" s="52"/>
    </row>
    <row r="12" spans="1:27" s="53" customFormat="1" ht="13.5" x14ac:dyDescent="0.3">
      <c r="A12" s="47" t="s">
        <v>93</v>
      </c>
      <c r="B12" s="51"/>
      <c r="C12" s="51"/>
    </row>
    <row r="13" spans="1:27" s="53" customFormat="1" ht="13.5" x14ac:dyDescent="0.3">
      <c r="A13" s="51" t="s">
        <v>95</v>
      </c>
      <c r="B13" s="51"/>
      <c r="C13" s="51"/>
    </row>
    <row r="14" spans="1:27" s="53" customFormat="1" ht="13.5" x14ac:dyDescent="0.3">
      <c r="A14" s="51" t="s">
        <v>96</v>
      </c>
      <c r="B14" s="51"/>
      <c r="C14" s="51"/>
    </row>
    <row r="15" spans="1:27" s="53" customFormat="1" ht="13.5" x14ac:dyDescent="0.3">
      <c r="A15" s="51" t="s">
        <v>180</v>
      </c>
      <c r="B15" s="52"/>
      <c r="C15" s="52"/>
    </row>
    <row r="16" spans="1:27" s="53" customFormat="1" ht="13.5" x14ac:dyDescent="0.3">
      <c r="A16" s="54" t="s">
        <v>115</v>
      </c>
      <c r="B16" s="52"/>
      <c r="C16" s="52"/>
    </row>
    <row r="17" spans="1:4" s="53" customFormat="1" ht="13.5" x14ac:dyDescent="0.3">
      <c r="A17" s="54" t="s">
        <v>101</v>
      </c>
    </row>
    <row r="18" spans="1:4" s="53" customFormat="1" ht="13.5" x14ac:dyDescent="0.3">
      <c r="A18" s="54" t="s">
        <v>181</v>
      </c>
    </row>
    <row r="19" spans="1:4" s="53" customFormat="1" ht="13.5" x14ac:dyDescent="0.3">
      <c r="A19" s="54" t="s">
        <v>152</v>
      </c>
    </row>
    <row r="20" spans="1:4" s="53" customFormat="1" ht="13.5" x14ac:dyDescent="0.3">
      <c r="A20" s="54" t="s">
        <v>153</v>
      </c>
    </row>
    <row r="21" spans="1:4" s="53" customFormat="1" ht="13.5" x14ac:dyDescent="0.3">
      <c r="A21" s="54" t="s">
        <v>156</v>
      </c>
    </row>
    <row r="22" spans="1:4" s="53" customFormat="1" ht="13.5" x14ac:dyDescent="0.3">
      <c r="A22" s="54" t="s">
        <v>155</v>
      </c>
    </row>
    <row r="23" spans="1:4" s="53" customFormat="1" ht="13.5" x14ac:dyDescent="0.3">
      <c r="A23" s="84" t="s">
        <v>187</v>
      </c>
    </row>
    <row r="24" spans="1:4" x14ac:dyDescent="0.35">
      <c r="A24" s="54"/>
    </row>
    <row r="25" spans="1:4" x14ac:dyDescent="0.35">
      <c r="A25" s="35" t="s">
        <v>113</v>
      </c>
      <c r="B25" s="35"/>
      <c r="C25" s="35"/>
      <c r="D25" s="35"/>
    </row>
    <row r="26" spans="1:4" s="53" customFormat="1" ht="13.5" x14ac:dyDescent="0.3">
      <c r="A26" s="51" t="s">
        <v>83</v>
      </c>
      <c r="B26" s="52"/>
      <c r="C26" s="52"/>
    </row>
    <row r="27" spans="1:4" s="53" customFormat="1" ht="13.5" x14ac:dyDescent="0.3">
      <c r="A27" s="51" t="s">
        <v>84</v>
      </c>
      <c r="B27" s="52"/>
      <c r="C27" s="52"/>
    </row>
    <row r="28" spans="1:4" x14ac:dyDescent="0.35">
      <c r="A28" s="17"/>
      <c r="B28" s="17"/>
      <c r="C28" s="17"/>
    </row>
    <row r="35" spans="1:3" x14ac:dyDescent="0.35">
      <c r="A35" s="35" t="s">
        <v>0</v>
      </c>
      <c r="B35" s="35" t="s">
        <v>73</v>
      </c>
      <c r="C35" s="35" t="s">
        <v>72</v>
      </c>
    </row>
    <row r="36" spans="1:3" x14ac:dyDescent="0.35">
      <c r="A36" s="30" t="s">
        <v>4</v>
      </c>
      <c r="B36" s="31">
        <v>11.267485379810841</v>
      </c>
      <c r="C36" s="31">
        <v>5.3644244163237875</v>
      </c>
    </row>
    <row r="37" spans="1:3" x14ac:dyDescent="0.35">
      <c r="A37" s="30" t="s">
        <v>2</v>
      </c>
      <c r="B37" s="31">
        <v>10.95207212534253</v>
      </c>
      <c r="C37" s="31">
        <v>6.0826455202224183</v>
      </c>
    </row>
    <row r="38" spans="1:3" x14ac:dyDescent="0.35">
      <c r="A38" s="30" t="s">
        <v>1</v>
      </c>
      <c r="B38" s="31">
        <v>12.30631479324671</v>
      </c>
      <c r="C38" s="31">
        <v>5.4147165184773804</v>
      </c>
    </row>
    <row r="39" spans="1:3" x14ac:dyDescent="0.35">
      <c r="A39" s="30" t="s">
        <v>3</v>
      </c>
      <c r="B39" s="31">
        <v>13.015003387496392</v>
      </c>
      <c r="C39" s="31">
        <v>4.9572311536441038</v>
      </c>
    </row>
    <row r="40" spans="1:3" x14ac:dyDescent="0.35">
      <c r="A40" s="30" t="s">
        <v>5</v>
      </c>
      <c r="B40" s="31">
        <v>12.612964906472374</v>
      </c>
      <c r="C40" s="31">
        <v>5.6553983553496945</v>
      </c>
    </row>
    <row r="57" spans="1:5" x14ac:dyDescent="0.35">
      <c r="A57" s="35" t="s">
        <v>114</v>
      </c>
      <c r="B57" s="35"/>
      <c r="C57" s="35"/>
      <c r="D57" s="35"/>
      <c r="E57" s="35"/>
    </row>
    <row r="58" spans="1:5" s="53" customFormat="1" ht="13.5" x14ac:dyDescent="0.3">
      <c r="A58" s="51" t="s">
        <v>85</v>
      </c>
      <c r="B58" s="52"/>
      <c r="C58" s="52"/>
    </row>
    <row r="59" spans="1:5" s="53" customFormat="1" ht="13.5" x14ac:dyDescent="0.3">
      <c r="A59" s="51" t="s">
        <v>86</v>
      </c>
      <c r="B59" s="52"/>
      <c r="C59" s="52"/>
    </row>
    <row r="60" spans="1:5" s="53" customFormat="1" ht="13.5" x14ac:dyDescent="0.3">
      <c r="A60" s="51" t="s">
        <v>87</v>
      </c>
      <c r="B60" s="52"/>
      <c r="C60" s="52"/>
    </row>
    <row r="65" spans="1:4" x14ac:dyDescent="0.35">
      <c r="A65" s="35" t="s">
        <v>0</v>
      </c>
      <c r="B65" s="35" t="s">
        <v>77</v>
      </c>
      <c r="C65" s="35" t="s">
        <v>78</v>
      </c>
      <c r="D65" s="35" t="s">
        <v>79</v>
      </c>
    </row>
    <row r="66" spans="1:4" x14ac:dyDescent="0.35">
      <c r="A66" s="30" t="s">
        <v>4</v>
      </c>
      <c r="B66" s="31">
        <v>13.679</v>
      </c>
      <c r="C66" s="31">
        <v>5.3644244163237875</v>
      </c>
      <c r="D66" s="31">
        <v>28.01076608</v>
      </c>
    </row>
    <row r="67" spans="1:4" x14ac:dyDescent="0.35">
      <c r="A67" s="30" t="s">
        <v>2</v>
      </c>
      <c r="B67" s="31">
        <v>18.43</v>
      </c>
      <c r="C67" s="31">
        <v>6.0826455202224183</v>
      </c>
      <c r="D67" s="31">
        <v>46.9469461419</v>
      </c>
    </row>
    <row r="68" spans="1:4" x14ac:dyDescent="0.35">
      <c r="A68" s="30" t="s">
        <v>1</v>
      </c>
      <c r="B68" s="31">
        <v>21.626999999999999</v>
      </c>
      <c r="C68" s="31">
        <v>5.4147165184773804</v>
      </c>
      <c r="D68" s="31">
        <v>63.625856520000006</v>
      </c>
    </row>
    <row r="69" spans="1:4" x14ac:dyDescent="0.35">
      <c r="A69" s="30" t="s">
        <v>3</v>
      </c>
      <c r="B69" s="31">
        <v>49.695999999999998</v>
      </c>
      <c r="C69" s="31">
        <v>4.9572311536441038</v>
      </c>
      <c r="D69" s="31">
        <v>143.98318269000001</v>
      </c>
    </row>
    <row r="70" spans="1:4" x14ac:dyDescent="0.35">
      <c r="A70" s="30" t="s">
        <v>5</v>
      </c>
      <c r="B70" s="31">
        <v>19.998999999999999</v>
      </c>
      <c r="C70" s="31">
        <v>5.6553983553496945</v>
      </c>
      <c r="D70" s="31">
        <v>50.881279299999996</v>
      </c>
    </row>
  </sheetData>
  <mergeCells count="7">
    <mergeCell ref="W1:Y1"/>
    <mergeCell ref="T1:U1"/>
    <mergeCell ref="A3:C3"/>
    <mergeCell ref="D1:D2"/>
    <mergeCell ref="F1:F2"/>
    <mergeCell ref="G1:G2"/>
    <mergeCell ref="I1:P1"/>
  </mergeCells>
  <conditionalFormatting sqref="I3:R9">
    <cfRule type="cellIs" dxfId="45" priority="7" operator="greaterThanOrEqual">
      <formula>0</formula>
    </cfRule>
    <cfRule type="cellIs" dxfId="44" priority="8" operator="lessThan">
      <formula>0</formula>
    </cfRule>
  </conditionalFormatting>
  <conditionalFormatting sqref="T4:U9 W4:Y9">
    <cfRule type="cellIs" dxfId="43" priority="11" operator="greaterThanOrEqual">
      <formula>0</formula>
    </cfRule>
    <cfRule type="cellIs" dxfId="42" priority="12" operator="lessThan">
      <formula>0</formula>
    </cfRule>
  </conditionalFormatting>
  <hyperlinks>
    <hyperlink ref="C1" location="GCF_2024!A1" display="GCF_2024!A1" xr:uid="{B3CE76D9-C87F-43BE-B3E5-A51072CD5057}"/>
  </hyperlinks>
  <pageMargins left="0.7" right="0.7" top="0.75" bottom="0.75" header="0.3" footer="0.3"/>
  <pageSetup paperSize="9" orientation="portrait" r:id="rId1"/>
  <headerFooter>
    <oddHeader>&amp;R&amp;"Calibri"&amp;10&amp;K000000LB RIBOTO NAUDOJIMO (RESTRICTED)&amp;1#</oddHeader>
    <oddFooter>&amp;R&amp;1#&amp;"Calibri"&amp;10&amp;K000000LB RIBOTO NAUDOJIMO (RESTRICTED)</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70"/>
  <sheetViews>
    <sheetView showGridLines="0" zoomScale="50" zoomScaleNormal="50" workbookViewId="0"/>
  </sheetViews>
  <sheetFormatPr defaultColWidth="8.81640625" defaultRowHeight="15.5" x14ac:dyDescent="0.35"/>
  <cols>
    <col min="1" max="1" width="45.54296875" style="15" customWidth="1"/>
    <col min="2" max="2" width="14.81640625" style="15" bestFit="1" customWidth="1"/>
    <col min="3" max="3" width="78.1796875" style="15" customWidth="1"/>
    <col min="4" max="4" width="13.1796875" style="15" customWidth="1"/>
    <col min="5" max="5" width="16.1796875" style="15" bestFit="1" customWidth="1"/>
    <col min="6" max="6" width="19.453125" style="15" customWidth="1"/>
    <col min="7" max="7" width="13.54296875" style="15" customWidth="1"/>
    <col min="8" max="8" width="1.54296875" style="15" customWidth="1"/>
    <col min="9" max="10" width="16.81640625" style="15" customWidth="1"/>
    <col min="11" max="11" width="17.7265625" style="15" customWidth="1"/>
    <col min="12" max="12" width="17.36328125" style="15" bestFit="1" customWidth="1"/>
    <col min="13" max="13" width="15.54296875" style="15" customWidth="1"/>
    <col min="14" max="14" width="13.54296875" style="15" customWidth="1"/>
    <col min="15" max="15" width="15.7265625" style="15" customWidth="1"/>
    <col min="16" max="16" width="16.81640625" style="15" customWidth="1"/>
    <col min="17" max="17" width="17.36328125" style="15" bestFit="1" customWidth="1"/>
    <col min="18" max="18" width="16.453125" style="15" customWidth="1"/>
    <col min="19" max="19" width="1.54296875" style="15" customWidth="1"/>
    <col min="20" max="20" width="19.453125" style="15" customWidth="1"/>
    <col min="21" max="21" width="17.36328125" style="15" bestFit="1" customWidth="1"/>
    <col min="22" max="22" width="1.54296875" style="15" customWidth="1"/>
    <col min="23" max="23" width="9.1796875" style="15" customWidth="1"/>
    <col min="24" max="24" width="12.54296875" style="15" customWidth="1"/>
    <col min="25" max="25" width="13" style="15" customWidth="1"/>
    <col min="26" max="16384" width="8.81640625" style="15"/>
  </cols>
  <sheetData>
    <row r="1" spans="1:27" ht="22.4" customHeight="1" x14ac:dyDescent="0.35">
      <c r="A1" s="92">
        <v>45747</v>
      </c>
      <c r="B1" s="24"/>
      <c r="C1" s="86" t="s">
        <v>76</v>
      </c>
      <c r="D1" s="98" t="s">
        <v>90</v>
      </c>
      <c r="E1" s="29" t="s">
        <v>75</v>
      </c>
      <c r="F1" s="98" t="s">
        <v>100</v>
      </c>
      <c r="G1" s="98" t="s">
        <v>71</v>
      </c>
      <c r="H1" s="26"/>
      <c r="I1" s="96" t="s">
        <v>72</v>
      </c>
      <c r="J1" s="102"/>
      <c r="K1" s="102">
        <v>0</v>
      </c>
      <c r="L1" s="102"/>
      <c r="M1" s="102"/>
      <c r="N1" s="102">
        <v>0</v>
      </c>
      <c r="O1" s="102"/>
      <c r="P1" s="102">
        <v>0</v>
      </c>
      <c r="Q1" s="83"/>
      <c r="R1" s="91"/>
      <c r="S1" s="27"/>
      <c r="T1" s="100" t="s">
        <v>97</v>
      </c>
      <c r="U1" s="101">
        <v>0</v>
      </c>
      <c r="V1" s="27"/>
      <c r="W1" s="96" t="s">
        <v>188</v>
      </c>
      <c r="X1" s="102">
        <v>0</v>
      </c>
      <c r="Y1" s="102">
        <v>0</v>
      </c>
    </row>
    <row r="2" spans="1:27" ht="100" customHeight="1" x14ac:dyDescent="0.35">
      <c r="A2" s="23" t="s">
        <v>42</v>
      </c>
      <c r="B2" s="23" t="s">
        <v>43</v>
      </c>
      <c r="C2" s="23" t="s">
        <v>44</v>
      </c>
      <c r="D2" s="99">
        <v>0</v>
      </c>
      <c r="E2" s="23" t="s">
        <v>99</v>
      </c>
      <c r="F2" s="99">
        <v>0</v>
      </c>
      <c r="G2" s="99">
        <v>0</v>
      </c>
      <c r="H2" s="26"/>
      <c r="I2" s="94" t="s">
        <v>92</v>
      </c>
      <c r="J2" s="23" t="s">
        <v>183</v>
      </c>
      <c r="K2" s="23" t="s">
        <v>157</v>
      </c>
      <c r="L2" s="23" t="s">
        <v>177</v>
      </c>
      <c r="M2" s="23" t="s">
        <v>185</v>
      </c>
      <c r="N2" s="23" t="s">
        <v>94</v>
      </c>
      <c r="O2" s="23" t="s">
        <v>184</v>
      </c>
      <c r="P2" s="23" t="s">
        <v>158</v>
      </c>
      <c r="Q2" s="23" t="s">
        <v>178</v>
      </c>
      <c r="R2" s="23" t="s">
        <v>186</v>
      </c>
      <c r="S2" s="28"/>
      <c r="T2" s="23" t="s">
        <v>111</v>
      </c>
      <c r="U2" s="23" t="s">
        <v>112</v>
      </c>
      <c r="V2" s="28"/>
      <c r="W2" s="23" t="s">
        <v>149</v>
      </c>
      <c r="X2" s="23" t="s">
        <v>150</v>
      </c>
      <c r="Y2" s="23" t="s">
        <v>151</v>
      </c>
    </row>
    <row r="3" spans="1:27" ht="29.15" customHeight="1" x14ac:dyDescent="0.35">
      <c r="A3" s="95" t="s">
        <v>48</v>
      </c>
      <c r="B3" s="95">
        <v>0</v>
      </c>
      <c r="C3" s="95">
        <v>0</v>
      </c>
      <c r="D3" s="42"/>
      <c r="E3" s="42"/>
      <c r="F3" s="43"/>
      <c r="G3" s="66" t="s">
        <v>98</v>
      </c>
      <c r="H3" s="43"/>
      <c r="I3" s="63">
        <v>-5.7112086847460866</v>
      </c>
      <c r="J3" s="63">
        <v>3.8330329986762264</v>
      </c>
      <c r="K3" s="63">
        <v>5.4198544986584132</v>
      </c>
      <c r="L3" s="63">
        <v>12.400576771424715</v>
      </c>
      <c r="M3" s="63">
        <v>9.9925165678690018</v>
      </c>
      <c r="N3" s="63">
        <v>-5.2384233836084908</v>
      </c>
      <c r="O3" s="63">
        <v>6.6860374417431592</v>
      </c>
      <c r="P3" s="63">
        <v>7.3975188494095105</v>
      </c>
      <c r="Q3" s="63">
        <v>14.282112197334005</v>
      </c>
      <c r="R3" s="63">
        <v>11.504725652739907</v>
      </c>
      <c r="S3" s="43"/>
      <c r="T3" s="43"/>
      <c r="U3" s="43"/>
      <c r="V3" s="43"/>
      <c r="W3" s="43"/>
      <c r="X3" s="43"/>
      <c r="Y3" s="43"/>
    </row>
    <row r="4" spans="1:27" customFormat="1" ht="14.5" x14ac:dyDescent="0.35">
      <c r="A4" s="30" t="s">
        <v>36</v>
      </c>
      <c r="B4" s="30" t="s">
        <v>9</v>
      </c>
      <c r="C4" s="30" t="s">
        <v>49</v>
      </c>
      <c r="D4" s="62" t="s">
        <v>175</v>
      </c>
      <c r="E4" s="32">
        <v>90</v>
      </c>
      <c r="F4" s="31">
        <v>83.029739329999998</v>
      </c>
      <c r="G4" s="33">
        <v>21262</v>
      </c>
      <c r="H4" s="21"/>
      <c r="I4" s="34">
        <v>-6.0639940371612688</v>
      </c>
      <c r="J4" s="34">
        <v>4.9738219895287816</v>
      </c>
      <c r="K4" s="34">
        <v>5.4552694453293027</v>
      </c>
      <c r="L4" s="34">
        <v>11.644707316839021</v>
      </c>
      <c r="M4" s="34">
        <v>9.5071712178916847</v>
      </c>
      <c r="N4" s="34">
        <v>-4.6316245271199925</v>
      </c>
      <c r="O4" s="34">
        <v>7.0280186057838812</v>
      </c>
      <c r="P4" s="34">
        <v>7.0212531801652878</v>
      </c>
      <c r="Q4" s="34">
        <v>13.271244180296971</v>
      </c>
      <c r="R4" s="34">
        <v>10.798003303611448</v>
      </c>
      <c r="S4" s="21"/>
      <c r="T4" s="34">
        <v>11.237758141172643</v>
      </c>
      <c r="U4" s="34">
        <v>12.258378155523939</v>
      </c>
      <c r="V4" s="22"/>
      <c r="W4" s="34">
        <v>0.49</v>
      </c>
      <c r="X4" s="34">
        <v>0.71</v>
      </c>
      <c r="Y4" s="34" t="s">
        <v>91</v>
      </c>
      <c r="Z4" s="56"/>
      <c r="AA4" s="56"/>
    </row>
    <row r="5" spans="1:27" customFormat="1" ht="14.5" x14ac:dyDescent="0.35">
      <c r="A5" s="30" t="s">
        <v>160</v>
      </c>
      <c r="B5" s="30" t="s">
        <v>7</v>
      </c>
      <c r="C5" s="30" t="s">
        <v>125</v>
      </c>
      <c r="D5" s="62" t="s">
        <v>175</v>
      </c>
      <c r="E5" s="32">
        <v>97</v>
      </c>
      <c r="F5" s="31">
        <v>161.98568655700001</v>
      </c>
      <c r="G5" s="33">
        <v>34973</v>
      </c>
      <c r="H5" s="21"/>
      <c r="I5" s="34">
        <v>-4.3478260869565304</v>
      </c>
      <c r="J5" s="34">
        <v>5.1802829758101243</v>
      </c>
      <c r="K5" s="34">
        <v>6.1584788590729467</v>
      </c>
      <c r="L5" s="34">
        <v>12.834324549959986</v>
      </c>
      <c r="M5" s="34">
        <v>10.278970138365629</v>
      </c>
      <c r="N5" s="34">
        <v>-5.5981660149772905</v>
      </c>
      <c r="O5" s="34">
        <v>5.2603630883470531</v>
      </c>
      <c r="P5" s="34">
        <v>6.6665544138813759</v>
      </c>
      <c r="Q5" s="34">
        <v>14.381379986800313</v>
      </c>
      <c r="R5" s="34">
        <v>11.3502730202097</v>
      </c>
      <c r="S5" s="21"/>
      <c r="T5" s="34">
        <v>10.526631325733423</v>
      </c>
      <c r="U5" s="34">
        <v>13.437185876851871</v>
      </c>
      <c r="V5" s="22"/>
      <c r="W5" s="34">
        <v>0.5</v>
      </c>
      <c r="X5" s="34">
        <v>1.27</v>
      </c>
      <c r="Y5" s="34">
        <v>1.27</v>
      </c>
      <c r="Z5" s="56"/>
      <c r="AA5" s="56"/>
    </row>
    <row r="6" spans="1:27" customFormat="1" ht="14.5" x14ac:dyDescent="0.35">
      <c r="A6" s="30" t="s">
        <v>88</v>
      </c>
      <c r="B6" s="30" t="s">
        <v>6</v>
      </c>
      <c r="C6" s="30" t="s">
        <v>50</v>
      </c>
      <c r="D6" s="62" t="s">
        <v>175</v>
      </c>
      <c r="E6" s="32">
        <v>98</v>
      </c>
      <c r="F6" s="31">
        <v>221.02564390000001</v>
      </c>
      <c r="G6" s="33">
        <v>45882</v>
      </c>
      <c r="H6" s="21"/>
      <c r="I6" s="34">
        <v>-5.9588409951878756</v>
      </c>
      <c r="J6" s="34">
        <v>5.296343001261028</v>
      </c>
      <c r="K6" s="34">
        <v>5.2252653415191253</v>
      </c>
      <c r="L6" s="34">
        <v>12.51997437650838</v>
      </c>
      <c r="M6" s="34">
        <v>10.215728786574507</v>
      </c>
      <c r="N6" s="34">
        <v>-5.3594964112851802</v>
      </c>
      <c r="O6" s="34">
        <v>7.5374052979324313</v>
      </c>
      <c r="P6" s="34">
        <v>8.3174315055962289</v>
      </c>
      <c r="Q6" s="34">
        <v>15.480691254052626</v>
      </c>
      <c r="R6" s="34">
        <v>12.578252777300559</v>
      </c>
      <c r="S6" s="21"/>
      <c r="T6" s="34">
        <v>12.212935197034481</v>
      </c>
      <c r="U6" s="34">
        <v>13.888440691159417</v>
      </c>
      <c r="V6" s="22"/>
      <c r="W6" s="34">
        <v>0.5</v>
      </c>
      <c r="X6" s="34" t="s">
        <v>91</v>
      </c>
      <c r="Y6" s="34">
        <v>0.81</v>
      </c>
      <c r="Z6" s="56"/>
      <c r="AA6" s="56"/>
    </row>
    <row r="7" spans="1:27" customFormat="1" ht="14.5" x14ac:dyDescent="0.35">
      <c r="A7" s="30" t="s">
        <v>89</v>
      </c>
      <c r="B7" s="30" t="s">
        <v>8</v>
      </c>
      <c r="C7" s="30" t="s">
        <v>103</v>
      </c>
      <c r="D7" s="62" t="s">
        <v>175</v>
      </c>
      <c r="E7" s="32">
        <v>97</v>
      </c>
      <c r="F7" s="31">
        <v>441.60836320999999</v>
      </c>
      <c r="G7" s="33">
        <v>95709</v>
      </c>
      <c r="H7" s="21"/>
      <c r="I7" s="34">
        <v>-5.8280744551094994</v>
      </c>
      <c r="J7" s="34">
        <v>1.8000458610410552</v>
      </c>
      <c r="K7" s="34">
        <v>4.895318953517247</v>
      </c>
      <c r="L7" s="34">
        <v>12.192987504783503</v>
      </c>
      <c r="M7" s="34">
        <v>10.160842267535708</v>
      </c>
      <c r="N7" s="34">
        <v>-5.2711946330464388</v>
      </c>
      <c r="O7" s="34">
        <v>7.1140092288797696</v>
      </c>
      <c r="P7" s="34">
        <v>7.5608144383815468</v>
      </c>
      <c r="Q7" s="34">
        <v>14.092727675346284</v>
      </c>
      <c r="R7" s="34">
        <v>11.620095651055596</v>
      </c>
      <c r="S7" s="21"/>
      <c r="T7" s="34">
        <v>12.57802281056283</v>
      </c>
      <c r="U7" s="34">
        <v>13.576765114175316</v>
      </c>
      <c r="V7" s="22"/>
      <c r="W7" s="34">
        <v>0.41000000000000003</v>
      </c>
      <c r="X7" s="34" t="s">
        <v>91</v>
      </c>
      <c r="Y7" s="34">
        <v>0.68300000000000005</v>
      </c>
      <c r="Z7" s="56"/>
      <c r="AA7" s="56"/>
    </row>
    <row r="8" spans="1:27" customFormat="1" ht="14.5" x14ac:dyDescent="0.35">
      <c r="A8" s="30" t="s">
        <v>116</v>
      </c>
      <c r="B8" s="30" t="s">
        <v>10</v>
      </c>
      <c r="C8" s="30" t="s">
        <v>118</v>
      </c>
      <c r="D8" s="62" t="s">
        <v>175</v>
      </c>
      <c r="E8" s="32">
        <v>90</v>
      </c>
      <c r="F8" s="31">
        <v>137.67950405000002</v>
      </c>
      <c r="G8" s="33">
        <v>34298</v>
      </c>
      <c r="H8" s="21"/>
      <c r="I8" s="34">
        <v>-6.3215088030928346</v>
      </c>
      <c r="J8" s="34">
        <v>5.1301594746716583</v>
      </c>
      <c r="K8" s="34">
        <v>6.5243138037468285</v>
      </c>
      <c r="L8" s="34">
        <v>12.820261140565226</v>
      </c>
      <c r="M8" s="34">
        <v>9.7901518574471389</v>
      </c>
      <c r="N8" s="34">
        <v>-4.7315420963134684</v>
      </c>
      <c r="O8" s="34">
        <v>5.5960224396018443</v>
      </c>
      <c r="P8" s="34">
        <v>6.4838754612756455</v>
      </c>
      <c r="Q8" s="34">
        <v>13.45823668394701</v>
      </c>
      <c r="R8" s="34">
        <v>11.044115261901677</v>
      </c>
      <c r="S8" s="21"/>
      <c r="T8" s="34">
        <v>12.165761564365411</v>
      </c>
      <c r="U8" s="34">
        <v>13.208749704590673</v>
      </c>
      <c r="V8" s="22"/>
      <c r="W8" s="34">
        <v>0.5</v>
      </c>
      <c r="X8" s="34">
        <v>0.93</v>
      </c>
      <c r="Y8" s="34" t="s">
        <v>91</v>
      </c>
      <c r="Z8" s="56"/>
      <c r="AA8" s="56"/>
    </row>
    <row r="9" spans="1:27" customFormat="1" ht="13.5" customHeight="1" x14ac:dyDescent="0.35">
      <c r="A9" s="30" t="s">
        <v>131</v>
      </c>
      <c r="B9" s="30" t="s">
        <v>133</v>
      </c>
      <c r="C9" s="30" t="s">
        <v>145</v>
      </c>
      <c r="D9" s="62" t="s">
        <v>176</v>
      </c>
      <c r="E9" s="32">
        <v>100</v>
      </c>
      <c r="F9" s="31">
        <v>45.306476297899998</v>
      </c>
      <c r="G9" s="33">
        <v>10436</v>
      </c>
      <c r="H9" s="21"/>
      <c r="I9" s="34">
        <v>-5.7374517374517371</v>
      </c>
      <c r="J9" s="34">
        <v>5.6608673071929294</v>
      </c>
      <c r="K9" s="34" t="s">
        <v>161</v>
      </c>
      <c r="L9" s="34" t="s">
        <v>161</v>
      </c>
      <c r="M9" s="34">
        <v>7.7431368581452276</v>
      </c>
      <c r="N9" s="34">
        <v>-5.6945183608302248</v>
      </c>
      <c r="O9" s="34">
        <v>6.1441040561355242</v>
      </c>
      <c r="P9" s="34" t="s">
        <v>161</v>
      </c>
      <c r="Q9" s="34" t="s">
        <v>161</v>
      </c>
      <c r="R9" s="34">
        <v>8.390144840421021</v>
      </c>
      <c r="S9" s="21"/>
      <c r="T9" s="34" t="s">
        <v>161</v>
      </c>
      <c r="U9" s="34" t="s">
        <v>161</v>
      </c>
      <c r="V9" s="22"/>
      <c r="W9" s="34">
        <v>0.4466</v>
      </c>
      <c r="X9" s="34">
        <v>0.5766</v>
      </c>
      <c r="Y9" s="34" t="s">
        <v>91</v>
      </c>
      <c r="Z9" s="56"/>
      <c r="AA9" s="56"/>
    </row>
    <row r="10" spans="1:27" x14ac:dyDescent="0.35">
      <c r="A10" s="16"/>
      <c r="B10" s="16"/>
      <c r="C10" s="16"/>
      <c r="D10" s="16"/>
      <c r="E10" s="16"/>
      <c r="F10" s="16"/>
      <c r="G10" s="16"/>
      <c r="H10" s="16"/>
      <c r="I10" s="16"/>
      <c r="J10" s="16"/>
      <c r="K10" s="16"/>
      <c r="L10" s="16"/>
      <c r="M10" s="16"/>
      <c r="N10" s="16"/>
      <c r="O10" s="16"/>
      <c r="P10" s="16"/>
      <c r="Q10" s="16"/>
      <c r="R10" s="16"/>
      <c r="S10" s="16"/>
      <c r="T10" s="16"/>
      <c r="U10" s="16"/>
      <c r="V10" s="16"/>
    </row>
    <row r="11" spans="1:27" s="53" customFormat="1" ht="13.5" x14ac:dyDescent="0.3">
      <c r="A11" s="51" t="s">
        <v>179</v>
      </c>
      <c r="B11" s="47"/>
      <c r="C11" s="47"/>
      <c r="D11" s="52"/>
      <c r="E11" s="52"/>
      <c r="F11" s="52"/>
      <c r="G11" s="52"/>
      <c r="H11" s="52"/>
      <c r="I11" s="52"/>
      <c r="J11" s="52"/>
      <c r="K11" s="52"/>
      <c r="L11" s="52"/>
      <c r="M11" s="52"/>
      <c r="N11" s="52"/>
      <c r="O11" s="52"/>
      <c r="P11" s="52"/>
      <c r="Q11" s="52"/>
      <c r="R11" s="52"/>
    </row>
    <row r="12" spans="1:27" s="53" customFormat="1" ht="13.5" x14ac:dyDescent="0.3">
      <c r="A12" s="47" t="s">
        <v>93</v>
      </c>
      <c r="B12" s="51"/>
      <c r="C12" s="51"/>
    </row>
    <row r="13" spans="1:27" s="53" customFormat="1" ht="13.5" x14ac:dyDescent="0.3">
      <c r="A13" s="51" t="s">
        <v>95</v>
      </c>
      <c r="B13" s="51"/>
      <c r="C13" s="51"/>
    </row>
    <row r="14" spans="1:27" s="53" customFormat="1" ht="13.5" x14ac:dyDescent="0.3">
      <c r="A14" s="51" t="s">
        <v>96</v>
      </c>
      <c r="B14" s="51"/>
      <c r="C14" s="51"/>
    </row>
    <row r="15" spans="1:27" s="53" customFormat="1" ht="13.5" x14ac:dyDescent="0.3">
      <c r="A15" s="51" t="s">
        <v>180</v>
      </c>
      <c r="B15" s="52"/>
      <c r="C15" s="52"/>
    </row>
    <row r="16" spans="1:27" s="53" customFormat="1" ht="13.5" x14ac:dyDescent="0.3">
      <c r="A16" s="54" t="s">
        <v>115</v>
      </c>
      <c r="B16" s="52"/>
      <c r="C16" s="52"/>
    </row>
    <row r="17" spans="1:4" s="53" customFormat="1" ht="13.5" x14ac:dyDescent="0.3">
      <c r="A17" s="54" t="s">
        <v>101</v>
      </c>
    </row>
    <row r="18" spans="1:4" s="53" customFormat="1" ht="13.5" x14ac:dyDescent="0.3">
      <c r="A18" s="54" t="s">
        <v>181</v>
      </c>
    </row>
    <row r="19" spans="1:4" s="53" customFormat="1" ht="13.5" x14ac:dyDescent="0.3">
      <c r="A19" s="54" t="s">
        <v>152</v>
      </c>
    </row>
    <row r="20" spans="1:4" s="53" customFormat="1" ht="13.5" x14ac:dyDescent="0.3">
      <c r="A20" s="54" t="s">
        <v>153</v>
      </c>
    </row>
    <row r="21" spans="1:4" s="53" customFormat="1" ht="13.5" x14ac:dyDescent="0.3">
      <c r="A21" s="54" t="s">
        <v>156</v>
      </c>
    </row>
    <row r="22" spans="1:4" s="53" customFormat="1" ht="13.5" x14ac:dyDescent="0.3">
      <c r="A22" s="54" t="s">
        <v>155</v>
      </c>
    </row>
    <row r="23" spans="1:4" s="53" customFormat="1" ht="13.5" x14ac:dyDescent="0.3">
      <c r="A23" s="84" t="s">
        <v>187</v>
      </c>
    </row>
    <row r="24" spans="1:4" x14ac:dyDescent="0.35">
      <c r="A24" s="54"/>
    </row>
    <row r="25" spans="1:4" x14ac:dyDescent="0.35">
      <c r="A25" s="35" t="s">
        <v>113</v>
      </c>
      <c r="B25" s="35"/>
      <c r="C25" s="35"/>
      <c r="D25" s="35"/>
    </row>
    <row r="26" spans="1:4" s="53" customFormat="1" ht="13.5" x14ac:dyDescent="0.3">
      <c r="A26" s="51" t="s">
        <v>83</v>
      </c>
      <c r="B26" s="52"/>
      <c r="C26" s="52"/>
    </row>
    <row r="27" spans="1:4" s="53" customFormat="1" ht="13.5" x14ac:dyDescent="0.3">
      <c r="A27" s="51" t="s">
        <v>84</v>
      </c>
      <c r="B27" s="52"/>
      <c r="C27" s="52"/>
    </row>
    <row r="28" spans="1:4" x14ac:dyDescent="0.35">
      <c r="A28" s="17"/>
      <c r="B28" s="17"/>
      <c r="C28" s="17"/>
    </row>
    <row r="35" spans="1:3" x14ac:dyDescent="0.35">
      <c r="A35" s="35" t="s">
        <v>0</v>
      </c>
      <c r="B35" s="35" t="s">
        <v>73</v>
      </c>
      <c r="C35" s="35" t="s">
        <v>72</v>
      </c>
    </row>
    <row r="36" spans="1:3" x14ac:dyDescent="0.35">
      <c r="A36" s="30" t="s">
        <v>9</v>
      </c>
      <c r="B36" s="31">
        <v>11.237758141172643</v>
      </c>
      <c r="C36" s="31">
        <v>5.4552694453293027</v>
      </c>
    </row>
    <row r="37" spans="1:3" x14ac:dyDescent="0.35">
      <c r="A37" s="30" t="s">
        <v>7</v>
      </c>
      <c r="B37" s="31">
        <v>10.526631325733423</v>
      </c>
      <c r="C37" s="31">
        <v>6.1584788590729467</v>
      </c>
    </row>
    <row r="38" spans="1:3" x14ac:dyDescent="0.35">
      <c r="A38" s="30" t="s">
        <v>6</v>
      </c>
      <c r="B38" s="31">
        <v>12.212935197034481</v>
      </c>
      <c r="C38" s="31">
        <v>5.2252653415191253</v>
      </c>
    </row>
    <row r="39" spans="1:3" x14ac:dyDescent="0.35">
      <c r="A39" s="30" t="s">
        <v>8</v>
      </c>
      <c r="B39" s="31">
        <v>12.57802281056283</v>
      </c>
      <c r="C39" s="31">
        <v>4.895318953517247</v>
      </c>
    </row>
    <row r="40" spans="1:3" x14ac:dyDescent="0.35">
      <c r="A40" s="30" t="s">
        <v>10</v>
      </c>
      <c r="B40" s="31">
        <v>12.165761564365411</v>
      </c>
      <c r="C40" s="31">
        <v>6.5243138037468285</v>
      </c>
    </row>
    <row r="57" spans="1:5" x14ac:dyDescent="0.35">
      <c r="A57" s="35" t="s">
        <v>114</v>
      </c>
      <c r="B57" s="35"/>
      <c r="C57" s="35"/>
      <c r="D57" s="35"/>
      <c r="E57" s="35"/>
    </row>
    <row r="58" spans="1:5" s="53" customFormat="1" ht="13.5" x14ac:dyDescent="0.3">
      <c r="A58" s="51" t="s">
        <v>85</v>
      </c>
      <c r="B58" s="52"/>
      <c r="C58" s="52"/>
    </row>
    <row r="59" spans="1:5" s="53" customFormat="1" ht="13.5" x14ac:dyDescent="0.3">
      <c r="A59" s="51" t="s">
        <v>86</v>
      </c>
      <c r="B59" s="52"/>
      <c r="C59" s="52"/>
    </row>
    <row r="60" spans="1:5" s="53" customFormat="1" ht="13.5" x14ac:dyDescent="0.3">
      <c r="A60" s="51" t="s">
        <v>87</v>
      </c>
      <c r="B60" s="52"/>
      <c r="C60" s="52"/>
    </row>
    <row r="65" spans="1:4" x14ac:dyDescent="0.35">
      <c r="A65" s="35" t="s">
        <v>0</v>
      </c>
      <c r="B65" s="35" t="s">
        <v>77</v>
      </c>
      <c r="C65" s="35" t="s">
        <v>78</v>
      </c>
      <c r="D65" s="35" t="s">
        <v>79</v>
      </c>
    </row>
    <row r="66" spans="1:4" x14ac:dyDescent="0.35">
      <c r="A66" s="30" t="s">
        <v>9</v>
      </c>
      <c r="B66" s="31">
        <v>21.262</v>
      </c>
      <c r="C66" s="31">
        <v>5.4552694453293027</v>
      </c>
      <c r="D66" s="31">
        <v>83.029739329999998</v>
      </c>
    </row>
    <row r="67" spans="1:4" x14ac:dyDescent="0.35">
      <c r="A67" s="30" t="s">
        <v>7</v>
      </c>
      <c r="B67" s="31">
        <v>34.972999999999999</v>
      </c>
      <c r="C67" s="31">
        <v>6.1584788590729467</v>
      </c>
      <c r="D67" s="31">
        <v>161.98568655700001</v>
      </c>
    </row>
    <row r="68" spans="1:4" x14ac:dyDescent="0.35">
      <c r="A68" s="30" t="s">
        <v>6</v>
      </c>
      <c r="B68" s="31">
        <v>45.881999999999998</v>
      </c>
      <c r="C68" s="31">
        <v>5.2252653415191253</v>
      </c>
      <c r="D68" s="31">
        <v>221.02564390000001</v>
      </c>
    </row>
    <row r="69" spans="1:4" x14ac:dyDescent="0.35">
      <c r="A69" s="30" t="s">
        <v>8</v>
      </c>
      <c r="B69" s="31">
        <v>95.709000000000003</v>
      </c>
      <c r="C69" s="31">
        <v>4.895318953517247</v>
      </c>
      <c r="D69" s="31">
        <v>441.60836320999999</v>
      </c>
    </row>
    <row r="70" spans="1:4" x14ac:dyDescent="0.35">
      <c r="A70" s="30" t="s">
        <v>10</v>
      </c>
      <c r="B70" s="31">
        <v>34.298000000000002</v>
      </c>
      <c r="C70" s="31">
        <v>6.5243138037468285</v>
      </c>
      <c r="D70" s="31">
        <v>137.67950405000002</v>
      </c>
    </row>
  </sheetData>
  <mergeCells count="7">
    <mergeCell ref="W1:Y1"/>
    <mergeCell ref="T1:U1"/>
    <mergeCell ref="A3:C3"/>
    <mergeCell ref="D1:D2"/>
    <mergeCell ref="F1:F2"/>
    <mergeCell ref="G1:G2"/>
    <mergeCell ref="I1:P1"/>
  </mergeCells>
  <conditionalFormatting sqref="I3:R9">
    <cfRule type="cellIs" dxfId="41" priority="9" operator="greaterThanOrEqual">
      <formula>0</formula>
    </cfRule>
    <cfRule type="cellIs" dxfId="40" priority="10" operator="lessThan">
      <formula>0</formula>
    </cfRule>
  </conditionalFormatting>
  <conditionalFormatting sqref="T4:U9">
    <cfRule type="cellIs" dxfId="39" priority="13" operator="greaterThanOrEqual">
      <formula>0</formula>
    </cfRule>
    <cfRule type="cellIs" dxfId="38" priority="14" operator="lessThan">
      <formula>0</formula>
    </cfRule>
  </conditionalFormatting>
  <conditionalFormatting sqref="W4:Y9">
    <cfRule type="cellIs" dxfId="37" priority="7" operator="greaterThanOrEqual">
      <formula>0</formula>
    </cfRule>
    <cfRule type="cellIs" dxfId="36" priority="8" operator="lessThan">
      <formula>0</formula>
    </cfRule>
  </conditionalFormatting>
  <hyperlinks>
    <hyperlink ref="C1" location="GCF_2024!A1" display="GCF_2024!A1" xr:uid="{E57081BA-952A-4D8F-B076-8BAF6D9D1EFD}"/>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70"/>
  <sheetViews>
    <sheetView showGridLines="0" zoomScale="50" zoomScaleNormal="50" workbookViewId="0"/>
  </sheetViews>
  <sheetFormatPr defaultColWidth="8.81640625" defaultRowHeight="15.5" x14ac:dyDescent="0.35"/>
  <cols>
    <col min="1" max="1" width="43.453125" style="15" customWidth="1"/>
    <col min="2" max="2" width="14.81640625" style="15" bestFit="1" customWidth="1"/>
    <col min="3" max="3" width="69.54296875" style="15" customWidth="1"/>
    <col min="4" max="4" width="13.54296875" style="15" customWidth="1"/>
    <col min="5" max="5" width="16.1796875" style="15" bestFit="1" customWidth="1"/>
    <col min="6" max="6" width="19.453125" style="15" customWidth="1"/>
    <col min="7" max="7" width="15.1796875" style="15" customWidth="1"/>
    <col min="8" max="8" width="1.453125" style="15" customWidth="1"/>
    <col min="9" max="10" width="16" style="15" customWidth="1"/>
    <col min="11" max="13" width="18.453125" style="15" customWidth="1"/>
    <col min="14" max="15" width="17.453125" style="15" customWidth="1"/>
    <col min="16" max="16" width="16.81640625" style="15" customWidth="1"/>
    <col min="17" max="17" width="17.453125" style="15" customWidth="1"/>
    <col min="18" max="18" width="18.7265625" style="15" customWidth="1"/>
    <col min="19" max="19" width="1.453125" style="15" customWidth="1"/>
    <col min="20" max="20" width="19.54296875" style="15" customWidth="1"/>
    <col min="21" max="21" width="22.453125" style="15" customWidth="1"/>
    <col min="22" max="22" width="1.453125" style="15" customWidth="1"/>
    <col min="23" max="24" width="8.81640625" style="15"/>
    <col min="25" max="25" width="14.54296875" style="15" customWidth="1"/>
    <col min="26" max="16384" width="8.81640625" style="15"/>
  </cols>
  <sheetData>
    <row r="1" spans="1:27" ht="22.4" customHeight="1" x14ac:dyDescent="0.35">
      <c r="A1" s="92">
        <v>45747</v>
      </c>
      <c r="B1" s="24"/>
      <c r="C1" s="86" t="s">
        <v>76</v>
      </c>
      <c r="D1" s="98" t="s">
        <v>90</v>
      </c>
      <c r="E1" s="29" t="s">
        <v>75</v>
      </c>
      <c r="F1" s="98" t="s">
        <v>100</v>
      </c>
      <c r="G1" s="98" t="s">
        <v>71</v>
      </c>
      <c r="H1" s="26"/>
      <c r="I1" s="96" t="s">
        <v>72</v>
      </c>
      <c r="J1" s="102"/>
      <c r="K1" s="102">
        <v>0</v>
      </c>
      <c r="L1" s="102"/>
      <c r="M1" s="102"/>
      <c r="N1" s="102">
        <v>0</v>
      </c>
      <c r="O1" s="102"/>
      <c r="P1" s="102">
        <v>0</v>
      </c>
      <c r="Q1" s="83"/>
      <c r="R1" s="91"/>
      <c r="S1" s="27"/>
      <c r="T1" s="100" t="s">
        <v>97</v>
      </c>
      <c r="U1" s="101">
        <v>0</v>
      </c>
      <c r="V1" s="27"/>
      <c r="W1" s="96" t="s">
        <v>188</v>
      </c>
      <c r="X1" s="102">
        <v>0</v>
      </c>
      <c r="Y1" s="102">
        <v>0</v>
      </c>
    </row>
    <row r="2" spans="1:27" ht="94.5" x14ac:dyDescent="0.35">
      <c r="A2" s="23" t="s">
        <v>42</v>
      </c>
      <c r="B2" s="23" t="s">
        <v>43</v>
      </c>
      <c r="C2" s="23" t="s">
        <v>44</v>
      </c>
      <c r="D2" s="99">
        <v>0</v>
      </c>
      <c r="E2" s="23" t="s">
        <v>99</v>
      </c>
      <c r="F2" s="99">
        <v>0</v>
      </c>
      <c r="G2" s="99">
        <v>0</v>
      </c>
      <c r="H2" s="26"/>
      <c r="I2" s="94" t="s">
        <v>92</v>
      </c>
      <c r="J2" s="23" t="s">
        <v>183</v>
      </c>
      <c r="K2" s="23" t="s">
        <v>157</v>
      </c>
      <c r="L2" s="23" t="s">
        <v>177</v>
      </c>
      <c r="M2" s="23" t="s">
        <v>185</v>
      </c>
      <c r="N2" s="23" t="s">
        <v>94</v>
      </c>
      <c r="O2" s="23" t="s">
        <v>184</v>
      </c>
      <c r="P2" s="23" t="s">
        <v>158</v>
      </c>
      <c r="Q2" s="23" t="s">
        <v>178</v>
      </c>
      <c r="R2" s="23" t="s">
        <v>186</v>
      </c>
      <c r="S2" s="28"/>
      <c r="T2" s="23" t="s">
        <v>111</v>
      </c>
      <c r="U2" s="23" t="s">
        <v>112</v>
      </c>
      <c r="V2" s="28"/>
      <c r="W2" s="23" t="s">
        <v>149</v>
      </c>
      <c r="X2" s="23" t="s">
        <v>150</v>
      </c>
      <c r="Y2" s="23" t="s">
        <v>151</v>
      </c>
    </row>
    <row r="3" spans="1:27" ht="29.15" customHeight="1" x14ac:dyDescent="0.35">
      <c r="A3" s="95" t="s">
        <v>51</v>
      </c>
      <c r="B3" s="95"/>
      <c r="C3" s="95"/>
      <c r="D3" s="42"/>
      <c r="E3" s="42"/>
      <c r="F3" s="43"/>
      <c r="G3" s="66" t="s">
        <v>98</v>
      </c>
      <c r="H3" s="43"/>
      <c r="I3" s="63">
        <v>-5.7634680464274961</v>
      </c>
      <c r="J3" s="63">
        <v>4.0006811990992031</v>
      </c>
      <c r="K3" s="63">
        <v>5.4392609096996543</v>
      </c>
      <c r="L3" s="63">
        <v>12.468690428705013</v>
      </c>
      <c r="M3" s="63">
        <v>10.083261819017171</v>
      </c>
      <c r="N3" s="63">
        <v>-5.2341567807893314</v>
      </c>
      <c r="O3" s="63">
        <v>6.7102923679032589</v>
      </c>
      <c r="P3" s="63">
        <v>7.4353148167185683</v>
      </c>
      <c r="Q3" s="63">
        <v>14.361444936826981</v>
      </c>
      <c r="R3" s="63">
        <v>11.604102678088912</v>
      </c>
      <c r="S3" s="43"/>
      <c r="T3" s="43"/>
      <c r="U3" s="43"/>
      <c r="V3" s="43"/>
      <c r="W3" s="43"/>
      <c r="X3" s="43"/>
      <c r="Y3" s="43"/>
    </row>
    <row r="4" spans="1:27" customFormat="1" ht="14.5" x14ac:dyDescent="0.35">
      <c r="A4" s="30" t="s">
        <v>36</v>
      </c>
      <c r="B4" s="30" t="s">
        <v>14</v>
      </c>
      <c r="C4" s="30" t="s">
        <v>52</v>
      </c>
      <c r="D4" s="62" t="s">
        <v>175</v>
      </c>
      <c r="E4" s="32">
        <v>90</v>
      </c>
      <c r="F4" s="31">
        <v>147.78593869999997</v>
      </c>
      <c r="G4" s="33">
        <v>27920</v>
      </c>
      <c r="H4" s="21"/>
      <c r="I4" s="34">
        <v>-6.0148369536211828</v>
      </c>
      <c r="J4" s="34">
        <v>5.2222753346080175</v>
      </c>
      <c r="K4" s="34">
        <v>5.6243782914561891</v>
      </c>
      <c r="L4" s="34">
        <v>11.654383895601828</v>
      </c>
      <c r="M4" s="34">
        <v>9.4733917005169523</v>
      </c>
      <c r="N4" s="34">
        <v>-4.6316245271199925</v>
      </c>
      <c r="O4" s="34">
        <v>7.0280186057838812</v>
      </c>
      <c r="P4" s="34">
        <v>7.0212531801652878</v>
      </c>
      <c r="Q4" s="34">
        <v>13.271244180296971</v>
      </c>
      <c r="R4" s="34">
        <v>10.798003303611448</v>
      </c>
      <c r="S4" s="21"/>
      <c r="T4" s="34">
        <v>11.16206613026182</v>
      </c>
      <c r="U4" s="34">
        <v>12.258378155523939</v>
      </c>
      <c r="V4" s="22"/>
      <c r="W4" s="34">
        <v>0.49</v>
      </c>
      <c r="X4" s="34">
        <v>0.72</v>
      </c>
      <c r="Y4" s="34" t="s">
        <v>91</v>
      </c>
      <c r="Z4" s="56"/>
      <c r="AA4" s="56"/>
    </row>
    <row r="5" spans="1:27" customFormat="1" ht="14.5" x14ac:dyDescent="0.35">
      <c r="A5" s="30" t="s">
        <v>160</v>
      </c>
      <c r="B5" s="30" t="s">
        <v>12</v>
      </c>
      <c r="C5" s="30" t="s">
        <v>126</v>
      </c>
      <c r="D5" s="62" t="s">
        <v>175</v>
      </c>
      <c r="E5" s="32">
        <v>97</v>
      </c>
      <c r="F5" s="31">
        <v>276.99876515130001</v>
      </c>
      <c r="G5" s="33">
        <v>42737</v>
      </c>
      <c r="H5" s="21"/>
      <c r="I5" s="34">
        <v>-4.3227515976515862</v>
      </c>
      <c r="J5" s="34">
        <v>5.1444558638803262</v>
      </c>
      <c r="K5" s="34">
        <v>6.2308715753485178</v>
      </c>
      <c r="L5" s="34">
        <v>12.853426152011505</v>
      </c>
      <c r="M5" s="34">
        <v>10.258868548791234</v>
      </c>
      <c r="N5" s="34">
        <v>-5.5981660149772905</v>
      </c>
      <c r="O5" s="34">
        <v>5.2603630883470531</v>
      </c>
      <c r="P5" s="34">
        <v>6.6665544138813759</v>
      </c>
      <c r="Q5" s="34">
        <v>14.381379986800313</v>
      </c>
      <c r="R5" s="34">
        <v>11.3502730202097</v>
      </c>
      <c r="S5" s="21"/>
      <c r="T5" s="34">
        <v>10.460034013825647</v>
      </c>
      <c r="U5" s="34">
        <v>13.437185876851871</v>
      </c>
      <c r="V5" s="22"/>
      <c r="W5" s="34">
        <v>0.5</v>
      </c>
      <c r="X5" s="34">
        <v>1.26</v>
      </c>
      <c r="Y5" s="34">
        <v>1.26</v>
      </c>
      <c r="Z5" s="56"/>
      <c r="AA5" s="56"/>
    </row>
    <row r="6" spans="1:27" customFormat="1" ht="14.5" x14ac:dyDescent="0.35">
      <c r="A6" s="30" t="s">
        <v>88</v>
      </c>
      <c r="B6" s="30" t="s">
        <v>11</v>
      </c>
      <c r="C6" s="30" t="s">
        <v>53</v>
      </c>
      <c r="D6" s="62" t="s">
        <v>175</v>
      </c>
      <c r="E6" s="32">
        <v>98</v>
      </c>
      <c r="F6" s="31">
        <v>470.47859905000001</v>
      </c>
      <c r="G6" s="33">
        <v>74089</v>
      </c>
      <c r="H6" s="21"/>
      <c r="I6" s="34">
        <v>-5.9867075664621687</v>
      </c>
      <c r="J6" s="34">
        <v>5.3086702554117515</v>
      </c>
      <c r="K6" s="34">
        <v>5.1571465042104636</v>
      </c>
      <c r="L6" s="34">
        <v>12.523361240285279</v>
      </c>
      <c r="M6" s="34">
        <v>10.233954169143278</v>
      </c>
      <c r="N6" s="34">
        <v>-5.3594964112851802</v>
      </c>
      <c r="O6" s="34">
        <v>7.5374052979324313</v>
      </c>
      <c r="P6" s="34">
        <v>8.3174315055962289</v>
      </c>
      <c r="Q6" s="34">
        <v>15.480691254052626</v>
      </c>
      <c r="R6" s="34">
        <v>12.578252777300559</v>
      </c>
      <c r="S6" s="21"/>
      <c r="T6" s="34">
        <v>12.150261151789399</v>
      </c>
      <c r="U6" s="34">
        <v>13.888440691159417</v>
      </c>
      <c r="V6" s="22"/>
      <c r="W6" s="34">
        <v>0.5</v>
      </c>
      <c r="X6" s="34" t="s">
        <v>91</v>
      </c>
      <c r="Y6" s="34">
        <v>0.82</v>
      </c>
      <c r="Z6" s="56"/>
      <c r="AA6" s="56"/>
    </row>
    <row r="7" spans="1:27" customFormat="1" ht="14.5" x14ac:dyDescent="0.35">
      <c r="A7" s="30" t="s">
        <v>89</v>
      </c>
      <c r="B7" s="30" t="s">
        <v>13</v>
      </c>
      <c r="C7" s="30" t="s">
        <v>104</v>
      </c>
      <c r="D7" s="62" t="s">
        <v>175</v>
      </c>
      <c r="E7" s="32">
        <v>97</v>
      </c>
      <c r="F7" s="31">
        <v>611.69713610000008</v>
      </c>
      <c r="G7" s="33">
        <v>113986</v>
      </c>
      <c r="H7" s="21"/>
      <c r="I7" s="34">
        <v>-5.9983177373567393</v>
      </c>
      <c r="J7" s="34">
        <v>1.6427921782628419</v>
      </c>
      <c r="K7" s="34">
        <v>4.8469992514890148</v>
      </c>
      <c r="L7" s="34">
        <v>12.338983958722572</v>
      </c>
      <c r="M7" s="34">
        <v>10.304376831616313</v>
      </c>
      <c r="N7" s="34">
        <v>-5.2711946330464388</v>
      </c>
      <c r="O7" s="34">
        <v>7.1140092288797696</v>
      </c>
      <c r="P7" s="34">
        <v>7.5608144383815468</v>
      </c>
      <c r="Q7" s="34">
        <v>14.092727675346284</v>
      </c>
      <c r="R7" s="34">
        <v>11.620095651055596</v>
      </c>
      <c r="S7" s="21"/>
      <c r="T7" s="34">
        <v>12.542037416323076</v>
      </c>
      <c r="U7" s="34">
        <v>13.576765114175316</v>
      </c>
      <c r="V7" s="22"/>
      <c r="W7" s="34">
        <v>0.41000000000000003</v>
      </c>
      <c r="X7" s="34" t="s">
        <v>91</v>
      </c>
      <c r="Y7" s="34">
        <v>0.68959999999999999</v>
      </c>
      <c r="Z7" s="56"/>
      <c r="AA7" s="56"/>
    </row>
    <row r="8" spans="1:27" customFormat="1" ht="14.5" x14ac:dyDescent="0.35">
      <c r="A8" s="30" t="s">
        <v>116</v>
      </c>
      <c r="B8" s="30" t="s">
        <v>15</v>
      </c>
      <c r="C8" s="30" t="s">
        <v>119</v>
      </c>
      <c r="D8" s="62" t="s">
        <v>175</v>
      </c>
      <c r="E8" s="32">
        <v>90</v>
      </c>
      <c r="F8" s="31">
        <v>228.75510874</v>
      </c>
      <c r="G8" s="33">
        <v>48008</v>
      </c>
      <c r="H8" s="21"/>
      <c r="I8" s="34">
        <v>-6.2614331260126388</v>
      </c>
      <c r="J8" s="34">
        <v>5.1104729531735504</v>
      </c>
      <c r="K8" s="34">
        <v>6.5250536112740676</v>
      </c>
      <c r="L8" s="34">
        <v>12.763290907228054</v>
      </c>
      <c r="M8" s="34">
        <v>9.7940688739556414</v>
      </c>
      <c r="N8" s="34">
        <v>-4.7315420963134684</v>
      </c>
      <c r="O8" s="34">
        <v>5.5960224396018443</v>
      </c>
      <c r="P8" s="34">
        <v>6.4838754612756455</v>
      </c>
      <c r="Q8" s="34">
        <v>13.45823668394701</v>
      </c>
      <c r="R8" s="34">
        <v>11.044115261901677</v>
      </c>
      <c r="S8" s="21"/>
      <c r="T8" s="34">
        <v>12.148264992011267</v>
      </c>
      <c r="U8" s="34">
        <v>13.208749704590673</v>
      </c>
      <c r="V8" s="22"/>
      <c r="W8" s="34">
        <v>0.5</v>
      </c>
      <c r="X8" s="34">
        <v>0.97</v>
      </c>
      <c r="Y8" s="34" t="s">
        <v>91</v>
      </c>
      <c r="Z8" s="56"/>
      <c r="AA8" s="56"/>
    </row>
    <row r="9" spans="1:27" customFormat="1" ht="14.5" x14ac:dyDescent="0.35">
      <c r="A9" s="30" t="s">
        <v>131</v>
      </c>
      <c r="B9" s="30" t="s">
        <v>134</v>
      </c>
      <c r="C9" s="30" t="s">
        <v>144</v>
      </c>
      <c r="D9" s="62" t="s">
        <v>176</v>
      </c>
      <c r="E9" s="32">
        <v>100</v>
      </c>
      <c r="F9" s="31">
        <v>46.845354074500001</v>
      </c>
      <c r="G9" s="33">
        <v>7620</v>
      </c>
      <c r="H9" s="21"/>
      <c r="I9" s="34">
        <v>-5.7491556647221387</v>
      </c>
      <c r="J9" s="34">
        <v>5.6167211422673224</v>
      </c>
      <c r="K9" s="34" t="s">
        <v>161</v>
      </c>
      <c r="L9" s="34" t="s">
        <v>161</v>
      </c>
      <c r="M9" s="34">
        <v>7.9803595476098943</v>
      </c>
      <c r="N9" s="34">
        <v>-5.6945183608302248</v>
      </c>
      <c r="O9" s="34">
        <v>6.1441040561355242</v>
      </c>
      <c r="P9" s="34" t="s">
        <v>161</v>
      </c>
      <c r="Q9" s="34" t="s">
        <v>161</v>
      </c>
      <c r="R9" s="34">
        <v>8.390144840421021</v>
      </c>
      <c r="S9" s="21"/>
      <c r="T9" s="34" t="s">
        <v>161</v>
      </c>
      <c r="U9" s="34" t="s">
        <v>161</v>
      </c>
      <c r="V9" s="22"/>
      <c r="W9" s="34">
        <v>0.4466</v>
      </c>
      <c r="X9" s="34">
        <v>0.57699999999999996</v>
      </c>
      <c r="Y9" s="34" t="s">
        <v>91</v>
      </c>
      <c r="Z9" s="56"/>
      <c r="AA9" s="56"/>
    </row>
    <row r="10" spans="1:27" x14ac:dyDescent="0.35">
      <c r="A10" s="16"/>
      <c r="B10" s="16"/>
      <c r="C10" s="16"/>
      <c r="D10" s="16"/>
      <c r="E10" s="16"/>
      <c r="F10" s="16"/>
      <c r="G10" s="16"/>
      <c r="H10" s="16"/>
      <c r="I10" s="16"/>
      <c r="J10" s="16"/>
      <c r="K10" s="16"/>
      <c r="L10" s="16"/>
      <c r="M10" s="16"/>
      <c r="N10" s="16"/>
      <c r="O10" s="16"/>
      <c r="P10" s="16"/>
      <c r="Q10" s="16"/>
      <c r="R10" s="16"/>
      <c r="S10" s="16"/>
      <c r="T10" s="16"/>
      <c r="U10" s="16"/>
      <c r="V10" s="16"/>
    </row>
    <row r="11" spans="1:27" s="53" customFormat="1" ht="13.5" x14ac:dyDescent="0.3">
      <c r="A11" s="51" t="s">
        <v>179</v>
      </c>
      <c r="B11" s="47"/>
      <c r="C11" s="47"/>
      <c r="D11" s="52"/>
      <c r="E11" s="52"/>
      <c r="F11" s="52"/>
      <c r="G11" s="52"/>
      <c r="H11" s="52"/>
      <c r="I11" s="52"/>
      <c r="J11" s="52"/>
      <c r="K11" s="52"/>
      <c r="L11" s="52"/>
      <c r="M11" s="52"/>
      <c r="N11" s="52"/>
      <c r="O11" s="52"/>
      <c r="P11" s="52"/>
      <c r="Q11" s="52"/>
      <c r="R11" s="52"/>
    </row>
    <row r="12" spans="1:27" s="53" customFormat="1" ht="13.5" x14ac:dyDescent="0.3">
      <c r="A12" s="47" t="s">
        <v>93</v>
      </c>
      <c r="B12" s="51"/>
      <c r="C12" s="51"/>
    </row>
    <row r="13" spans="1:27" s="53" customFormat="1" ht="13.5" x14ac:dyDescent="0.3">
      <c r="A13" s="51" t="s">
        <v>95</v>
      </c>
      <c r="B13" s="51"/>
      <c r="C13" s="51"/>
    </row>
    <row r="14" spans="1:27" s="53" customFormat="1" ht="13.5" x14ac:dyDescent="0.3">
      <c r="A14" s="51" t="s">
        <v>96</v>
      </c>
      <c r="B14" s="51"/>
      <c r="C14" s="51"/>
    </row>
    <row r="15" spans="1:27" s="53" customFormat="1" ht="13.5" x14ac:dyDescent="0.3">
      <c r="A15" s="51" t="s">
        <v>180</v>
      </c>
      <c r="B15" s="52"/>
      <c r="C15" s="52"/>
    </row>
    <row r="16" spans="1:27" s="53" customFormat="1" ht="13.5" x14ac:dyDescent="0.3">
      <c r="A16" s="54" t="s">
        <v>115</v>
      </c>
      <c r="B16" s="52"/>
      <c r="C16" s="52"/>
    </row>
    <row r="17" spans="1:4" s="53" customFormat="1" ht="13.5" x14ac:dyDescent="0.3">
      <c r="A17" s="54" t="s">
        <v>101</v>
      </c>
    </row>
    <row r="18" spans="1:4" s="53" customFormat="1" ht="13.5" x14ac:dyDescent="0.3">
      <c r="A18" s="54" t="s">
        <v>181</v>
      </c>
    </row>
    <row r="19" spans="1:4" s="53" customFormat="1" ht="13.5" x14ac:dyDescent="0.3">
      <c r="A19" s="54" t="s">
        <v>152</v>
      </c>
    </row>
    <row r="20" spans="1:4" s="53" customFormat="1" ht="13.5" x14ac:dyDescent="0.3">
      <c r="A20" s="54" t="s">
        <v>153</v>
      </c>
    </row>
    <row r="21" spans="1:4" s="53" customFormat="1" ht="13.5" x14ac:dyDescent="0.3">
      <c r="A21" s="54" t="s">
        <v>156</v>
      </c>
    </row>
    <row r="22" spans="1:4" s="53" customFormat="1" ht="13.5" x14ac:dyDescent="0.3">
      <c r="A22" s="54" t="s">
        <v>155</v>
      </c>
    </row>
    <row r="23" spans="1:4" s="53" customFormat="1" ht="13.5" x14ac:dyDescent="0.3">
      <c r="A23" s="84" t="s">
        <v>187</v>
      </c>
    </row>
    <row r="24" spans="1:4" x14ac:dyDescent="0.35">
      <c r="A24" s="54"/>
    </row>
    <row r="25" spans="1:4" x14ac:dyDescent="0.35">
      <c r="A25" s="35" t="s">
        <v>113</v>
      </c>
      <c r="B25" s="35"/>
      <c r="C25" s="35"/>
      <c r="D25" s="35"/>
    </row>
    <row r="26" spans="1:4" s="53" customFormat="1" ht="13.5" x14ac:dyDescent="0.3">
      <c r="A26" s="51" t="s">
        <v>83</v>
      </c>
      <c r="B26" s="52"/>
      <c r="C26" s="52"/>
    </row>
    <row r="27" spans="1:4" s="53" customFormat="1" ht="13.5" x14ac:dyDescent="0.3">
      <c r="A27" s="51" t="s">
        <v>84</v>
      </c>
      <c r="B27" s="52"/>
      <c r="C27" s="52"/>
    </row>
    <row r="28" spans="1:4" x14ac:dyDescent="0.35">
      <c r="A28" s="17"/>
      <c r="B28" s="17"/>
      <c r="C28" s="17"/>
    </row>
    <row r="35" spans="1:3" x14ac:dyDescent="0.35">
      <c r="A35" s="35" t="s">
        <v>0</v>
      </c>
      <c r="B35" s="35" t="s">
        <v>73</v>
      </c>
      <c r="C35" s="35" t="s">
        <v>72</v>
      </c>
    </row>
    <row r="36" spans="1:3" x14ac:dyDescent="0.35">
      <c r="A36" s="30" t="s">
        <v>14</v>
      </c>
      <c r="B36" s="31">
        <v>11.16206613026182</v>
      </c>
      <c r="C36" s="31">
        <v>5.6243782914561891</v>
      </c>
    </row>
    <row r="37" spans="1:3" x14ac:dyDescent="0.35">
      <c r="A37" s="30" t="s">
        <v>12</v>
      </c>
      <c r="B37" s="31">
        <v>10.460034013825647</v>
      </c>
      <c r="C37" s="31">
        <v>6.2308715753485178</v>
      </c>
    </row>
    <row r="38" spans="1:3" x14ac:dyDescent="0.35">
      <c r="A38" s="30" t="s">
        <v>11</v>
      </c>
      <c r="B38" s="31">
        <v>12.150261151789399</v>
      </c>
      <c r="C38" s="31">
        <v>5.1571465042104636</v>
      </c>
    </row>
    <row r="39" spans="1:3" x14ac:dyDescent="0.35">
      <c r="A39" s="30" t="s">
        <v>13</v>
      </c>
      <c r="B39" s="31">
        <v>12.542037416323076</v>
      </c>
      <c r="C39" s="31">
        <v>4.8469992514890148</v>
      </c>
    </row>
    <row r="40" spans="1:3" x14ac:dyDescent="0.35">
      <c r="A40" s="30" t="s">
        <v>15</v>
      </c>
      <c r="B40" s="31">
        <v>12.148264992011267</v>
      </c>
      <c r="C40" s="31">
        <v>6.5250536112740676</v>
      </c>
    </row>
    <row r="57" spans="1:5" x14ac:dyDescent="0.35">
      <c r="A57" s="35" t="s">
        <v>114</v>
      </c>
      <c r="B57" s="35"/>
      <c r="C57" s="35"/>
      <c r="D57" s="35"/>
      <c r="E57" s="35"/>
    </row>
    <row r="58" spans="1:5" s="53" customFormat="1" ht="13.5" x14ac:dyDescent="0.3">
      <c r="A58" s="51" t="s">
        <v>85</v>
      </c>
      <c r="B58" s="52"/>
      <c r="C58" s="52"/>
    </row>
    <row r="59" spans="1:5" s="53" customFormat="1" ht="13.5" x14ac:dyDescent="0.3">
      <c r="A59" s="51" t="s">
        <v>86</v>
      </c>
      <c r="B59" s="52"/>
      <c r="C59" s="52"/>
    </row>
    <row r="60" spans="1:5" s="53" customFormat="1" ht="13.5" x14ac:dyDescent="0.3">
      <c r="A60" s="51" t="s">
        <v>87</v>
      </c>
      <c r="B60" s="52"/>
      <c r="C60" s="52"/>
    </row>
    <row r="65" spans="1:4" x14ac:dyDescent="0.35">
      <c r="A65" s="35" t="s">
        <v>0</v>
      </c>
      <c r="B65" s="35" t="s">
        <v>77</v>
      </c>
      <c r="C65" s="35" t="s">
        <v>78</v>
      </c>
      <c r="D65" s="35" t="s">
        <v>79</v>
      </c>
    </row>
    <row r="66" spans="1:4" x14ac:dyDescent="0.35">
      <c r="A66" s="30" t="s">
        <v>14</v>
      </c>
      <c r="B66" s="31">
        <v>27.92</v>
      </c>
      <c r="C66" s="31">
        <v>5.6243782914561891</v>
      </c>
      <c r="D66" s="31">
        <v>147.78593869999997</v>
      </c>
    </row>
    <row r="67" spans="1:4" x14ac:dyDescent="0.35">
      <c r="A67" s="30" t="s">
        <v>12</v>
      </c>
      <c r="B67" s="31">
        <v>42.737000000000002</v>
      </c>
      <c r="C67" s="31">
        <v>6.2308715753485178</v>
      </c>
      <c r="D67" s="31">
        <v>276.99876515130001</v>
      </c>
    </row>
    <row r="68" spans="1:4" x14ac:dyDescent="0.35">
      <c r="A68" s="30" t="s">
        <v>11</v>
      </c>
      <c r="B68" s="31">
        <v>74.088999999999999</v>
      </c>
      <c r="C68" s="31">
        <v>5.1571465042104636</v>
      </c>
      <c r="D68" s="31">
        <v>470.47859905000001</v>
      </c>
    </row>
    <row r="69" spans="1:4" x14ac:dyDescent="0.35">
      <c r="A69" s="30" t="s">
        <v>13</v>
      </c>
      <c r="B69" s="31">
        <v>113.986</v>
      </c>
      <c r="C69" s="31">
        <v>4.8469992514890148</v>
      </c>
      <c r="D69" s="31">
        <v>611.69713610000008</v>
      </c>
    </row>
    <row r="70" spans="1:4" x14ac:dyDescent="0.35">
      <c r="A70" s="30" t="s">
        <v>15</v>
      </c>
      <c r="B70" s="31">
        <v>48.008000000000003</v>
      </c>
      <c r="C70" s="31">
        <v>6.5250536112740676</v>
      </c>
      <c r="D70" s="31">
        <v>228.75510874</v>
      </c>
    </row>
  </sheetData>
  <mergeCells count="7">
    <mergeCell ref="W1:Y1"/>
    <mergeCell ref="T1:U1"/>
    <mergeCell ref="A3:C3"/>
    <mergeCell ref="D1:D2"/>
    <mergeCell ref="F1:F2"/>
    <mergeCell ref="G1:G2"/>
    <mergeCell ref="I1:P1"/>
  </mergeCells>
  <conditionalFormatting sqref="I3:R9">
    <cfRule type="cellIs" dxfId="35" priority="1" operator="greaterThanOrEqual">
      <formula>0</formula>
    </cfRule>
    <cfRule type="cellIs" dxfId="34" priority="2" operator="lessThan">
      <formula>0</formula>
    </cfRule>
  </conditionalFormatting>
  <conditionalFormatting sqref="T4:U9">
    <cfRule type="cellIs" dxfId="33" priority="9" operator="greaterThanOrEqual">
      <formula>0</formula>
    </cfRule>
    <cfRule type="cellIs" dxfId="32" priority="10" operator="lessThan">
      <formula>0</formula>
    </cfRule>
  </conditionalFormatting>
  <conditionalFormatting sqref="W4:Y9">
    <cfRule type="cellIs" dxfId="31" priority="7" operator="greaterThanOrEqual">
      <formula>0</formula>
    </cfRule>
    <cfRule type="cellIs" dxfId="30" priority="8" operator="lessThan">
      <formula>0</formula>
    </cfRule>
  </conditionalFormatting>
  <hyperlinks>
    <hyperlink ref="C1" location="GCF_2024!A1" display="GCF_2024!A1" xr:uid="{12495890-CFDE-47F1-9D98-8F6E17B38F68}"/>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70"/>
  <sheetViews>
    <sheetView showGridLines="0" zoomScale="50" zoomScaleNormal="50" workbookViewId="0"/>
  </sheetViews>
  <sheetFormatPr defaultColWidth="8.81640625" defaultRowHeight="15.5" x14ac:dyDescent="0.35"/>
  <cols>
    <col min="1" max="1" width="42.453125" style="15" customWidth="1"/>
    <col min="2" max="2" width="14.81640625" style="15" bestFit="1" customWidth="1"/>
    <col min="3" max="3" width="67.1796875" style="15" customWidth="1"/>
    <col min="4" max="4" width="13.453125" style="15" customWidth="1"/>
    <col min="5" max="5" width="15.1796875" style="15" customWidth="1"/>
    <col min="6" max="6" width="13" style="15" customWidth="1"/>
    <col min="7" max="7" width="14.453125" style="15" customWidth="1"/>
    <col min="8" max="8" width="1.1796875" style="15" customWidth="1"/>
    <col min="9" max="10" width="18.453125" style="15" customWidth="1"/>
    <col min="11" max="13" width="17.453125" style="15" customWidth="1"/>
    <col min="14" max="15" width="18.453125" style="15" customWidth="1"/>
    <col min="16" max="18" width="17.453125" style="15" customWidth="1"/>
    <col min="19" max="19" width="1.1796875" style="15" customWidth="1"/>
    <col min="20" max="21" width="18.453125" style="15" customWidth="1"/>
    <col min="22" max="22" width="1.1796875" style="15" customWidth="1"/>
    <col min="23" max="24" width="8.81640625" style="15"/>
    <col min="25" max="25" width="12.453125" style="15" customWidth="1"/>
    <col min="26" max="16384" width="8.81640625" style="15"/>
  </cols>
  <sheetData>
    <row r="1" spans="1:27" ht="22.4" customHeight="1" x14ac:dyDescent="0.35">
      <c r="A1" s="92">
        <v>45747</v>
      </c>
      <c r="B1" s="24"/>
      <c r="C1" s="86" t="s">
        <v>76</v>
      </c>
      <c r="D1" s="98" t="s">
        <v>90</v>
      </c>
      <c r="E1" s="29" t="s">
        <v>75</v>
      </c>
      <c r="F1" s="98" t="s">
        <v>100</v>
      </c>
      <c r="G1" s="98" t="s">
        <v>71</v>
      </c>
      <c r="H1" s="26"/>
      <c r="I1" s="96" t="s">
        <v>72</v>
      </c>
      <c r="J1" s="102"/>
      <c r="K1" s="102">
        <v>0</v>
      </c>
      <c r="L1" s="102"/>
      <c r="M1" s="102"/>
      <c r="N1" s="102">
        <v>0</v>
      </c>
      <c r="O1" s="102"/>
      <c r="P1" s="102">
        <v>0</v>
      </c>
      <c r="Q1" s="83"/>
      <c r="R1" s="91"/>
      <c r="S1" s="27"/>
      <c r="T1" s="100" t="s">
        <v>97</v>
      </c>
      <c r="U1" s="101">
        <v>0</v>
      </c>
      <c r="V1" s="27"/>
      <c r="W1" s="96" t="s">
        <v>188</v>
      </c>
      <c r="X1" s="102">
        <v>0</v>
      </c>
      <c r="Y1" s="102">
        <v>0</v>
      </c>
    </row>
    <row r="2" spans="1:27" ht="94.5" x14ac:dyDescent="0.35">
      <c r="A2" s="23" t="s">
        <v>42</v>
      </c>
      <c r="B2" s="23" t="s">
        <v>43</v>
      </c>
      <c r="C2" s="23" t="s">
        <v>44</v>
      </c>
      <c r="D2" s="99">
        <v>0</v>
      </c>
      <c r="E2" s="23" t="s">
        <v>99</v>
      </c>
      <c r="F2" s="99">
        <v>0</v>
      </c>
      <c r="G2" s="99">
        <v>0</v>
      </c>
      <c r="H2" s="26"/>
      <c r="I2" s="94" t="s">
        <v>92</v>
      </c>
      <c r="J2" s="23" t="s">
        <v>183</v>
      </c>
      <c r="K2" s="23" t="s">
        <v>157</v>
      </c>
      <c r="L2" s="23" t="s">
        <v>177</v>
      </c>
      <c r="M2" s="23" t="s">
        <v>185</v>
      </c>
      <c r="N2" s="23" t="s">
        <v>94</v>
      </c>
      <c r="O2" s="23" t="s">
        <v>184</v>
      </c>
      <c r="P2" s="23" t="s">
        <v>158</v>
      </c>
      <c r="Q2" s="23" t="s">
        <v>178</v>
      </c>
      <c r="R2" s="23" t="s">
        <v>186</v>
      </c>
      <c r="S2" s="28"/>
      <c r="T2" s="23" t="s">
        <v>111</v>
      </c>
      <c r="U2" s="23" t="s">
        <v>112</v>
      </c>
      <c r="V2" s="28"/>
      <c r="W2" s="23" t="s">
        <v>149</v>
      </c>
      <c r="X2" s="23" t="s">
        <v>150</v>
      </c>
      <c r="Y2" s="23" t="s">
        <v>151</v>
      </c>
    </row>
    <row r="3" spans="1:27" ht="29.15" customHeight="1" x14ac:dyDescent="0.35">
      <c r="A3" s="95" t="s">
        <v>54</v>
      </c>
      <c r="B3" s="95"/>
      <c r="C3" s="95"/>
      <c r="D3" s="42"/>
      <c r="E3" s="42"/>
      <c r="F3" s="43"/>
      <c r="G3" s="66" t="s">
        <v>98</v>
      </c>
      <c r="H3" s="43"/>
      <c r="I3" s="63">
        <v>-5.7837704266684522</v>
      </c>
      <c r="J3" s="63">
        <v>3.9744680394424816</v>
      </c>
      <c r="K3" s="63">
        <v>5.3962744844183481</v>
      </c>
      <c r="L3" s="63">
        <v>12.435409815566501</v>
      </c>
      <c r="M3" s="63">
        <v>10.172809304580587</v>
      </c>
      <c r="N3" s="63">
        <v>-5.2261064216627551</v>
      </c>
      <c r="O3" s="63">
        <v>6.7531233098603929</v>
      </c>
      <c r="P3" s="63">
        <v>7.464448740949039</v>
      </c>
      <c r="Q3" s="63">
        <v>14.378688987093961</v>
      </c>
      <c r="R3" s="63">
        <v>11.791166732614112</v>
      </c>
      <c r="S3" s="43"/>
      <c r="T3" s="43"/>
      <c r="U3" s="43"/>
      <c r="V3" s="43"/>
      <c r="W3" s="43"/>
      <c r="X3" s="43"/>
      <c r="Y3" s="43"/>
    </row>
    <row r="4" spans="1:27" customFormat="1" ht="14.5" x14ac:dyDescent="0.35">
      <c r="A4" s="30" t="s">
        <v>36</v>
      </c>
      <c r="B4" s="30" t="s">
        <v>19</v>
      </c>
      <c r="C4" s="30" t="s">
        <v>55</v>
      </c>
      <c r="D4" s="62" t="s">
        <v>175</v>
      </c>
      <c r="E4" s="32">
        <v>90</v>
      </c>
      <c r="F4" s="31">
        <v>156.90527308</v>
      </c>
      <c r="G4" s="33">
        <v>19981</v>
      </c>
      <c r="H4" s="21"/>
      <c r="I4" s="34">
        <v>-6.0930183056619907</v>
      </c>
      <c r="J4" s="34">
        <v>5.2107553806713058</v>
      </c>
      <c r="K4" s="34">
        <v>5.7124513005695876</v>
      </c>
      <c r="L4" s="34">
        <v>11.767424163602058</v>
      </c>
      <c r="M4" s="34">
        <v>9.5101491375494831</v>
      </c>
      <c r="N4" s="34">
        <v>-4.6316245271199925</v>
      </c>
      <c r="O4" s="34">
        <v>7.0280186057838812</v>
      </c>
      <c r="P4" s="34">
        <v>7.0212531801652878</v>
      </c>
      <c r="Q4" s="34">
        <v>13.271244180296971</v>
      </c>
      <c r="R4" s="34">
        <v>10.798003303611448</v>
      </c>
      <c r="S4" s="22"/>
      <c r="T4" s="34">
        <v>11.172857592312488</v>
      </c>
      <c r="U4" s="34">
        <v>12.258378155523939</v>
      </c>
      <c r="V4" s="22"/>
      <c r="W4" s="34">
        <v>0.49</v>
      </c>
      <c r="X4" s="34">
        <v>0.72</v>
      </c>
      <c r="Y4" s="34" t="s">
        <v>91</v>
      </c>
      <c r="Z4" s="56"/>
      <c r="AA4" s="56"/>
    </row>
    <row r="5" spans="1:27" customFormat="1" ht="14.5" x14ac:dyDescent="0.35">
      <c r="A5" s="30" t="s">
        <v>160</v>
      </c>
      <c r="B5" s="30" t="s">
        <v>17</v>
      </c>
      <c r="C5" s="30" t="s">
        <v>127</v>
      </c>
      <c r="D5" s="62" t="s">
        <v>175</v>
      </c>
      <c r="E5" s="32">
        <v>97</v>
      </c>
      <c r="F5" s="31">
        <v>272.73577302899997</v>
      </c>
      <c r="G5" s="33">
        <v>26657</v>
      </c>
      <c r="H5" s="21"/>
      <c r="I5" s="34">
        <v>-4.1781141464931837</v>
      </c>
      <c r="J5" s="34">
        <v>5.2017528882818187</v>
      </c>
      <c r="K5" s="34">
        <v>6.2042251037905283</v>
      </c>
      <c r="L5" s="34">
        <v>12.824929002735352</v>
      </c>
      <c r="M5" s="34">
        <v>10.325799150334314</v>
      </c>
      <c r="N5" s="34">
        <v>-5.6012027332392522</v>
      </c>
      <c r="O5" s="34">
        <v>5.2569770729132603</v>
      </c>
      <c r="P5" s="34">
        <v>6.6654106516846667</v>
      </c>
      <c r="Q5" s="34">
        <v>14.380644093269002</v>
      </c>
      <c r="R5" s="34">
        <v>11.349700094319548</v>
      </c>
      <c r="S5" s="22"/>
      <c r="T5" s="34">
        <v>10.385066381117039</v>
      </c>
      <c r="U5" s="34">
        <v>13.43834681058326</v>
      </c>
      <c r="V5" s="22"/>
      <c r="W5" s="34">
        <v>0.5</v>
      </c>
      <c r="X5" s="34">
        <v>1.28</v>
      </c>
      <c r="Y5" s="34">
        <v>1.28</v>
      </c>
      <c r="Z5" s="56"/>
      <c r="AA5" s="56"/>
    </row>
    <row r="6" spans="1:27" customFormat="1" ht="14.5" x14ac:dyDescent="0.35">
      <c r="A6" s="30" t="s">
        <v>88</v>
      </c>
      <c r="B6" s="30" t="s">
        <v>16</v>
      </c>
      <c r="C6" s="30" t="s">
        <v>56</v>
      </c>
      <c r="D6" s="62" t="s">
        <v>175</v>
      </c>
      <c r="E6" s="32">
        <v>98</v>
      </c>
      <c r="F6" s="31">
        <v>571.8012506</v>
      </c>
      <c r="G6" s="33">
        <v>62372</v>
      </c>
      <c r="H6" s="21"/>
      <c r="I6" s="34">
        <v>-6.0341803237608405</v>
      </c>
      <c r="J6" s="34">
        <v>5.2604985403099214</v>
      </c>
      <c r="K6" s="34">
        <v>5.0976238812174168</v>
      </c>
      <c r="L6" s="34">
        <v>12.489974960724703</v>
      </c>
      <c r="M6" s="34">
        <v>10.576322630308832</v>
      </c>
      <c r="N6" s="34">
        <v>-5.3593458626850605</v>
      </c>
      <c r="O6" s="34">
        <v>7.5370719816804321</v>
      </c>
      <c r="P6" s="34">
        <v>8.3172853116893606</v>
      </c>
      <c r="Q6" s="34">
        <v>15.480714833654719</v>
      </c>
      <c r="R6" s="34">
        <v>13.078501424627053</v>
      </c>
      <c r="S6" s="22"/>
      <c r="T6" s="34">
        <v>12.10492473757521</v>
      </c>
      <c r="U6" s="34">
        <v>13.888493563278312</v>
      </c>
      <c r="V6" s="22"/>
      <c r="W6" s="34">
        <v>0.5</v>
      </c>
      <c r="X6" s="34" t="s">
        <v>91</v>
      </c>
      <c r="Y6" s="34">
        <v>0.82</v>
      </c>
      <c r="Z6" s="56"/>
      <c r="AA6" s="56"/>
    </row>
    <row r="7" spans="1:27" customFormat="1" ht="14.5" x14ac:dyDescent="0.35">
      <c r="A7" s="30" t="s">
        <v>89</v>
      </c>
      <c r="B7" s="30" t="s">
        <v>18</v>
      </c>
      <c r="C7" s="30" t="s">
        <v>105</v>
      </c>
      <c r="D7" s="62" t="s">
        <v>175</v>
      </c>
      <c r="E7" s="32">
        <v>97</v>
      </c>
      <c r="F7" s="31">
        <v>714.61901369000009</v>
      </c>
      <c r="G7" s="33">
        <v>97501</v>
      </c>
      <c r="H7" s="21"/>
      <c r="I7" s="34">
        <v>-5.936626772815945</v>
      </c>
      <c r="J7" s="34">
        <v>1.7392791970803012</v>
      </c>
      <c r="K7" s="34">
        <v>4.8905995626393528</v>
      </c>
      <c r="L7" s="34">
        <v>12.351703605561749</v>
      </c>
      <c r="M7" s="34">
        <v>10.310466119026573</v>
      </c>
      <c r="N7" s="34">
        <v>-5.2711946330464388</v>
      </c>
      <c r="O7" s="34">
        <v>7.1140092288797696</v>
      </c>
      <c r="P7" s="34">
        <v>7.5608144383815468</v>
      </c>
      <c r="Q7" s="34">
        <v>14.092727675346284</v>
      </c>
      <c r="R7" s="34">
        <v>11.620095651055596</v>
      </c>
      <c r="S7" s="22"/>
      <c r="T7" s="34">
        <v>12.408345407217633</v>
      </c>
      <c r="U7" s="34">
        <v>13.576765114175316</v>
      </c>
      <c r="V7" s="22"/>
      <c r="W7" s="34">
        <v>0.41000000000000003</v>
      </c>
      <c r="X7" s="34" t="s">
        <v>91</v>
      </c>
      <c r="Y7" s="34">
        <v>0.69630000000000003</v>
      </c>
      <c r="Z7" s="56"/>
      <c r="AA7" s="56"/>
    </row>
    <row r="8" spans="1:27" customFormat="1" ht="14.5" x14ac:dyDescent="0.35">
      <c r="A8" s="30" t="s">
        <v>116</v>
      </c>
      <c r="B8" s="30" t="s">
        <v>20</v>
      </c>
      <c r="C8" s="30" t="s">
        <v>120</v>
      </c>
      <c r="D8" s="62" t="s">
        <v>175</v>
      </c>
      <c r="E8" s="32">
        <v>90</v>
      </c>
      <c r="F8" s="31">
        <v>274.38213082999999</v>
      </c>
      <c r="G8" s="33">
        <v>40042</v>
      </c>
      <c r="H8" s="21"/>
      <c r="I8" s="34">
        <v>-6.2871077184054265</v>
      </c>
      <c r="J8" s="34">
        <v>4.9513179767276316</v>
      </c>
      <c r="K8" s="34">
        <v>6.3517552769745356</v>
      </c>
      <c r="L8" s="34">
        <v>12.534513519671853</v>
      </c>
      <c r="M8" s="34">
        <v>9.5408960977819479</v>
      </c>
      <c r="N8" s="34">
        <v>-4.7315420963134684</v>
      </c>
      <c r="O8" s="34">
        <v>5.5960224396018443</v>
      </c>
      <c r="P8" s="34">
        <v>6.4838754612756455</v>
      </c>
      <c r="Q8" s="34">
        <v>13.45823668394701</v>
      </c>
      <c r="R8" s="34">
        <v>11.044115261901677</v>
      </c>
      <c r="S8" s="22"/>
      <c r="T8" s="34">
        <v>12.1863394284783</v>
      </c>
      <c r="U8" s="34">
        <v>13.208749704590673</v>
      </c>
      <c r="V8" s="22"/>
      <c r="W8" s="34">
        <v>0.5</v>
      </c>
      <c r="X8" s="34">
        <v>0.98</v>
      </c>
      <c r="Y8" s="34" t="s">
        <v>91</v>
      </c>
      <c r="Z8" s="56"/>
      <c r="AA8" s="56"/>
    </row>
    <row r="9" spans="1:27" customFormat="1" ht="14.5" x14ac:dyDescent="0.35">
      <c r="A9" s="30" t="s">
        <v>131</v>
      </c>
      <c r="B9" s="30" t="s">
        <v>135</v>
      </c>
      <c r="C9" s="30" t="s">
        <v>143</v>
      </c>
      <c r="D9" s="62" t="s">
        <v>176</v>
      </c>
      <c r="E9" s="32">
        <v>100</v>
      </c>
      <c r="F9" s="31">
        <v>38.998584892300002</v>
      </c>
      <c r="G9" s="33">
        <v>3541</v>
      </c>
      <c r="H9" s="21"/>
      <c r="I9" s="34">
        <v>-5.7548407004551443</v>
      </c>
      <c r="J9" s="34">
        <v>5.6468350051884997</v>
      </c>
      <c r="K9" s="34" t="s">
        <v>161</v>
      </c>
      <c r="L9" s="34" t="s">
        <v>161</v>
      </c>
      <c r="M9" s="34">
        <v>7.7761367404517667</v>
      </c>
      <c r="N9" s="34">
        <v>-5.6945183608302248</v>
      </c>
      <c r="O9" s="34">
        <v>6.1441040561355242</v>
      </c>
      <c r="P9" s="34" t="s">
        <v>161</v>
      </c>
      <c r="Q9" s="34" t="s">
        <v>161</v>
      </c>
      <c r="R9" s="34">
        <v>8.390144840421021</v>
      </c>
      <c r="S9" s="22"/>
      <c r="T9" s="34" t="s">
        <v>161</v>
      </c>
      <c r="U9" s="34" t="s">
        <v>161</v>
      </c>
      <c r="V9" s="22"/>
      <c r="W9" s="34">
        <v>0.44690000000000002</v>
      </c>
      <c r="X9" s="34">
        <v>0.57820000000000005</v>
      </c>
      <c r="Y9" s="34" t="s">
        <v>91</v>
      </c>
      <c r="Z9" s="56"/>
      <c r="AA9" s="56"/>
    </row>
    <row r="10" spans="1:27" x14ac:dyDescent="0.35">
      <c r="A10" s="16"/>
      <c r="B10" s="16"/>
      <c r="C10" s="16"/>
      <c r="D10" s="16"/>
      <c r="E10" s="16"/>
      <c r="F10" s="16"/>
      <c r="G10" s="16"/>
      <c r="H10" s="16"/>
      <c r="I10" s="16"/>
      <c r="J10" s="16"/>
      <c r="K10" s="16"/>
      <c r="L10" s="16"/>
      <c r="M10" s="16"/>
      <c r="N10" s="16"/>
      <c r="O10" s="16"/>
      <c r="P10" s="16"/>
      <c r="Q10" s="16"/>
      <c r="R10" s="16"/>
      <c r="S10" s="16"/>
      <c r="T10" s="16"/>
      <c r="U10" s="16"/>
      <c r="V10" s="16"/>
    </row>
    <row r="11" spans="1:27" s="53" customFormat="1" ht="13.5" x14ac:dyDescent="0.3">
      <c r="A11" s="51" t="s">
        <v>179</v>
      </c>
      <c r="B11" s="47"/>
      <c r="C11" s="47"/>
      <c r="D11" s="52"/>
      <c r="E11" s="52"/>
      <c r="F11" s="52"/>
      <c r="G11" s="52"/>
      <c r="H11" s="52"/>
      <c r="I11" s="52"/>
      <c r="J11" s="52"/>
      <c r="K11" s="52"/>
      <c r="L11" s="52"/>
      <c r="M11" s="52"/>
      <c r="N11" s="52"/>
      <c r="O11" s="52"/>
      <c r="P11" s="52"/>
      <c r="Q11" s="52"/>
      <c r="R11" s="52"/>
    </row>
    <row r="12" spans="1:27" s="53" customFormat="1" ht="13.5" x14ac:dyDescent="0.3">
      <c r="A12" s="47" t="s">
        <v>93</v>
      </c>
      <c r="B12" s="51"/>
      <c r="C12" s="51"/>
    </row>
    <row r="13" spans="1:27" s="53" customFormat="1" ht="13.5" x14ac:dyDescent="0.3">
      <c r="A13" s="51" t="s">
        <v>95</v>
      </c>
      <c r="B13" s="51"/>
      <c r="C13" s="51"/>
    </row>
    <row r="14" spans="1:27" s="53" customFormat="1" ht="13.5" x14ac:dyDescent="0.3">
      <c r="A14" s="51" t="s">
        <v>96</v>
      </c>
      <c r="B14" s="51"/>
      <c r="C14" s="51"/>
    </row>
    <row r="15" spans="1:27" s="53" customFormat="1" ht="13.5" x14ac:dyDescent="0.3">
      <c r="A15" s="51" t="s">
        <v>180</v>
      </c>
      <c r="B15" s="52"/>
      <c r="C15" s="52"/>
    </row>
    <row r="16" spans="1:27" s="53" customFormat="1" ht="13.5" x14ac:dyDescent="0.3">
      <c r="A16" s="54" t="s">
        <v>115</v>
      </c>
      <c r="B16" s="52"/>
      <c r="C16" s="52"/>
    </row>
    <row r="17" spans="1:4" s="53" customFormat="1" ht="13.5" x14ac:dyDescent="0.3">
      <c r="A17" s="54" t="s">
        <v>101</v>
      </c>
    </row>
    <row r="18" spans="1:4" s="53" customFormat="1" ht="13.5" x14ac:dyDescent="0.3">
      <c r="A18" s="54" t="s">
        <v>181</v>
      </c>
    </row>
    <row r="19" spans="1:4" s="53" customFormat="1" ht="13.5" x14ac:dyDescent="0.3">
      <c r="A19" s="54" t="s">
        <v>152</v>
      </c>
    </row>
    <row r="20" spans="1:4" s="53" customFormat="1" ht="13.5" x14ac:dyDescent="0.3">
      <c r="A20" s="54" t="s">
        <v>153</v>
      </c>
    </row>
    <row r="21" spans="1:4" s="53" customFormat="1" ht="13.5" x14ac:dyDescent="0.3">
      <c r="A21" s="54" t="s">
        <v>156</v>
      </c>
    </row>
    <row r="22" spans="1:4" s="53" customFormat="1" ht="13.5" x14ac:dyDescent="0.3">
      <c r="A22" s="54" t="s">
        <v>155</v>
      </c>
    </row>
    <row r="23" spans="1:4" s="53" customFormat="1" ht="13.5" x14ac:dyDescent="0.3">
      <c r="A23" s="84" t="s">
        <v>187</v>
      </c>
    </row>
    <row r="24" spans="1:4" x14ac:dyDescent="0.35">
      <c r="A24" s="54"/>
    </row>
    <row r="25" spans="1:4" x14ac:dyDescent="0.35">
      <c r="A25" s="35" t="s">
        <v>113</v>
      </c>
      <c r="B25" s="35"/>
      <c r="C25" s="35"/>
      <c r="D25" s="35"/>
    </row>
    <row r="26" spans="1:4" s="53" customFormat="1" ht="13.5" x14ac:dyDescent="0.3">
      <c r="A26" s="51" t="s">
        <v>83</v>
      </c>
      <c r="B26" s="52"/>
      <c r="C26" s="52"/>
    </row>
    <row r="27" spans="1:4" s="53" customFormat="1" ht="13.5" x14ac:dyDescent="0.3">
      <c r="A27" s="51" t="s">
        <v>84</v>
      </c>
      <c r="B27" s="52"/>
      <c r="C27" s="52"/>
    </row>
    <row r="28" spans="1:4" x14ac:dyDescent="0.35">
      <c r="A28" s="17"/>
      <c r="B28" s="17"/>
      <c r="C28" s="17"/>
    </row>
    <row r="35" spans="1:3" x14ac:dyDescent="0.35">
      <c r="A35" s="35" t="s">
        <v>0</v>
      </c>
      <c r="B35" s="35" t="s">
        <v>73</v>
      </c>
      <c r="C35" s="35" t="s">
        <v>72</v>
      </c>
    </row>
    <row r="36" spans="1:3" x14ac:dyDescent="0.35">
      <c r="A36" s="30" t="s">
        <v>19</v>
      </c>
      <c r="B36" s="31">
        <v>11.172857592312488</v>
      </c>
      <c r="C36" s="31">
        <v>5.7124513005695876</v>
      </c>
    </row>
    <row r="37" spans="1:3" x14ac:dyDescent="0.35">
      <c r="A37" s="30" t="s">
        <v>17</v>
      </c>
      <c r="B37" s="31">
        <v>10.385066381117039</v>
      </c>
      <c r="C37" s="31">
        <v>6.2042251037905283</v>
      </c>
    </row>
    <row r="38" spans="1:3" x14ac:dyDescent="0.35">
      <c r="A38" s="30" t="s">
        <v>16</v>
      </c>
      <c r="B38" s="31">
        <v>12.10492473757521</v>
      </c>
      <c r="C38" s="31">
        <v>5.0976238812174168</v>
      </c>
    </row>
    <row r="39" spans="1:3" x14ac:dyDescent="0.35">
      <c r="A39" s="30" t="s">
        <v>18</v>
      </c>
      <c r="B39" s="31">
        <v>12.408345407217633</v>
      </c>
      <c r="C39" s="31">
        <v>4.8905995626393528</v>
      </c>
    </row>
    <row r="40" spans="1:3" x14ac:dyDescent="0.35">
      <c r="A40" s="30" t="s">
        <v>20</v>
      </c>
      <c r="B40" s="31">
        <v>12.1863394284783</v>
      </c>
      <c r="C40" s="31">
        <v>6.3517552769745356</v>
      </c>
    </row>
    <row r="57" spans="1:5" x14ac:dyDescent="0.35">
      <c r="A57" s="35" t="s">
        <v>114</v>
      </c>
      <c r="B57" s="35"/>
      <c r="C57" s="35"/>
      <c r="D57" s="35"/>
      <c r="E57" s="35"/>
    </row>
    <row r="58" spans="1:5" s="53" customFormat="1" ht="13.5" x14ac:dyDescent="0.3">
      <c r="A58" s="51" t="s">
        <v>85</v>
      </c>
      <c r="B58" s="52"/>
      <c r="C58" s="52"/>
    </row>
    <row r="59" spans="1:5" s="53" customFormat="1" ht="13.5" x14ac:dyDescent="0.3">
      <c r="A59" s="51" t="s">
        <v>86</v>
      </c>
      <c r="B59" s="52"/>
      <c r="C59" s="52"/>
    </row>
    <row r="60" spans="1:5" s="53" customFormat="1" ht="13.5" x14ac:dyDescent="0.3">
      <c r="A60" s="51" t="s">
        <v>87</v>
      </c>
      <c r="B60" s="52"/>
      <c r="C60" s="52"/>
    </row>
    <row r="65" spans="1:4" x14ac:dyDescent="0.35">
      <c r="A65" s="35" t="s">
        <v>0</v>
      </c>
      <c r="B65" s="35" t="s">
        <v>77</v>
      </c>
      <c r="C65" s="35" t="s">
        <v>78</v>
      </c>
      <c r="D65" s="35" t="s">
        <v>79</v>
      </c>
    </row>
    <row r="66" spans="1:4" x14ac:dyDescent="0.35">
      <c r="A66" s="30" t="s">
        <v>17</v>
      </c>
      <c r="B66" s="31">
        <v>26.657</v>
      </c>
      <c r="C66" s="31">
        <v>6.2042251037905283</v>
      </c>
      <c r="D66" s="31">
        <v>272.73577302899997</v>
      </c>
    </row>
    <row r="67" spans="1:4" x14ac:dyDescent="0.35">
      <c r="A67" s="30" t="s">
        <v>19</v>
      </c>
      <c r="B67" s="31">
        <v>19.981000000000002</v>
      </c>
      <c r="C67" s="31">
        <v>5.7124513005695876</v>
      </c>
      <c r="D67" s="31">
        <v>156.90527308</v>
      </c>
    </row>
    <row r="68" spans="1:4" x14ac:dyDescent="0.35">
      <c r="A68" s="30" t="s">
        <v>16</v>
      </c>
      <c r="B68" s="31">
        <v>62.372</v>
      </c>
      <c r="C68" s="31">
        <v>5.0976238812174168</v>
      </c>
      <c r="D68" s="31">
        <v>571.8012506</v>
      </c>
    </row>
    <row r="69" spans="1:4" x14ac:dyDescent="0.35">
      <c r="A69" s="30" t="s">
        <v>18</v>
      </c>
      <c r="B69" s="31">
        <v>97.501000000000005</v>
      </c>
      <c r="C69" s="31">
        <v>4.8905995626393528</v>
      </c>
      <c r="D69" s="31">
        <v>714.61901369000009</v>
      </c>
    </row>
    <row r="70" spans="1:4" x14ac:dyDescent="0.35">
      <c r="A70" s="30" t="s">
        <v>20</v>
      </c>
      <c r="B70" s="31">
        <v>40.042000000000002</v>
      </c>
      <c r="C70" s="31">
        <v>6.3517552769745356</v>
      </c>
      <c r="D70" s="31">
        <v>274.38213082999999</v>
      </c>
    </row>
  </sheetData>
  <mergeCells count="7">
    <mergeCell ref="W1:Y1"/>
    <mergeCell ref="T1:U1"/>
    <mergeCell ref="A3:C3"/>
    <mergeCell ref="D1:D2"/>
    <mergeCell ref="F1:F2"/>
    <mergeCell ref="G1:G2"/>
    <mergeCell ref="I1:P1"/>
  </mergeCells>
  <conditionalFormatting sqref="I3:R9">
    <cfRule type="cellIs" dxfId="29" priority="5" operator="greaterThanOrEqual">
      <formula>0</formula>
    </cfRule>
    <cfRule type="cellIs" dxfId="28" priority="6" operator="lessThan">
      <formula>0</formula>
    </cfRule>
  </conditionalFormatting>
  <conditionalFormatting sqref="T4:U9">
    <cfRule type="cellIs" dxfId="27" priority="3" operator="greaterThanOrEqual">
      <formula>0</formula>
    </cfRule>
    <cfRule type="cellIs" dxfId="26" priority="4" operator="lessThan">
      <formula>0</formula>
    </cfRule>
  </conditionalFormatting>
  <conditionalFormatting sqref="W4:Y9">
    <cfRule type="cellIs" dxfId="25" priority="1" operator="greaterThanOrEqual">
      <formula>0</formula>
    </cfRule>
    <cfRule type="cellIs" dxfId="24" priority="2" operator="lessThan">
      <formula>0</formula>
    </cfRule>
  </conditionalFormatting>
  <hyperlinks>
    <hyperlink ref="C1" location="GCF_2024!A1" display="GCF_2024!A1" xr:uid="{9B3DC234-0DB6-4A82-8224-1D629DF819E1}"/>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70"/>
  <sheetViews>
    <sheetView showGridLines="0" zoomScale="50" zoomScaleNormal="50" workbookViewId="0"/>
  </sheetViews>
  <sheetFormatPr defaultColWidth="8.81640625" defaultRowHeight="15.5" x14ac:dyDescent="0.35"/>
  <cols>
    <col min="1" max="1" width="44.81640625" style="15" customWidth="1"/>
    <col min="2" max="2" width="14.81640625" style="15" bestFit="1" customWidth="1"/>
    <col min="3" max="3" width="68.453125" style="15" customWidth="1"/>
    <col min="4" max="4" width="13.453125" style="15" customWidth="1"/>
    <col min="5" max="5" width="17.54296875" style="15" customWidth="1"/>
    <col min="6" max="6" width="17" style="15" customWidth="1"/>
    <col min="7" max="7" width="13.453125" style="15" customWidth="1"/>
    <col min="8" max="8" width="1.81640625" style="15" customWidth="1"/>
    <col min="9" max="10" width="16.54296875" style="15" customWidth="1"/>
    <col min="11" max="13" width="17" style="15" customWidth="1"/>
    <col min="14" max="15" width="18.54296875" style="15" customWidth="1"/>
    <col min="16" max="16" width="17.54296875" style="15" customWidth="1"/>
    <col min="17" max="18" width="18.1796875" style="15" customWidth="1"/>
    <col min="19" max="19" width="1.81640625" style="15" customWidth="1"/>
    <col min="20" max="20" width="17.81640625" style="15" customWidth="1"/>
    <col min="21" max="21" width="17.54296875" style="15" customWidth="1"/>
    <col min="22" max="22" width="1.81640625" style="15" customWidth="1"/>
    <col min="23" max="23" width="8.81640625" style="15"/>
    <col min="24" max="24" width="10.54296875" style="15" customWidth="1"/>
    <col min="25" max="25" width="12.54296875" style="15" customWidth="1"/>
    <col min="26" max="16384" width="8.81640625" style="15"/>
  </cols>
  <sheetData>
    <row r="1" spans="1:27" ht="22.4" customHeight="1" x14ac:dyDescent="0.35">
      <c r="A1" s="92">
        <v>45747</v>
      </c>
      <c r="B1" s="24"/>
      <c r="C1" s="86" t="s">
        <v>76</v>
      </c>
      <c r="D1" s="98" t="s">
        <v>90</v>
      </c>
      <c r="E1" s="29" t="s">
        <v>75</v>
      </c>
      <c r="F1" s="98" t="s">
        <v>100</v>
      </c>
      <c r="G1" s="98" t="s">
        <v>71</v>
      </c>
      <c r="H1" s="26"/>
      <c r="I1" s="96" t="s">
        <v>72</v>
      </c>
      <c r="J1" s="102"/>
      <c r="K1" s="102">
        <v>0</v>
      </c>
      <c r="L1" s="102"/>
      <c r="M1" s="102"/>
      <c r="N1" s="102">
        <v>0</v>
      </c>
      <c r="O1" s="102"/>
      <c r="P1" s="102">
        <v>0</v>
      </c>
      <c r="Q1" s="83"/>
      <c r="R1" s="91"/>
      <c r="S1" s="27"/>
      <c r="T1" s="100" t="s">
        <v>97</v>
      </c>
      <c r="U1" s="101">
        <v>0</v>
      </c>
      <c r="V1" s="27"/>
      <c r="W1" s="96" t="s">
        <v>188</v>
      </c>
      <c r="X1" s="102">
        <v>0</v>
      </c>
      <c r="Y1" s="102">
        <v>0</v>
      </c>
    </row>
    <row r="2" spans="1:27" ht="94.5" x14ac:dyDescent="0.35">
      <c r="A2" s="23" t="s">
        <v>42</v>
      </c>
      <c r="B2" s="23" t="s">
        <v>43</v>
      </c>
      <c r="C2" s="23" t="s">
        <v>44</v>
      </c>
      <c r="D2" s="99">
        <v>0</v>
      </c>
      <c r="E2" s="23" t="s">
        <v>99</v>
      </c>
      <c r="F2" s="99">
        <v>0</v>
      </c>
      <c r="G2" s="99">
        <v>0</v>
      </c>
      <c r="H2" s="26"/>
      <c r="I2" s="94" t="s">
        <v>92</v>
      </c>
      <c r="J2" s="23" t="s">
        <v>183</v>
      </c>
      <c r="K2" s="23" t="s">
        <v>157</v>
      </c>
      <c r="L2" s="23" t="s">
        <v>177</v>
      </c>
      <c r="M2" s="23" t="s">
        <v>185</v>
      </c>
      <c r="N2" s="23" t="s">
        <v>94</v>
      </c>
      <c r="O2" s="23" t="s">
        <v>184</v>
      </c>
      <c r="P2" s="23" t="s">
        <v>158</v>
      </c>
      <c r="Q2" s="23" t="s">
        <v>178</v>
      </c>
      <c r="R2" s="23" t="s">
        <v>186</v>
      </c>
      <c r="S2" s="28"/>
      <c r="T2" s="23" t="s">
        <v>111</v>
      </c>
      <c r="U2" s="23" t="s">
        <v>112</v>
      </c>
      <c r="V2" s="28"/>
      <c r="W2" s="23" t="s">
        <v>149</v>
      </c>
      <c r="X2" s="23" t="s">
        <v>150</v>
      </c>
      <c r="Y2" s="23" t="s">
        <v>151</v>
      </c>
    </row>
    <row r="3" spans="1:27" ht="29.15" customHeight="1" x14ac:dyDescent="0.35">
      <c r="A3" s="95" t="s">
        <v>57</v>
      </c>
      <c r="B3" s="95"/>
      <c r="C3" s="95"/>
      <c r="D3" s="42"/>
      <c r="E3" s="42"/>
      <c r="F3" s="43"/>
      <c r="G3" s="66" t="s">
        <v>98</v>
      </c>
      <c r="H3" s="43"/>
      <c r="I3" s="63">
        <v>-4.0406206253495824</v>
      </c>
      <c r="J3" s="63">
        <v>4.3341859145714743</v>
      </c>
      <c r="K3" s="63">
        <v>4.4982992895918219</v>
      </c>
      <c r="L3" s="63">
        <v>11.004110933171244</v>
      </c>
      <c r="M3" s="63">
        <v>9.0300918254742246</v>
      </c>
      <c r="N3" s="63">
        <v>-3.5648622236362719</v>
      </c>
      <c r="O3" s="63">
        <v>6.2484607208593079</v>
      </c>
      <c r="P3" s="63">
        <v>5.7906432697269388</v>
      </c>
      <c r="Q3" s="63">
        <v>12.124578879926895</v>
      </c>
      <c r="R3" s="63">
        <v>10.063178349296422</v>
      </c>
      <c r="S3" s="43"/>
      <c r="T3" s="43"/>
      <c r="U3" s="43"/>
      <c r="V3" s="43"/>
      <c r="W3" s="43"/>
      <c r="X3" s="43"/>
      <c r="Y3" s="43"/>
    </row>
    <row r="4" spans="1:27" customFormat="1" ht="14.5" x14ac:dyDescent="0.35">
      <c r="A4" s="30" t="s">
        <v>36</v>
      </c>
      <c r="B4" s="30" t="s">
        <v>24</v>
      </c>
      <c r="C4" s="30" t="s">
        <v>58</v>
      </c>
      <c r="D4" s="62" t="s">
        <v>175</v>
      </c>
      <c r="E4" s="32">
        <v>65</v>
      </c>
      <c r="F4" s="31">
        <v>147.27809862000001</v>
      </c>
      <c r="G4" s="33">
        <v>18343</v>
      </c>
      <c r="H4" s="21"/>
      <c r="I4" s="34">
        <v>-4.3011953971623278</v>
      </c>
      <c r="J4" s="34">
        <v>5.5186006405518739</v>
      </c>
      <c r="K4" s="34">
        <v>4.7160087827580188</v>
      </c>
      <c r="L4" s="34">
        <v>11.021866049304352</v>
      </c>
      <c r="M4" s="34">
        <v>8.9925957050027705</v>
      </c>
      <c r="N4" s="34">
        <v>-3.7027462717241888</v>
      </c>
      <c r="O4" s="34">
        <v>6.2916964753574112</v>
      </c>
      <c r="P4" s="34">
        <v>5.6566036438390421</v>
      </c>
      <c r="Q4" s="34">
        <v>12.060955275550068</v>
      </c>
      <c r="R4" s="34">
        <v>9.8502071551116011</v>
      </c>
      <c r="S4" s="22"/>
      <c r="T4" s="34">
        <v>9.8827062342238214</v>
      </c>
      <c r="U4" s="34">
        <v>11.02957291394771</v>
      </c>
      <c r="V4" s="22"/>
      <c r="W4" s="34">
        <v>0.49</v>
      </c>
      <c r="X4" s="34">
        <v>0.73</v>
      </c>
      <c r="Y4" s="34" t="s">
        <v>91</v>
      </c>
      <c r="Z4" s="56"/>
      <c r="AA4" s="56"/>
    </row>
    <row r="5" spans="1:27" customFormat="1" ht="14.5" x14ac:dyDescent="0.35">
      <c r="A5" s="30" t="s">
        <v>160</v>
      </c>
      <c r="B5" s="30" t="s">
        <v>22</v>
      </c>
      <c r="C5" s="30" t="s">
        <v>128</v>
      </c>
      <c r="D5" s="62" t="s">
        <v>175</v>
      </c>
      <c r="E5" s="32">
        <v>61.18</v>
      </c>
      <c r="F5" s="31">
        <v>222.60109032859998</v>
      </c>
      <c r="G5" s="33">
        <v>22526</v>
      </c>
      <c r="H5" s="21"/>
      <c r="I5" s="34">
        <v>-2.0167777522408614</v>
      </c>
      <c r="J5" s="34">
        <v>5.9060986212892796</v>
      </c>
      <c r="K5" s="34">
        <v>5.4384872950744345</v>
      </c>
      <c r="L5" s="34">
        <v>10.782198417034339</v>
      </c>
      <c r="M5" s="34">
        <v>8.9120511889174914</v>
      </c>
      <c r="N5" s="34">
        <v>-3.282526366411298</v>
      </c>
      <c r="O5" s="34">
        <v>5.5044618217784835</v>
      </c>
      <c r="P5" s="34">
        <v>5.3545926246500342</v>
      </c>
      <c r="Q5" s="34">
        <v>11.367841706472959</v>
      </c>
      <c r="R5" s="34">
        <v>9.2397130581429288</v>
      </c>
      <c r="S5" s="22"/>
      <c r="T5" s="34">
        <v>8.2086765447724623</v>
      </c>
      <c r="U5" s="34">
        <v>11.034908940439554</v>
      </c>
      <c r="V5" s="22"/>
      <c r="W5" s="34">
        <v>0.5</v>
      </c>
      <c r="X5" s="34">
        <v>1.1000000000000001</v>
      </c>
      <c r="Y5" s="34">
        <v>1.1000000000000001</v>
      </c>
      <c r="Z5" s="56"/>
      <c r="AA5" s="56"/>
    </row>
    <row r="6" spans="1:27" customFormat="1" ht="14.5" x14ac:dyDescent="0.35">
      <c r="A6" s="30" t="s">
        <v>88</v>
      </c>
      <c r="B6" s="30" t="s">
        <v>21</v>
      </c>
      <c r="C6" s="30" t="s">
        <v>59</v>
      </c>
      <c r="D6" s="62" t="s">
        <v>175</v>
      </c>
      <c r="E6" s="32">
        <v>63.3</v>
      </c>
      <c r="F6" s="31">
        <v>498.08216739</v>
      </c>
      <c r="G6" s="33">
        <v>53089</v>
      </c>
      <c r="H6" s="21"/>
      <c r="I6" s="34">
        <v>-4.0557808767153762</v>
      </c>
      <c r="J6" s="34">
        <v>5.2153780539816008</v>
      </c>
      <c r="K6" s="34">
        <v>4.2110341033381626</v>
      </c>
      <c r="L6" s="34">
        <v>10.937957719115477</v>
      </c>
      <c r="M6" s="34">
        <v>9.1315374278937433</v>
      </c>
      <c r="N6" s="34">
        <v>-3.4005736176505152</v>
      </c>
      <c r="O6" s="34">
        <v>7.0599855361610064</v>
      </c>
      <c r="P6" s="34">
        <v>6.5343327816530072</v>
      </c>
      <c r="Q6" s="34">
        <v>12.945396366926376</v>
      </c>
      <c r="R6" s="34">
        <v>10.833127938989783</v>
      </c>
      <c r="S6" s="22"/>
      <c r="T6" s="34">
        <v>10.007530523379526</v>
      </c>
      <c r="U6" s="34">
        <v>11.604441891055604</v>
      </c>
      <c r="V6" s="22"/>
      <c r="W6" s="34">
        <v>0.5</v>
      </c>
      <c r="X6" s="34" t="s">
        <v>91</v>
      </c>
      <c r="Y6" s="34">
        <v>0.77</v>
      </c>
      <c r="Z6" s="56"/>
      <c r="AA6" s="56"/>
    </row>
    <row r="7" spans="1:27" customFormat="1" ht="14.5" x14ac:dyDescent="0.35">
      <c r="A7" s="30" t="s">
        <v>89</v>
      </c>
      <c r="B7" s="30" t="s">
        <v>23</v>
      </c>
      <c r="C7" s="30" t="s">
        <v>106</v>
      </c>
      <c r="D7" s="62" t="s">
        <v>175</v>
      </c>
      <c r="E7" s="32">
        <v>65</v>
      </c>
      <c r="F7" s="31">
        <v>710.37172037999994</v>
      </c>
      <c r="G7" s="33">
        <v>94456</v>
      </c>
      <c r="H7" s="21"/>
      <c r="I7" s="34">
        <v>-4.4111061352440695</v>
      </c>
      <c r="J7" s="34">
        <v>2.5093048385160355</v>
      </c>
      <c r="K7" s="34">
        <v>4.1087034809592415</v>
      </c>
      <c r="L7" s="34">
        <v>11.295403726221952</v>
      </c>
      <c r="M7" s="34">
        <v>9.4819953325306017</v>
      </c>
      <c r="N7" s="34">
        <v>-3.7926905120873933</v>
      </c>
      <c r="O7" s="34">
        <v>6.1326356863479203</v>
      </c>
      <c r="P7" s="34">
        <v>5.5746438097659112</v>
      </c>
      <c r="Q7" s="34">
        <v>12.160711841673489</v>
      </c>
      <c r="R7" s="34">
        <v>10.105896039066398</v>
      </c>
      <c r="S7" s="22"/>
      <c r="T7" s="34">
        <v>10.304636700168448</v>
      </c>
      <c r="U7" s="34">
        <v>11.726855062933437</v>
      </c>
      <c r="V7" s="22"/>
      <c r="W7" s="34">
        <v>0.41000000000000003</v>
      </c>
      <c r="X7" s="34" t="s">
        <v>91</v>
      </c>
      <c r="Y7" s="34">
        <v>0.64700000000000002</v>
      </c>
      <c r="Z7" s="56"/>
      <c r="AA7" s="56"/>
    </row>
    <row r="8" spans="1:27" customFormat="1" ht="14.5" x14ac:dyDescent="0.35">
      <c r="A8" s="30" t="s">
        <v>116</v>
      </c>
      <c r="B8" s="30" t="s">
        <v>25</v>
      </c>
      <c r="C8" s="30" t="s">
        <v>121</v>
      </c>
      <c r="D8" s="62" t="s">
        <v>175</v>
      </c>
      <c r="E8" s="32">
        <v>65</v>
      </c>
      <c r="F8" s="31">
        <v>278.25251695999998</v>
      </c>
      <c r="G8" s="33">
        <v>38722</v>
      </c>
      <c r="H8" s="21"/>
      <c r="I8" s="34">
        <v>-4.3916913946587588</v>
      </c>
      <c r="J8" s="34">
        <v>5.411241248445986</v>
      </c>
      <c r="K8" s="34">
        <v>5.1397626554106957</v>
      </c>
      <c r="L8" s="34">
        <v>10.546995937835835</v>
      </c>
      <c r="M8" s="34">
        <v>7.925581239945334</v>
      </c>
      <c r="N8" s="34">
        <v>-3.2343932502099881</v>
      </c>
      <c r="O8" s="34">
        <v>5.6734066142113404</v>
      </c>
      <c r="P8" s="34">
        <v>5.4306388866112609</v>
      </c>
      <c r="Q8" s="34">
        <v>11.202102035598593</v>
      </c>
      <c r="R8" s="34">
        <v>9.5011942424115592</v>
      </c>
      <c r="S8" s="22"/>
      <c r="T8" s="34">
        <v>10.474093442581612</v>
      </c>
      <c r="U8" s="34">
        <v>11.349995021687004</v>
      </c>
      <c r="V8" s="22"/>
      <c r="W8" s="34">
        <v>0.5</v>
      </c>
      <c r="X8" s="34">
        <v>0.89</v>
      </c>
      <c r="Y8" s="34" t="s">
        <v>91</v>
      </c>
      <c r="Z8" s="56"/>
      <c r="AA8" s="56"/>
    </row>
    <row r="9" spans="1:27" customFormat="1" ht="14.5" x14ac:dyDescent="0.35">
      <c r="A9" s="30" t="s">
        <v>131</v>
      </c>
      <c r="B9" s="30" t="s">
        <v>136</v>
      </c>
      <c r="C9" s="30" t="s">
        <v>142</v>
      </c>
      <c r="D9" s="62" t="s">
        <v>176</v>
      </c>
      <c r="E9" s="32">
        <v>100</v>
      </c>
      <c r="F9" s="31">
        <v>25.582179035799999</v>
      </c>
      <c r="G9" s="33">
        <v>2456</v>
      </c>
      <c r="H9" s="21"/>
      <c r="I9" s="34">
        <v>-5.7493440345732338</v>
      </c>
      <c r="J9" s="34">
        <v>5.6396505492604554</v>
      </c>
      <c r="K9" s="34" t="s">
        <v>161</v>
      </c>
      <c r="L9" s="34" t="s">
        <v>161</v>
      </c>
      <c r="M9" s="34">
        <v>7.762938817449383</v>
      </c>
      <c r="N9" s="34">
        <v>-5.6945183608302248</v>
      </c>
      <c r="O9" s="34">
        <v>6.1441040561355242</v>
      </c>
      <c r="P9" s="34" t="s">
        <v>161</v>
      </c>
      <c r="Q9" s="34" t="s">
        <v>161</v>
      </c>
      <c r="R9" s="34">
        <v>8.390144840421021</v>
      </c>
      <c r="S9" s="22"/>
      <c r="T9" s="34" t="s">
        <v>161</v>
      </c>
      <c r="U9" s="34" t="s">
        <v>161</v>
      </c>
      <c r="V9" s="22"/>
      <c r="W9" s="34">
        <v>0.44640000000000002</v>
      </c>
      <c r="X9" s="34">
        <v>0.57769999999999999</v>
      </c>
      <c r="Y9" s="34" t="s">
        <v>91</v>
      </c>
      <c r="Z9" s="56"/>
      <c r="AA9" s="56"/>
    </row>
    <row r="10" spans="1:27" x14ac:dyDescent="0.35">
      <c r="A10" s="16"/>
      <c r="B10" s="16"/>
      <c r="C10" s="16"/>
      <c r="D10" s="16"/>
      <c r="E10" s="16"/>
      <c r="F10" s="16"/>
      <c r="G10" s="16"/>
      <c r="H10" s="16"/>
      <c r="I10" s="16"/>
      <c r="J10" s="16"/>
      <c r="K10" s="16"/>
      <c r="L10" s="16"/>
      <c r="M10" s="16"/>
      <c r="N10" s="16"/>
      <c r="O10" s="16"/>
      <c r="P10" s="16"/>
      <c r="Q10" s="16"/>
      <c r="R10" s="16"/>
      <c r="S10" s="16"/>
      <c r="T10" s="16"/>
      <c r="U10" s="16"/>
      <c r="V10" s="16"/>
    </row>
    <row r="11" spans="1:27" s="53" customFormat="1" ht="13.5" x14ac:dyDescent="0.3">
      <c r="A11" s="51" t="s">
        <v>179</v>
      </c>
      <c r="B11" s="47"/>
      <c r="C11" s="47"/>
      <c r="D11" s="52"/>
      <c r="E11" s="52"/>
      <c r="F11" s="52"/>
      <c r="G11" s="52"/>
      <c r="H11" s="52"/>
      <c r="I11" s="52"/>
      <c r="J11" s="52"/>
      <c r="K11" s="52"/>
      <c r="L11" s="52"/>
      <c r="M11" s="52"/>
      <c r="N11" s="52"/>
      <c r="O11" s="52"/>
      <c r="P11" s="52"/>
      <c r="Q11" s="52"/>
      <c r="R11" s="52"/>
    </row>
    <row r="12" spans="1:27" s="53" customFormat="1" ht="13.5" x14ac:dyDescent="0.3">
      <c r="A12" s="47" t="s">
        <v>93</v>
      </c>
      <c r="B12" s="51"/>
      <c r="C12" s="51"/>
    </row>
    <row r="13" spans="1:27" s="53" customFormat="1" ht="13.5" x14ac:dyDescent="0.3">
      <c r="A13" s="51" t="s">
        <v>95</v>
      </c>
      <c r="B13" s="51"/>
      <c r="C13" s="51"/>
    </row>
    <row r="14" spans="1:27" s="53" customFormat="1" ht="13.5" x14ac:dyDescent="0.3">
      <c r="A14" s="51" t="s">
        <v>96</v>
      </c>
      <c r="B14" s="51"/>
      <c r="C14" s="51"/>
    </row>
    <row r="15" spans="1:27" s="53" customFormat="1" ht="13.5" x14ac:dyDescent="0.3">
      <c r="A15" s="51" t="s">
        <v>180</v>
      </c>
      <c r="B15" s="52"/>
      <c r="C15" s="52"/>
    </row>
    <row r="16" spans="1:27" s="53" customFormat="1" ht="13.5" x14ac:dyDescent="0.3">
      <c r="A16" s="54" t="s">
        <v>115</v>
      </c>
      <c r="B16" s="52"/>
      <c r="C16" s="52"/>
    </row>
    <row r="17" spans="1:4" s="53" customFormat="1" ht="13.5" x14ac:dyDescent="0.3">
      <c r="A17" s="54" t="s">
        <v>101</v>
      </c>
    </row>
    <row r="18" spans="1:4" s="53" customFormat="1" ht="13.5" x14ac:dyDescent="0.3">
      <c r="A18" s="54" t="s">
        <v>181</v>
      </c>
    </row>
    <row r="19" spans="1:4" s="53" customFormat="1" ht="13.5" x14ac:dyDescent="0.3">
      <c r="A19" s="54" t="s">
        <v>152</v>
      </c>
    </row>
    <row r="20" spans="1:4" s="53" customFormat="1" ht="13.5" x14ac:dyDescent="0.3">
      <c r="A20" s="54" t="s">
        <v>153</v>
      </c>
    </row>
    <row r="21" spans="1:4" s="53" customFormat="1" ht="13.5" x14ac:dyDescent="0.3">
      <c r="A21" s="54" t="s">
        <v>156</v>
      </c>
    </row>
    <row r="22" spans="1:4" s="53" customFormat="1" ht="13.5" x14ac:dyDescent="0.3">
      <c r="A22" s="54" t="s">
        <v>155</v>
      </c>
    </row>
    <row r="23" spans="1:4" s="53" customFormat="1" ht="13.5" x14ac:dyDescent="0.3">
      <c r="A23" s="84" t="s">
        <v>187</v>
      </c>
    </row>
    <row r="24" spans="1:4" x14ac:dyDescent="0.35">
      <c r="A24" s="54"/>
    </row>
    <row r="25" spans="1:4" x14ac:dyDescent="0.35">
      <c r="A25" s="35" t="s">
        <v>113</v>
      </c>
      <c r="B25" s="35"/>
      <c r="C25" s="35"/>
      <c r="D25" s="35"/>
    </row>
    <row r="26" spans="1:4" s="53" customFormat="1" ht="13.5" x14ac:dyDescent="0.3">
      <c r="A26" s="51" t="s">
        <v>83</v>
      </c>
      <c r="B26" s="52"/>
      <c r="C26" s="52"/>
    </row>
    <row r="27" spans="1:4" s="53" customFormat="1" ht="13.5" x14ac:dyDescent="0.3">
      <c r="A27" s="51" t="s">
        <v>84</v>
      </c>
      <c r="B27" s="52"/>
      <c r="C27" s="52"/>
    </row>
    <row r="28" spans="1:4" x14ac:dyDescent="0.35">
      <c r="A28" s="17"/>
      <c r="B28" s="17"/>
      <c r="C28" s="17"/>
    </row>
    <row r="35" spans="1:3" x14ac:dyDescent="0.35">
      <c r="A35" s="35" t="s">
        <v>0</v>
      </c>
      <c r="B35" s="35" t="s">
        <v>73</v>
      </c>
      <c r="C35" s="35" t="s">
        <v>72</v>
      </c>
    </row>
    <row r="36" spans="1:3" x14ac:dyDescent="0.35">
      <c r="A36" s="30" t="s">
        <v>24</v>
      </c>
      <c r="B36" s="31">
        <v>9.8827062342238214</v>
      </c>
      <c r="C36" s="31">
        <v>4.7160087827580188</v>
      </c>
    </row>
    <row r="37" spans="1:3" x14ac:dyDescent="0.35">
      <c r="A37" s="30" t="s">
        <v>22</v>
      </c>
      <c r="B37" s="31">
        <v>8.2086765447724623</v>
      </c>
      <c r="C37" s="31">
        <v>5.4384872950744345</v>
      </c>
    </row>
    <row r="38" spans="1:3" x14ac:dyDescent="0.35">
      <c r="A38" s="30" t="s">
        <v>21</v>
      </c>
      <c r="B38" s="31">
        <v>10.007530523379526</v>
      </c>
      <c r="C38" s="31">
        <v>4.2110341033381626</v>
      </c>
    </row>
    <row r="39" spans="1:3" x14ac:dyDescent="0.35">
      <c r="A39" s="30" t="s">
        <v>23</v>
      </c>
      <c r="B39" s="31">
        <v>10.304636700168448</v>
      </c>
      <c r="C39" s="31">
        <v>4.1087034809592415</v>
      </c>
    </row>
    <row r="40" spans="1:3" x14ac:dyDescent="0.35">
      <c r="A40" s="30" t="s">
        <v>25</v>
      </c>
      <c r="B40" s="31">
        <v>10.474093442581612</v>
      </c>
      <c r="C40" s="31">
        <v>5.1397626554106957</v>
      </c>
    </row>
    <row r="57" spans="1:5" x14ac:dyDescent="0.35">
      <c r="A57" s="35" t="s">
        <v>114</v>
      </c>
      <c r="B57" s="35"/>
      <c r="C57" s="35"/>
      <c r="D57" s="35"/>
      <c r="E57" s="35"/>
    </row>
    <row r="58" spans="1:5" s="53" customFormat="1" ht="13.5" x14ac:dyDescent="0.3">
      <c r="A58" s="51" t="s">
        <v>85</v>
      </c>
      <c r="B58" s="52"/>
      <c r="C58" s="52"/>
    </row>
    <row r="59" spans="1:5" s="53" customFormat="1" ht="13.5" x14ac:dyDescent="0.3">
      <c r="A59" s="51" t="s">
        <v>86</v>
      </c>
      <c r="B59" s="52"/>
      <c r="C59" s="52"/>
    </row>
    <row r="60" spans="1:5" s="53" customFormat="1" ht="13.5" x14ac:dyDescent="0.3">
      <c r="A60" s="51" t="s">
        <v>87</v>
      </c>
      <c r="B60" s="52"/>
      <c r="C60" s="52"/>
    </row>
    <row r="65" spans="1:4" x14ac:dyDescent="0.35">
      <c r="A65" s="35" t="s">
        <v>0</v>
      </c>
      <c r="B65" s="35" t="s">
        <v>77</v>
      </c>
      <c r="C65" s="35" t="s">
        <v>78</v>
      </c>
      <c r="D65" s="35" t="s">
        <v>79</v>
      </c>
    </row>
    <row r="66" spans="1:4" x14ac:dyDescent="0.35">
      <c r="A66" s="30" t="s">
        <v>22</v>
      </c>
      <c r="B66" s="31">
        <v>22.526</v>
      </c>
      <c r="C66" s="31">
        <v>5.4384872950744345</v>
      </c>
      <c r="D66" s="31">
        <v>222.60109032859998</v>
      </c>
    </row>
    <row r="67" spans="1:4" x14ac:dyDescent="0.35">
      <c r="A67" s="30" t="s">
        <v>24</v>
      </c>
      <c r="B67" s="31">
        <v>18.343</v>
      </c>
      <c r="C67" s="31">
        <v>4.7160087827580188</v>
      </c>
      <c r="D67" s="31">
        <v>147.27809862000001</v>
      </c>
    </row>
    <row r="68" spans="1:4" x14ac:dyDescent="0.35">
      <c r="A68" s="30" t="s">
        <v>21</v>
      </c>
      <c r="B68" s="31">
        <v>53.088999999999999</v>
      </c>
      <c r="C68" s="31">
        <v>4.2110341033381626</v>
      </c>
      <c r="D68" s="31">
        <v>498.08216739</v>
      </c>
    </row>
    <row r="69" spans="1:4" x14ac:dyDescent="0.35">
      <c r="A69" s="30" t="s">
        <v>23</v>
      </c>
      <c r="B69" s="31">
        <v>94.456000000000003</v>
      </c>
      <c r="C69" s="31">
        <v>4.1087034809592415</v>
      </c>
      <c r="D69" s="31">
        <v>710.37172037999994</v>
      </c>
    </row>
    <row r="70" spans="1:4" x14ac:dyDescent="0.35">
      <c r="A70" s="30" t="s">
        <v>25</v>
      </c>
      <c r="B70" s="31">
        <v>38.722000000000001</v>
      </c>
      <c r="C70" s="31">
        <v>5.1397626554106957</v>
      </c>
      <c r="D70" s="31">
        <v>278.25251695999998</v>
      </c>
    </row>
  </sheetData>
  <mergeCells count="7">
    <mergeCell ref="W1:Y1"/>
    <mergeCell ref="T1:U1"/>
    <mergeCell ref="A3:C3"/>
    <mergeCell ref="D1:D2"/>
    <mergeCell ref="F1:F2"/>
    <mergeCell ref="G1:G2"/>
    <mergeCell ref="I1:P1"/>
  </mergeCells>
  <conditionalFormatting sqref="I3:R9">
    <cfRule type="cellIs" dxfId="23" priority="5" operator="greaterThanOrEqual">
      <formula>0</formula>
    </cfRule>
    <cfRule type="cellIs" dxfId="22" priority="6" operator="lessThan">
      <formula>0</formula>
    </cfRule>
  </conditionalFormatting>
  <conditionalFormatting sqref="T4:U9">
    <cfRule type="cellIs" dxfId="21" priority="3" operator="greaterThanOrEqual">
      <formula>0</formula>
    </cfRule>
    <cfRule type="cellIs" dxfId="20" priority="4" operator="lessThan">
      <formula>0</formula>
    </cfRule>
  </conditionalFormatting>
  <conditionalFormatting sqref="W4:Y9">
    <cfRule type="cellIs" dxfId="19" priority="1" operator="greaterThanOrEqual">
      <formula>0</formula>
    </cfRule>
    <cfRule type="cellIs" dxfId="18" priority="2" operator="lessThan">
      <formula>0</formula>
    </cfRule>
  </conditionalFormatting>
  <hyperlinks>
    <hyperlink ref="C1" location="GCF_2024!A1" display="GCF_2024!A1" xr:uid="{1A8A2E13-A95C-4B13-BFA2-ADF4E9EA3077}"/>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70"/>
  <sheetViews>
    <sheetView showGridLines="0" zoomScale="50" zoomScaleNormal="50" workbookViewId="0"/>
  </sheetViews>
  <sheetFormatPr defaultColWidth="8.81640625" defaultRowHeight="15.5" x14ac:dyDescent="0.35"/>
  <cols>
    <col min="1" max="1" width="43.54296875" style="15" customWidth="1"/>
    <col min="2" max="2" width="14.81640625" style="15" bestFit="1" customWidth="1"/>
    <col min="3" max="3" width="68.54296875" style="15" customWidth="1"/>
    <col min="4" max="4" width="17.453125" style="15" customWidth="1"/>
    <col min="5" max="5" width="16.1796875" style="15" bestFit="1" customWidth="1"/>
    <col min="6" max="6" width="19.453125" style="15" customWidth="1"/>
    <col min="7" max="7" width="13.54296875" style="15" customWidth="1"/>
    <col min="8" max="8" width="1.453125" style="15" customWidth="1"/>
    <col min="9" max="10" width="17.453125" style="15" customWidth="1"/>
    <col min="11" max="13" width="17" style="15" customWidth="1"/>
    <col min="14" max="15" width="18.453125" style="15" customWidth="1"/>
    <col min="16" max="18" width="17.1796875" style="15" customWidth="1"/>
    <col min="19" max="19" width="1.453125" style="15" customWidth="1"/>
    <col min="20" max="20" width="18.1796875" style="15" customWidth="1"/>
    <col min="21" max="21" width="20.26953125" style="15" customWidth="1"/>
    <col min="22" max="22" width="1.453125" style="15" customWidth="1"/>
    <col min="23" max="23" width="8.81640625" style="15"/>
    <col min="24" max="24" width="11" style="15" customWidth="1"/>
    <col min="25" max="25" width="13.453125" style="15" customWidth="1"/>
    <col min="26" max="16384" width="8.81640625" style="15"/>
  </cols>
  <sheetData>
    <row r="1" spans="1:27" ht="22.4" customHeight="1" x14ac:dyDescent="0.35">
      <c r="A1" s="92">
        <v>45747</v>
      </c>
      <c r="B1" s="24"/>
      <c r="C1" s="86" t="s">
        <v>76</v>
      </c>
      <c r="D1" s="98" t="s">
        <v>90</v>
      </c>
      <c r="E1" s="29" t="s">
        <v>75</v>
      </c>
      <c r="F1" s="98" t="s">
        <v>100</v>
      </c>
      <c r="G1" s="98" t="s">
        <v>71</v>
      </c>
      <c r="H1" s="26"/>
      <c r="I1" s="96" t="s">
        <v>72</v>
      </c>
      <c r="J1" s="102"/>
      <c r="K1" s="102">
        <v>0</v>
      </c>
      <c r="L1" s="102"/>
      <c r="M1" s="102"/>
      <c r="N1" s="102">
        <v>0</v>
      </c>
      <c r="O1" s="102"/>
      <c r="P1" s="102">
        <v>0</v>
      </c>
      <c r="Q1" s="83"/>
      <c r="R1" s="91"/>
      <c r="S1" s="27"/>
      <c r="T1" s="100" t="s">
        <v>97</v>
      </c>
      <c r="U1" s="101">
        <v>0</v>
      </c>
      <c r="V1" s="27"/>
      <c r="W1" s="96" t="s">
        <v>188</v>
      </c>
      <c r="X1" s="102">
        <v>0</v>
      </c>
      <c r="Y1" s="102">
        <v>0</v>
      </c>
    </row>
    <row r="2" spans="1:27" ht="92.5" customHeight="1" x14ac:dyDescent="0.35">
      <c r="A2" s="23" t="s">
        <v>42</v>
      </c>
      <c r="B2" s="23" t="s">
        <v>43</v>
      </c>
      <c r="C2" s="23" t="s">
        <v>44</v>
      </c>
      <c r="D2" s="99">
        <v>0</v>
      </c>
      <c r="E2" s="23" t="s">
        <v>99</v>
      </c>
      <c r="F2" s="99">
        <v>0</v>
      </c>
      <c r="G2" s="99">
        <v>0</v>
      </c>
      <c r="H2" s="26"/>
      <c r="I2" s="94" t="s">
        <v>92</v>
      </c>
      <c r="J2" s="23" t="s">
        <v>183</v>
      </c>
      <c r="K2" s="23" t="s">
        <v>157</v>
      </c>
      <c r="L2" s="23" t="s">
        <v>177</v>
      </c>
      <c r="M2" s="23" t="s">
        <v>185</v>
      </c>
      <c r="N2" s="23" t="s">
        <v>94</v>
      </c>
      <c r="O2" s="23" t="s">
        <v>184</v>
      </c>
      <c r="P2" s="23" t="s">
        <v>158</v>
      </c>
      <c r="Q2" s="23" t="s">
        <v>178</v>
      </c>
      <c r="R2" s="23" t="s">
        <v>186</v>
      </c>
      <c r="S2" s="28"/>
      <c r="T2" s="23" t="s">
        <v>111</v>
      </c>
      <c r="U2" s="23" t="s">
        <v>112</v>
      </c>
      <c r="V2" s="28"/>
      <c r="W2" s="23" t="s">
        <v>149</v>
      </c>
      <c r="X2" s="23" t="s">
        <v>150</v>
      </c>
      <c r="Y2" s="23" t="s">
        <v>151</v>
      </c>
    </row>
    <row r="3" spans="1:27" ht="29.15" customHeight="1" x14ac:dyDescent="0.35">
      <c r="A3" s="95" t="s">
        <v>60</v>
      </c>
      <c r="B3" s="95"/>
      <c r="C3" s="95"/>
      <c r="D3" s="42"/>
      <c r="E3" s="42"/>
      <c r="F3" s="43"/>
      <c r="G3" s="66" t="s">
        <v>98</v>
      </c>
      <c r="H3" s="43"/>
      <c r="I3" s="63">
        <v>-1.9889580369889044</v>
      </c>
      <c r="J3" s="63">
        <v>4.2874668729117342</v>
      </c>
      <c r="K3" s="63">
        <v>2.943725164285993</v>
      </c>
      <c r="L3" s="63">
        <v>6.6612242460579445</v>
      </c>
      <c r="M3" s="63">
        <v>5.5929791826574435</v>
      </c>
      <c r="N3" s="63">
        <v>-1.7710815720501059</v>
      </c>
      <c r="O3" s="63">
        <v>4.8632152736634673</v>
      </c>
      <c r="P3" s="63">
        <v>3.1292893172007576</v>
      </c>
      <c r="Q3" s="63">
        <v>6.6289059469835134</v>
      </c>
      <c r="R3" s="63">
        <v>5.8047006022076459</v>
      </c>
      <c r="S3" s="43"/>
      <c r="T3" s="43"/>
      <c r="U3" s="43"/>
      <c r="V3" s="43"/>
      <c r="W3" s="43"/>
      <c r="X3" s="43"/>
      <c r="Y3" s="43"/>
    </row>
    <row r="4" spans="1:27" customFormat="1" x14ac:dyDescent="0.35">
      <c r="A4" s="30" t="s">
        <v>36</v>
      </c>
      <c r="B4" s="30" t="s">
        <v>27</v>
      </c>
      <c r="C4" s="30" t="s">
        <v>61</v>
      </c>
      <c r="D4" s="62" t="s">
        <v>175</v>
      </c>
      <c r="E4" s="32">
        <v>30</v>
      </c>
      <c r="F4" s="31">
        <v>114.58844878000001</v>
      </c>
      <c r="G4" s="33">
        <v>16547</v>
      </c>
      <c r="H4" s="21"/>
      <c r="I4" s="34">
        <v>-2.3606193154203869</v>
      </c>
      <c r="J4" s="34">
        <v>4.7679356328689693</v>
      </c>
      <c r="K4" s="34">
        <v>2.5704596717222028</v>
      </c>
      <c r="L4" s="34">
        <v>6.6737365772254531</v>
      </c>
      <c r="M4" s="34">
        <v>5.6050507333837762</v>
      </c>
      <c r="N4" s="34">
        <v>-1.6757386514985484</v>
      </c>
      <c r="O4" s="34">
        <v>5.3159588280134562</v>
      </c>
      <c r="P4" s="34">
        <v>3.3183266178927529</v>
      </c>
      <c r="Q4" s="34">
        <v>7.2067843401123488</v>
      </c>
      <c r="R4" s="34">
        <v>6.2599019249104604</v>
      </c>
      <c r="S4" s="22"/>
      <c r="T4" s="34">
        <v>7.9103382559040032</v>
      </c>
      <c r="U4" s="34">
        <v>8.5741413782677682</v>
      </c>
      <c r="V4" s="22"/>
      <c r="W4" s="34">
        <v>0.49</v>
      </c>
      <c r="X4" s="34">
        <v>0.71</v>
      </c>
      <c r="Y4" s="34" t="s">
        <v>91</v>
      </c>
      <c r="Z4" s="15"/>
      <c r="AA4" s="56"/>
    </row>
    <row r="5" spans="1:27" customFormat="1" x14ac:dyDescent="0.35">
      <c r="A5" s="30" t="s">
        <v>160</v>
      </c>
      <c r="B5" s="30" t="s">
        <v>29</v>
      </c>
      <c r="C5" s="30" t="s">
        <v>129</v>
      </c>
      <c r="D5" s="62" t="s">
        <v>175</v>
      </c>
      <c r="E5" s="32">
        <v>25.35</v>
      </c>
      <c r="F5" s="31">
        <v>140.91779395449998</v>
      </c>
      <c r="G5" s="33">
        <v>17171</v>
      </c>
      <c r="H5" s="21"/>
      <c r="I5" s="34">
        <v>-0.49964813511612638</v>
      </c>
      <c r="J5" s="34">
        <v>5.8783884978283574</v>
      </c>
      <c r="K5" s="34">
        <v>4.1452533367716482</v>
      </c>
      <c r="L5" s="34">
        <v>6.9574067591691824</v>
      </c>
      <c r="M5" s="34">
        <v>5.6961288107570285</v>
      </c>
      <c r="N5" s="34">
        <v>-0.97770699238357572</v>
      </c>
      <c r="O5" s="34">
        <v>5.3765484409660669</v>
      </c>
      <c r="P5" s="34">
        <v>3.5232307942477226</v>
      </c>
      <c r="Q5" s="34">
        <v>5.9000795230482295</v>
      </c>
      <c r="R5" s="34">
        <v>4.9531816710938648</v>
      </c>
      <c r="S5" s="22"/>
      <c r="T5" s="34">
        <v>6.2466773895962273</v>
      </c>
      <c r="U5" s="34">
        <v>7.8588508580331879</v>
      </c>
      <c r="V5" s="22"/>
      <c r="W5" s="34">
        <v>0.5</v>
      </c>
      <c r="X5" s="34">
        <v>0.83</v>
      </c>
      <c r="Y5" s="34">
        <v>0.83</v>
      </c>
      <c r="Z5" s="15"/>
      <c r="AA5" s="56"/>
    </row>
    <row r="6" spans="1:27" customFormat="1" x14ac:dyDescent="0.35">
      <c r="A6" s="30" t="s">
        <v>88</v>
      </c>
      <c r="B6" s="30" t="s">
        <v>28</v>
      </c>
      <c r="C6" s="30" t="s">
        <v>62</v>
      </c>
      <c r="D6" s="62" t="s">
        <v>175</v>
      </c>
      <c r="E6" s="32">
        <v>30.8</v>
      </c>
      <c r="F6" s="31">
        <v>373.19950411000002</v>
      </c>
      <c r="G6" s="33">
        <v>46473</v>
      </c>
      <c r="H6" s="21"/>
      <c r="I6" s="34">
        <v>-2.0973678727689404</v>
      </c>
      <c r="J6" s="34">
        <v>4.8182020968101646</v>
      </c>
      <c r="K6" s="34">
        <v>2.7662070491192958</v>
      </c>
      <c r="L6" s="34">
        <v>6.8304055032787803</v>
      </c>
      <c r="M6" s="34">
        <v>5.6458471727291126</v>
      </c>
      <c r="N6" s="34">
        <v>-1.872464439199184</v>
      </c>
      <c r="O6" s="34">
        <v>5.1176851803198531</v>
      </c>
      <c r="P6" s="34">
        <v>3.6651847629759704</v>
      </c>
      <c r="Q6" s="34">
        <v>7.6782235862601134</v>
      </c>
      <c r="R6" s="34">
        <v>6.7044472257245635</v>
      </c>
      <c r="S6" s="22"/>
      <c r="T6" s="34">
        <v>7.1834514865940378</v>
      </c>
      <c r="U6" s="34">
        <v>8.560020943263515</v>
      </c>
      <c r="V6" s="22"/>
      <c r="W6" s="34">
        <v>0.5</v>
      </c>
      <c r="X6" s="34" t="s">
        <v>91</v>
      </c>
      <c r="Y6" s="34">
        <v>0.67</v>
      </c>
      <c r="Z6" s="15"/>
      <c r="AA6" s="56"/>
    </row>
    <row r="7" spans="1:27" customFormat="1" x14ac:dyDescent="0.35">
      <c r="A7" s="30" t="s">
        <v>89</v>
      </c>
      <c r="B7" s="30" t="s">
        <v>26</v>
      </c>
      <c r="C7" s="30" t="s">
        <v>107</v>
      </c>
      <c r="D7" s="62" t="s">
        <v>175</v>
      </c>
      <c r="E7" s="32">
        <v>30</v>
      </c>
      <c r="F7" s="31">
        <v>536.78550175999999</v>
      </c>
      <c r="G7" s="33">
        <v>82115</v>
      </c>
      <c r="H7" s="21"/>
      <c r="I7" s="34">
        <v>-2.29853416832978</v>
      </c>
      <c r="J7" s="34">
        <v>3.1309022228679373</v>
      </c>
      <c r="K7" s="34">
        <v>2.8373771074626131</v>
      </c>
      <c r="L7" s="34">
        <v>7.0768344987148124</v>
      </c>
      <c r="M7" s="34">
        <v>6.1076793610320257</v>
      </c>
      <c r="N7" s="34">
        <v>-2.1935889286743393</v>
      </c>
      <c r="O7" s="34">
        <v>4.3702701115859499</v>
      </c>
      <c r="P7" s="34">
        <v>2.5360006114926392</v>
      </c>
      <c r="Q7" s="34">
        <v>6.3804653403924272</v>
      </c>
      <c r="R7" s="34">
        <v>5.6333781508114189</v>
      </c>
      <c r="S7" s="22"/>
      <c r="T7" s="34">
        <v>7.2708495196916214</v>
      </c>
      <c r="U7" s="34">
        <v>9.1335956607526381</v>
      </c>
      <c r="V7" s="22"/>
      <c r="W7" s="34">
        <v>0.41000000000000003</v>
      </c>
      <c r="X7" s="34" t="s">
        <v>91</v>
      </c>
      <c r="Y7" s="34">
        <v>0.4874</v>
      </c>
      <c r="Z7" s="15"/>
      <c r="AA7" s="56"/>
    </row>
    <row r="8" spans="1:27" customFormat="1" x14ac:dyDescent="0.35">
      <c r="A8" s="30" t="s">
        <v>116</v>
      </c>
      <c r="B8" s="30" t="s">
        <v>30</v>
      </c>
      <c r="C8" s="30" t="s">
        <v>122</v>
      </c>
      <c r="D8" s="62" t="s">
        <v>175</v>
      </c>
      <c r="E8" s="32">
        <v>30</v>
      </c>
      <c r="F8" s="31">
        <v>235.73891724000001</v>
      </c>
      <c r="G8" s="33">
        <v>35833</v>
      </c>
      <c r="H8" s="21"/>
      <c r="I8" s="34">
        <v>-1.8381240544629307</v>
      </c>
      <c r="J8" s="34">
        <v>4.8646464646464604</v>
      </c>
      <c r="K8" s="34">
        <v>2.9301125707076769</v>
      </c>
      <c r="L8" s="34">
        <v>5.2639026746356787</v>
      </c>
      <c r="M8" s="34">
        <v>4.2562110420071742</v>
      </c>
      <c r="N8" s="34">
        <v>-1.171756632142551</v>
      </c>
      <c r="O8" s="34">
        <v>5.0300375092382943</v>
      </c>
      <c r="P8" s="34">
        <v>3.3044746727075136</v>
      </c>
      <c r="Q8" s="34">
        <v>5.6882081344327595</v>
      </c>
      <c r="R8" s="34">
        <v>5.0412589372096139</v>
      </c>
      <c r="S8" s="22"/>
      <c r="T8" s="34">
        <v>6.6696037126920498</v>
      </c>
      <c r="U8" s="34">
        <v>7.0115838658549174</v>
      </c>
      <c r="V8" s="22"/>
      <c r="W8" s="34">
        <v>0.5</v>
      </c>
      <c r="X8" s="34">
        <v>0.78</v>
      </c>
      <c r="Y8" s="34" t="s">
        <v>91</v>
      </c>
      <c r="Z8" s="15"/>
      <c r="AA8" s="56"/>
    </row>
    <row r="9" spans="1:27" customFormat="1" x14ac:dyDescent="0.35">
      <c r="A9" s="30" t="s">
        <v>131</v>
      </c>
      <c r="B9" s="30" t="s">
        <v>137</v>
      </c>
      <c r="C9" s="30" t="s">
        <v>141</v>
      </c>
      <c r="D9" s="62" t="s">
        <v>176</v>
      </c>
      <c r="E9" s="32">
        <v>30</v>
      </c>
      <c r="F9" s="31">
        <v>8.194877116999999</v>
      </c>
      <c r="G9" s="33">
        <v>899</v>
      </c>
      <c r="H9" s="21"/>
      <c r="I9" s="34">
        <v>-1.5258809644242088</v>
      </c>
      <c r="J9" s="34">
        <v>5.1963256484149678</v>
      </c>
      <c r="K9" s="34" t="s">
        <v>161</v>
      </c>
      <c r="L9" s="34" t="s">
        <v>161</v>
      </c>
      <c r="M9" s="34">
        <v>5.9829172547333442</v>
      </c>
      <c r="N9" s="34">
        <v>-1.6951983298538642</v>
      </c>
      <c r="O9" s="34">
        <v>5.6068897461200251</v>
      </c>
      <c r="P9" s="34" t="s">
        <v>161</v>
      </c>
      <c r="Q9" s="34" t="s">
        <v>161</v>
      </c>
      <c r="R9" s="34">
        <v>6.2909411610219568</v>
      </c>
      <c r="S9" s="22"/>
      <c r="T9" s="34" t="s">
        <v>161</v>
      </c>
      <c r="U9" s="34" t="s">
        <v>161</v>
      </c>
      <c r="V9" s="22"/>
      <c r="W9" s="34">
        <v>0.44669999999999999</v>
      </c>
      <c r="X9" s="34">
        <v>0.59330000000000005</v>
      </c>
      <c r="Y9" s="34" t="s">
        <v>91</v>
      </c>
      <c r="Z9" s="15"/>
      <c r="AA9" s="56"/>
    </row>
    <row r="10" spans="1:27" x14ac:dyDescent="0.35">
      <c r="A10" s="16"/>
      <c r="B10" s="16"/>
      <c r="C10" s="16"/>
      <c r="D10" s="16"/>
      <c r="E10" s="16"/>
      <c r="F10" s="16"/>
      <c r="G10" s="16"/>
      <c r="H10" s="16"/>
      <c r="I10" s="16"/>
      <c r="J10" s="16"/>
      <c r="K10" s="16"/>
      <c r="L10" s="16"/>
      <c r="M10" s="16"/>
      <c r="N10" s="16"/>
      <c r="O10" s="16"/>
      <c r="P10" s="16"/>
      <c r="Q10" s="16"/>
      <c r="R10" s="16"/>
      <c r="S10" s="16"/>
      <c r="T10" s="16"/>
      <c r="U10" s="16"/>
      <c r="V10" s="16"/>
    </row>
    <row r="11" spans="1:27" s="53" customFormat="1" ht="13.5" x14ac:dyDescent="0.3">
      <c r="A11" s="51" t="s">
        <v>179</v>
      </c>
      <c r="B11" s="47"/>
      <c r="C11" s="47"/>
      <c r="D11" s="52"/>
      <c r="E11" s="52"/>
      <c r="F11" s="52"/>
      <c r="G11" s="52"/>
      <c r="H11" s="52"/>
      <c r="I11" s="52"/>
      <c r="J11" s="52"/>
      <c r="K11" s="52"/>
      <c r="L11" s="52"/>
      <c r="M11" s="52"/>
      <c r="N11" s="52"/>
      <c r="O11" s="52"/>
      <c r="P11" s="52"/>
      <c r="Q11" s="52"/>
      <c r="R11" s="52"/>
    </row>
    <row r="12" spans="1:27" s="53" customFormat="1" ht="13.5" x14ac:dyDescent="0.3">
      <c r="A12" s="47" t="s">
        <v>93</v>
      </c>
      <c r="B12" s="51"/>
      <c r="C12" s="51"/>
    </row>
    <row r="13" spans="1:27" s="53" customFormat="1" ht="13.5" x14ac:dyDescent="0.3">
      <c r="A13" s="51" t="s">
        <v>95</v>
      </c>
      <c r="B13" s="51"/>
      <c r="C13" s="51"/>
    </row>
    <row r="14" spans="1:27" s="53" customFormat="1" ht="13.5" x14ac:dyDescent="0.3">
      <c r="A14" s="51" t="s">
        <v>96</v>
      </c>
      <c r="B14" s="51"/>
      <c r="C14" s="51"/>
    </row>
    <row r="15" spans="1:27" s="53" customFormat="1" ht="13.5" x14ac:dyDescent="0.3">
      <c r="A15" s="51" t="s">
        <v>180</v>
      </c>
      <c r="B15" s="52"/>
      <c r="C15" s="52"/>
    </row>
    <row r="16" spans="1:27" s="53" customFormat="1" ht="13.5" x14ac:dyDescent="0.3">
      <c r="A16" s="54" t="s">
        <v>115</v>
      </c>
      <c r="B16" s="52"/>
      <c r="C16" s="52"/>
    </row>
    <row r="17" spans="1:4" s="53" customFormat="1" ht="13.5" x14ac:dyDescent="0.3">
      <c r="A17" s="54" t="s">
        <v>101</v>
      </c>
    </row>
    <row r="18" spans="1:4" s="53" customFormat="1" ht="13.5" x14ac:dyDescent="0.3">
      <c r="A18" s="54" t="s">
        <v>181</v>
      </c>
    </row>
    <row r="19" spans="1:4" s="53" customFormat="1" ht="13.5" x14ac:dyDescent="0.3">
      <c r="A19" s="54" t="s">
        <v>152</v>
      </c>
    </row>
    <row r="20" spans="1:4" s="53" customFormat="1" ht="13.5" x14ac:dyDescent="0.3">
      <c r="A20" s="54" t="s">
        <v>153</v>
      </c>
    </row>
    <row r="21" spans="1:4" s="53" customFormat="1" ht="13.5" x14ac:dyDescent="0.3">
      <c r="A21" s="54" t="s">
        <v>156</v>
      </c>
    </row>
    <row r="22" spans="1:4" s="53" customFormat="1" ht="13.5" x14ac:dyDescent="0.3">
      <c r="A22" s="54" t="s">
        <v>155</v>
      </c>
    </row>
    <row r="23" spans="1:4" s="53" customFormat="1" ht="13.5" x14ac:dyDescent="0.3">
      <c r="A23" s="84" t="s">
        <v>187</v>
      </c>
    </row>
    <row r="24" spans="1:4" x14ac:dyDescent="0.35">
      <c r="A24" s="54"/>
    </row>
    <row r="25" spans="1:4" x14ac:dyDescent="0.35">
      <c r="A25" s="35" t="s">
        <v>113</v>
      </c>
      <c r="B25" s="35"/>
      <c r="C25" s="35"/>
      <c r="D25" s="35"/>
    </row>
    <row r="26" spans="1:4" s="53" customFormat="1" ht="13.5" x14ac:dyDescent="0.3">
      <c r="A26" s="51" t="s">
        <v>83</v>
      </c>
      <c r="B26" s="52"/>
      <c r="C26" s="52"/>
    </row>
    <row r="27" spans="1:4" s="53" customFormat="1" ht="13.5" x14ac:dyDescent="0.3">
      <c r="A27" s="51" t="s">
        <v>84</v>
      </c>
      <c r="B27" s="52"/>
      <c r="C27" s="52"/>
    </row>
    <row r="28" spans="1:4" x14ac:dyDescent="0.35">
      <c r="A28" s="17"/>
      <c r="B28" s="17"/>
      <c r="C28" s="17"/>
    </row>
    <row r="35" spans="1:3" x14ac:dyDescent="0.35">
      <c r="A35" s="35" t="s">
        <v>0</v>
      </c>
      <c r="B35" s="35" t="s">
        <v>73</v>
      </c>
      <c r="C35" s="35" t="s">
        <v>72</v>
      </c>
    </row>
    <row r="36" spans="1:3" x14ac:dyDescent="0.35">
      <c r="A36" s="30" t="s">
        <v>27</v>
      </c>
      <c r="B36" s="31">
        <v>7.9103382559040032</v>
      </c>
      <c r="C36" s="31">
        <v>2.5704596717222028</v>
      </c>
    </row>
    <row r="37" spans="1:3" x14ac:dyDescent="0.35">
      <c r="A37" s="30" t="s">
        <v>29</v>
      </c>
      <c r="B37" s="31">
        <v>6.2466773895962273</v>
      </c>
      <c r="C37" s="31">
        <v>4.1452533367716482</v>
      </c>
    </row>
    <row r="38" spans="1:3" x14ac:dyDescent="0.35">
      <c r="A38" s="30" t="s">
        <v>28</v>
      </c>
      <c r="B38" s="31">
        <v>7.1834514865940378</v>
      </c>
      <c r="C38" s="31">
        <v>2.7662070491192958</v>
      </c>
    </row>
    <row r="39" spans="1:3" x14ac:dyDescent="0.35">
      <c r="A39" s="30" t="s">
        <v>26</v>
      </c>
      <c r="B39" s="31">
        <v>7.2708495196916214</v>
      </c>
      <c r="C39" s="31">
        <v>2.8373771074626131</v>
      </c>
    </row>
    <row r="40" spans="1:3" x14ac:dyDescent="0.35">
      <c r="A40" s="30" t="s">
        <v>30</v>
      </c>
      <c r="B40" s="31">
        <v>6.6696037126920498</v>
      </c>
      <c r="C40" s="31">
        <v>2.9301125707076769</v>
      </c>
    </row>
    <row r="57" spans="1:5" x14ac:dyDescent="0.35">
      <c r="A57" s="35" t="s">
        <v>114</v>
      </c>
      <c r="B57" s="35"/>
      <c r="C57" s="35"/>
      <c r="D57" s="35"/>
      <c r="E57" s="35"/>
    </row>
    <row r="58" spans="1:5" s="53" customFormat="1" ht="13.5" x14ac:dyDescent="0.3">
      <c r="A58" s="51" t="s">
        <v>85</v>
      </c>
      <c r="B58" s="52"/>
      <c r="C58" s="52"/>
    </row>
    <row r="59" spans="1:5" s="53" customFormat="1" ht="13.5" x14ac:dyDescent="0.3">
      <c r="A59" s="51" t="s">
        <v>86</v>
      </c>
      <c r="B59" s="52"/>
      <c r="C59" s="52"/>
    </row>
    <row r="60" spans="1:5" s="53" customFormat="1" ht="13.5" x14ac:dyDescent="0.3">
      <c r="A60" s="51" t="s">
        <v>87</v>
      </c>
      <c r="B60" s="52"/>
      <c r="C60" s="52"/>
    </row>
    <row r="65" spans="1:4" x14ac:dyDescent="0.35">
      <c r="A65" s="35" t="s">
        <v>0</v>
      </c>
      <c r="B65" s="35" t="s">
        <v>77</v>
      </c>
      <c r="C65" s="35" t="s">
        <v>78</v>
      </c>
      <c r="D65" s="35" t="s">
        <v>79</v>
      </c>
    </row>
    <row r="66" spans="1:4" x14ac:dyDescent="0.35">
      <c r="A66" s="30" t="s">
        <v>27</v>
      </c>
      <c r="B66" s="31">
        <v>16.547000000000001</v>
      </c>
      <c r="C66" s="31">
        <v>2.5704596717222028</v>
      </c>
      <c r="D66" s="31">
        <v>114.58844878000001</v>
      </c>
    </row>
    <row r="67" spans="1:4" x14ac:dyDescent="0.35">
      <c r="A67" s="30" t="s">
        <v>29</v>
      </c>
      <c r="B67" s="31">
        <v>17.170999999999999</v>
      </c>
      <c r="C67" s="31">
        <v>4.1452533367716482</v>
      </c>
      <c r="D67" s="31">
        <v>140.91779395449998</v>
      </c>
    </row>
    <row r="68" spans="1:4" x14ac:dyDescent="0.35">
      <c r="A68" s="30" t="s">
        <v>28</v>
      </c>
      <c r="B68" s="31">
        <v>46.472999999999999</v>
      </c>
      <c r="C68" s="31">
        <v>2.7662070491192958</v>
      </c>
      <c r="D68" s="31">
        <v>373.19950411000002</v>
      </c>
    </row>
    <row r="69" spans="1:4" x14ac:dyDescent="0.35">
      <c r="A69" s="30" t="s">
        <v>26</v>
      </c>
      <c r="B69" s="31">
        <v>82.114999999999995</v>
      </c>
      <c r="C69" s="31">
        <v>2.8373771074626131</v>
      </c>
      <c r="D69" s="31">
        <v>536.78550175999999</v>
      </c>
    </row>
    <row r="70" spans="1:4" x14ac:dyDescent="0.35">
      <c r="A70" s="30" t="s">
        <v>30</v>
      </c>
      <c r="B70" s="31">
        <v>35.832999999999998</v>
      </c>
      <c r="C70" s="31">
        <v>2.9301125707076769</v>
      </c>
      <c r="D70" s="31">
        <v>235.73891724000001</v>
      </c>
    </row>
  </sheetData>
  <mergeCells count="7">
    <mergeCell ref="W1:Y1"/>
    <mergeCell ref="T1:U1"/>
    <mergeCell ref="A3:C3"/>
    <mergeCell ref="D1:D2"/>
    <mergeCell ref="F1:F2"/>
    <mergeCell ref="G1:G2"/>
    <mergeCell ref="I1:P1"/>
  </mergeCells>
  <conditionalFormatting sqref="I3:R9">
    <cfRule type="cellIs" dxfId="17" priority="5" operator="greaterThanOrEqual">
      <formula>0</formula>
    </cfRule>
    <cfRule type="cellIs" dxfId="16" priority="6" operator="lessThan">
      <formula>0</formula>
    </cfRule>
  </conditionalFormatting>
  <conditionalFormatting sqref="T4:U9">
    <cfRule type="cellIs" dxfId="15" priority="3" operator="greaterThanOrEqual">
      <formula>0</formula>
    </cfRule>
    <cfRule type="cellIs" dxfId="14" priority="4" operator="lessThan">
      <formula>0</formula>
    </cfRule>
  </conditionalFormatting>
  <conditionalFormatting sqref="W4:Y9">
    <cfRule type="cellIs" dxfId="13" priority="1" operator="greaterThanOrEqual">
      <formula>0</formula>
    </cfRule>
    <cfRule type="cellIs" dxfId="12" priority="2" operator="lessThan">
      <formula>0</formula>
    </cfRule>
  </conditionalFormatting>
  <hyperlinks>
    <hyperlink ref="C1" location="GCF_2024!A1" display="GCF_2024!A1" xr:uid="{3EC942B3-1445-4769-84DB-2E6F73EA6F93}"/>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70"/>
  <sheetViews>
    <sheetView showGridLines="0" zoomScale="50" zoomScaleNormal="50" workbookViewId="0"/>
  </sheetViews>
  <sheetFormatPr defaultColWidth="8.81640625" defaultRowHeight="15.5" x14ac:dyDescent="0.35"/>
  <cols>
    <col min="1" max="1" width="41.81640625" style="15" customWidth="1"/>
    <col min="2" max="2" width="14.81640625" style="15" bestFit="1" customWidth="1"/>
    <col min="3" max="3" width="68.54296875" style="15" customWidth="1"/>
    <col min="4" max="4" width="17.453125" style="15" customWidth="1"/>
    <col min="5" max="5" width="16.1796875" style="15" bestFit="1" customWidth="1"/>
    <col min="6" max="6" width="19.453125" style="15" customWidth="1"/>
    <col min="7" max="7" width="13.54296875" style="15" customWidth="1"/>
    <col min="8" max="8" width="1.54296875" style="15" customWidth="1"/>
    <col min="9" max="10" width="18.453125" style="15" customWidth="1"/>
    <col min="11" max="13" width="17.54296875" style="15" customWidth="1"/>
    <col min="14" max="15" width="18" style="15" customWidth="1"/>
    <col min="16" max="18" width="19.1796875" style="15" customWidth="1"/>
    <col min="19" max="19" width="1.54296875" style="15" customWidth="1"/>
    <col min="20" max="20" width="23.453125" style="15" customWidth="1"/>
    <col min="21" max="21" width="21" style="15" customWidth="1"/>
    <col min="22" max="22" width="1.54296875" style="15" customWidth="1"/>
    <col min="23" max="23" width="8.81640625" style="15"/>
    <col min="24" max="25" width="11.453125" style="15" customWidth="1"/>
    <col min="26" max="16384" width="8.81640625" style="15"/>
  </cols>
  <sheetData>
    <row r="1" spans="1:27" ht="22.4" customHeight="1" x14ac:dyDescent="0.35">
      <c r="A1" s="92">
        <v>45747</v>
      </c>
      <c r="B1" s="24"/>
      <c r="C1" s="86" t="s">
        <v>76</v>
      </c>
      <c r="D1" s="98" t="s">
        <v>90</v>
      </c>
      <c r="E1" s="29" t="s">
        <v>75</v>
      </c>
      <c r="F1" s="98" t="s">
        <v>100</v>
      </c>
      <c r="G1" s="98" t="s">
        <v>71</v>
      </c>
      <c r="H1" s="26"/>
      <c r="I1" s="96" t="s">
        <v>72</v>
      </c>
      <c r="J1" s="102"/>
      <c r="K1" s="102">
        <v>0</v>
      </c>
      <c r="L1" s="102"/>
      <c r="M1" s="102"/>
      <c r="N1" s="102">
        <v>0</v>
      </c>
      <c r="O1" s="102"/>
      <c r="P1" s="102">
        <v>0</v>
      </c>
      <c r="Q1" s="83"/>
      <c r="R1" s="91"/>
      <c r="S1" s="27"/>
      <c r="T1" s="100" t="s">
        <v>97</v>
      </c>
      <c r="U1" s="101">
        <v>0</v>
      </c>
      <c r="V1" s="27"/>
      <c r="W1" s="96" t="s">
        <v>188</v>
      </c>
      <c r="X1" s="102">
        <v>0</v>
      </c>
      <c r="Y1" s="102">
        <v>0</v>
      </c>
    </row>
    <row r="2" spans="1:27" ht="92.5" customHeight="1" x14ac:dyDescent="0.35">
      <c r="A2" s="23" t="s">
        <v>42</v>
      </c>
      <c r="B2" s="23" t="s">
        <v>43</v>
      </c>
      <c r="C2" s="23" t="s">
        <v>44</v>
      </c>
      <c r="D2" s="99">
        <v>0</v>
      </c>
      <c r="E2" s="23" t="s">
        <v>99</v>
      </c>
      <c r="F2" s="99">
        <v>0</v>
      </c>
      <c r="G2" s="99">
        <v>0</v>
      </c>
      <c r="H2" s="26"/>
      <c r="I2" s="94" t="s">
        <v>92</v>
      </c>
      <c r="J2" s="23" t="s">
        <v>183</v>
      </c>
      <c r="K2" s="23" t="s">
        <v>157</v>
      </c>
      <c r="L2" s="23" t="s">
        <v>177</v>
      </c>
      <c r="M2" s="23" t="s">
        <v>185</v>
      </c>
      <c r="N2" s="23" t="s">
        <v>94</v>
      </c>
      <c r="O2" s="23" t="s">
        <v>184</v>
      </c>
      <c r="P2" s="23" t="s">
        <v>158</v>
      </c>
      <c r="Q2" s="23" t="s">
        <v>178</v>
      </c>
      <c r="R2" s="23" t="s">
        <v>186</v>
      </c>
      <c r="S2" s="28"/>
      <c r="T2" s="23" t="s">
        <v>111</v>
      </c>
      <c r="U2" s="23" t="s">
        <v>112</v>
      </c>
      <c r="V2" s="28"/>
      <c r="W2" s="23" t="s">
        <v>149</v>
      </c>
      <c r="X2" s="23" t="s">
        <v>150</v>
      </c>
      <c r="Y2" s="23" t="s">
        <v>151</v>
      </c>
    </row>
    <row r="3" spans="1:27" ht="29.15" customHeight="1" x14ac:dyDescent="0.35">
      <c r="A3" s="95" t="s">
        <v>63</v>
      </c>
      <c r="B3" s="95"/>
      <c r="C3" s="95"/>
      <c r="D3" s="42"/>
      <c r="E3" s="42"/>
      <c r="F3" s="43"/>
      <c r="G3" s="66" t="s">
        <v>98</v>
      </c>
      <c r="H3" s="43"/>
      <c r="I3" s="63">
        <v>-0.88183686440746012</v>
      </c>
      <c r="J3" s="63">
        <v>3.9265517186627132</v>
      </c>
      <c r="K3" s="63">
        <v>1.6186808743844248</v>
      </c>
      <c r="L3" s="63">
        <v>2.6358953465994195</v>
      </c>
      <c r="M3" s="63">
        <v>2.3044667455279488</v>
      </c>
      <c r="N3" s="63">
        <v>-0.97883336368547269</v>
      </c>
      <c r="O3" s="63">
        <v>3.8017393383196119</v>
      </c>
      <c r="P3" s="63">
        <v>1.3535887804354731</v>
      </c>
      <c r="Q3" s="63">
        <v>2.0761729524838466</v>
      </c>
      <c r="R3" s="63">
        <v>2.1817181870195856</v>
      </c>
      <c r="S3" s="43"/>
      <c r="T3" s="43"/>
      <c r="U3" s="43"/>
      <c r="V3" s="43"/>
      <c r="W3" s="43"/>
      <c r="X3" s="43"/>
      <c r="Y3" s="43"/>
    </row>
    <row r="4" spans="1:27" customFormat="1" ht="14.5" x14ac:dyDescent="0.35">
      <c r="A4" s="30" t="s">
        <v>36</v>
      </c>
      <c r="B4" s="30" t="s">
        <v>32</v>
      </c>
      <c r="C4" s="30" t="s">
        <v>64</v>
      </c>
      <c r="D4" s="62" t="s">
        <v>175</v>
      </c>
      <c r="E4" s="32">
        <v>10</v>
      </c>
      <c r="F4" s="31">
        <v>12.669153710000002</v>
      </c>
      <c r="G4" s="33">
        <v>1999</v>
      </c>
      <c r="H4" s="21"/>
      <c r="I4" s="34">
        <v>-1.3371788148925146</v>
      </c>
      <c r="J4" s="34">
        <v>3.6639118457300279</v>
      </c>
      <c r="K4" s="34">
        <v>0.91715135318048979</v>
      </c>
      <c r="L4" s="34">
        <v>2.3218394185727131</v>
      </c>
      <c r="M4" s="34">
        <v>1.9581875742070931</v>
      </c>
      <c r="N4" s="34">
        <v>-0.484181342130241</v>
      </c>
      <c r="O4" s="34">
        <v>4.2459717175193479</v>
      </c>
      <c r="P4" s="34">
        <v>1.2823855008921692</v>
      </c>
      <c r="Q4" s="34">
        <v>2.6238613227610008</v>
      </c>
      <c r="R4" s="34">
        <v>2.7850396761872842</v>
      </c>
      <c r="S4" s="22"/>
      <c r="T4" s="34">
        <v>6.2384453628818193</v>
      </c>
      <c r="U4" s="34">
        <v>6.8243988829087874</v>
      </c>
      <c r="V4" s="22"/>
      <c r="W4" s="34">
        <v>0.49</v>
      </c>
      <c r="X4" s="34">
        <v>0.7</v>
      </c>
      <c r="Y4" s="34" t="s">
        <v>91</v>
      </c>
      <c r="Z4" s="56"/>
      <c r="AA4" s="56"/>
    </row>
    <row r="5" spans="1:27" customFormat="1" ht="14.5" x14ac:dyDescent="0.35">
      <c r="A5" s="30" t="s">
        <v>160</v>
      </c>
      <c r="B5" s="30" t="s">
        <v>35</v>
      </c>
      <c r="C5" s="30" t="s">
        <v>130</v>
      </c>
      <c r="D5" s="62" t="s">
        <v>175</v>
      </c>
      <c r="E5" s="32">
        <v>10</v>
      </c>
      <c r="F5" s="31">
        <v>11.403159137199999</v>
      </c>
      <c r="G5" s="33">
        <v>1555</v>
      </c>
      <c r="H5" s="21"/>
      <c r="I5" s="34">
        <v>-0.40167507050679063</v>
      </c>
      <c r="J5" s="34">
        <v>4.8398704569989182</v>
      </c>
      <c r="K5" s="34">
        <v>2.9583796537889118</v>
      </c>
      <c r="L5" s="34">
        <v>2.8324663567790287</v>
      </c>
      <c r="M5" s="34">
        <v>2.4784402208329226</v>
      </c>
      <c r="N5" s="34">
        <v>-4.3318550456450389E-2</v>
      </c>
      <c r="O5" s="34">
        <v>4.9508765356514495</v>
      </c>
      <c r="P5" s="34">
        <v>2.5000405432071826</v>
      </c>
      <c r="Q5" s="34">
        <v>1.3934226717407849</v>
      </c>
      <c r="R5" s="34">
        <v>1.3406090110209989</v>
      </c>
      <c r="S5" s="22"/>
      <c r="T5" s="34">
        <v>4.8756157065222547</v>
      </c>
      <c r="U5" s="34">
        <v>5.1815711959922615</v>
      </c>
      <c r="V5" s="22"/>
      <c r="W5" s="34">
        <v>0.5</v>
      </c>
      <c r="X5" s="34">
        <v>0.56000000000000005</v>
      </c>
      <c r="Y5" s="34">
        <v>0.56000000000000005</v>
      </c>
      <c r="Z5" s="56"/>
      <c r="AA5" s="56"/>
    </row>
    <row r="6" spans="1:27" customFormat="1" ht="14.5" x14ac:dyDescent="0.35">
      <c r="A6" s="30" t="s">
        <v>88</v>
      </c>
      <c r="B6" s="30" t="s">
        <v>33</v>
      </c>
      <c r="C6" s="65" t="s">
        <v>65</v>
      </c>
      <c r="D6" s="62" t="s">
        <v>175</v>
      </c>
      <c r="E6" s="32">
        <v>18.5</v>
      </c>
      <c r="F6" s="31">
        <v>31.62081654</v>
      </c>
      <c r="G6" s="33">
        <v>4248</v>
      </c>
      <c r="H6" s="21"/>
      <c r="I6" s="34">
        <v>-1.032410933401029</v>
      </c>
      <c r="J6" s="34">
        <v>4.634517312337838</v>
      </c>
      <c r="K6" s="34">
        <v>1.7955342969000254</v>
      </c>
      <c r="L6" s="34">
        <v>2.8176221848900784</v>
      </c>
      <c r="M6" s="34">
        <v>2.5360210251654358</v>
      </c>
      <c r="N6" s="34">
        <v>-1.2703190308987033</v>
      </c>
      <c r="O6" s="34">
        <v>3.9599659715909175</v>
      </c>
      <c r="P6" s="34">
        <v>1.9907090366450664</v>
      </c>
      <c r="Q6" s="34">
        <v>3.0315382878482344</v>
      </c>
      <c r="R6" s="34">
        <v>3.1100334572108368</v>
      </c>
      <c r="S6" s="22"/>
      <c r="T6" s="34">
        <v>5.4781366167164736</v>
      </c>
      <c r="U6" s="34">
        <v>6.7618017258683629</v>
      </c>
      <c r="V6" s="22"/>
      <c r="W6" s="34">
        <v>0.5</v>
      </c>
      <c r="X6" s="34">
        <v>0.65</v>
      </c>
      <c r="Y6" s="34" t="s">
        <v>91</v>
      </c>
      <c r="Z6" s="56"/>
      <c r="AA6" s="56"/>
    </row>
    <row r="7" spans="1:27" customFormat="1" ht="14.5" x14ac:dyDescent="0.35">
      <c r="A7" s="30" t="s">
        <v>89</v>
      </c>
      <c r="B7" s="30" t="s">
        <v>31</v>
      </c>
      <c r="C7" s="30" t="s">
        <v>66</v>
      </c>
      <c r="D7" s="62" t="s">
        <v>175</v>
      </c>
      <c r="E7" s="32">
        <v>15</v>
      </c>
      <c r="F7" s="31">
        <v>47.312661820000002</v>
      </c>
      <c r="G7" s="33">
        <v>4756</v>
      </c>
      <c r="H7" s="21"/>
      <c r="I7" s="34">
        <v>-0.98590331228920469</v>
      </c>
      <c r="J7" s="34">
        <v>3.0513051305130601</v>
      </c>
      <c r="K7" s="34">
        <v>1.293414117461622</v>
      </c>
      <c r="L7" s="34">
        <v>2.5451299601080279</v>
      </c>
      <c r="M7" s="34">
        <v>2.1879574624770637</v>
      </c>
      <c r="N7" s="34">
        <v>-1.5144918410305297</v>
      </c>
      <c r="O7" s="34">
        <v>3.0544798724366329</v>
      </c>
      <c r="P7" s="34">
        <v>0.42477736016639511</v>
      </c>
      <c r="Q7" s="34">
        <v>1.1442001969308002</v>
      </c>
      <c r="R7" s="34">
        <v>1.4595707342173858</v>
      </c>
      <c r="S7" s="22"/>
      <c r="T7" s="34">
        <v>4.9372639448289863</v>
      </c>
      <c r="U7" s="34">
        <v>7.6641386276037951</v>
      </c>
      <c r="V7" s="22"/>
      <c r="W7" s="34">
        <v>0.41000000000000003</v>
      </c>
      <c r="X7" s="34" t="s">
        <v>91</v>
      </c>
      <c r="Y7" s="34">
        <v>0.43020000000000003</v>
      </c>
      <c r="Z7" s="56"/>
      <c r="AA7" s="56"/>
    </row>
    <row r="8" spans="1:27" customFormat="1" ht="14.5" x14ac:dyDescent="0.35">
      <c r="A8" s="30" t="s">
        <v>116</v>
      </c>
      <c r="B8" s="30" t="s">
        <v>34</v>
      </c>
      <c r="C8" s="30" t="s">
        <v>123</v>
      </c>
      <c r="D8" s="62" t="s">
        <v>175</v>
      </c>
      <c r="E8" s="32">
        <v>15</v>
      </c>
      <c r="F8" s="31">
        <v>25.711254309999998</v>
      </c>
      <c r="G8" s="33">
        <v>3777</v>
      </c>
      <c r="H8" s="21"/>
      <c r="I8" s="34">
        <v>-0.49978457561395961</v>
      </c>
      <c r="J8" s="34">
        <v>4.3938161106590767</v>
      </c>
      <c r="K8" s="34">
        <v>1.7512287991734432</v>
      </c>
      <c r="L8" s="34">
        <v>2.646991395569831</v>
      </c>
      <c r="M8" s="34">
        <v>2.3273628020294534</v>
      </c>
      <c r="N8" s="34">
        <v>-0.30056837866299091</v>
      </c>
      <c r="O8" s="34">
        <v>4.2509406283289586</v>
      </c>
      <c r="P8" s="34">
        <v>1.8058106419291065</v>
      </c>
      <c r="Q8" s="34">
        <v>2.649129899163527</v>
      </c>
      <c r="R8" s="34">
        <v>2.4392866457126683</v>
      </c>
      <c r="S8" s="22"/>
      <c r="T8" s="34">
        <v>4.1207723229471744</v>
      </c>
      <c r="U8" s="34">
        <v>4.1438109305844382</v>
      </c>
      <c r="V8" s="22"/>
      <c r="W8" s="34">
        <v>0.5</v>
      </c>
      <c r="X8" s="34">
        <v>0.7</v>
      </c>
      <c r="Y8" s="34" t="s">
        <v>91</v>
      </c>
      <c r="Z8" s="56"/>
      <c r="AA8" s="56"/>
    </row>
    <row r="9" spans="1:27" customFormat="1" ht="14.5" x14ac:dyDescent="0.35">
      <c r="A9" s="30" t="s">
        <v>131</v>
      </c>
      <c r="B9" s="30" t="s">
        <v>138</v>
      </c>
      <c r="C9" s="30" t="s">
        <v>140</v>
      </c>
      <c r="D9" s="62" t="s">
        <v>176</v>
      </c>
      <c r="E9" s="32">
        <v>0</v>
      </c>
      <c r="F9" s="31">
        <v>0.1163497142</v>
      </c>
      <c r="G9" s="33">
        <v>18</v>
      </c>
      <c r="H9" s="21"/>
      <c r="I9" s="34">
        <v>0.45317220543807935</v>
      </c>
      <c r="J9" s="34">
        <v>3.2608695652174058</v>
      </c>
      <c r="K9" s="34" t="s">
        <v>161</v>
      </c>
      <c r="L9" s="34" t="s">
        <v>161</v>
      </c>
      <c r="M9" s="34">
        <v>2.3470917276105396</v>
      </c>
      <c r="N9" s="34">
        <v>0.62626634739362252</v>
      </c>
      <c r="O9" s="34">
        <v>4.4051600573339789</v>
      </c>
      <c r="P9" s="34" t="s">
        <v>161</v>
      </c>
      <c r="Q9" s="34" t="s">
        <v>161</v>
      </c>
      <c r="R9" s="34">
        <v>3.3673878616051089</v>
      </c>
      <c r="S9" s="22"/>
      <c r="T9" s="34" t="s">
        <v>161</v>
      </c>
      <c r="U9" s="34" t="s">
        <v>161</v>
      </c>
      <c r="V9" s="22"/>
      <c r="W9" s="34">
        <v>0.44850000000000001</v>
      </c>
      <c r="X9" s="34">
        <v>0.59950000000000003</v>
      </c>
      <c r="Y9" s="34" t="s">
        <v>91</v>
      </c>
      <c r="Z9" s="56"/>
      <c r="AA9" s="56"/>
    </row>
    <row r="10" spans="1:27" x14ac:dyDescent="0.35">
      <c r="A10" s="16"/>
      <c r="B10" s="16"/>
      <c r="C10" s="16"/>
      <c r="D10" s="16"/>
      <c r="E10" s="16"/>
      <c r="F10" s="16"/>
      <c r="G10" s="16"/>
      <c r="H10" s="16"/>
      <c r="I10" s="16"/>
      <c r="J10" s="16"/>
      <c r="K10" s="16"/>
      <c r="L10" s="16"/>
      <c r="M10" s="16"/>
      <c r="N10" s="16"/>
      <c r="O10" s="16"/>
      <c r="P10" s="16"/>
      <c r="Q10" s="16"/>
      <c r="R10" s="16"/>
      <c r="S10" s="16"/>
      <c r="T10" s="16"/>
      <c r="U10" s="16"/>
      <c r="V10" s="16"/>
    </row>
    <row r="11" spans="1:27" s="53" customFormat="1" ht="13.5" x14ac:dyDescent="0.3">
      <c r="A11" s="51" t="s">
        <v>179</v>
      </c>
      <c r="B11" s="47"/>
      <c r="C11" s="47"/>
      <c r="D11" s="52"/>
      <c r="E11" s="52"/>
      <c r="F11" s="52"/>
      <c r="G11" s="52"/>
      <c r="H11" s="52"/>
      <c r="I11" s="52"/>
      <c r="J11" s="52"/>
      <c r="K11" s="52"/>
      <c r="L11" s="52"/>
      <c r="M11" s="52"/>
      <c r="N11" s="52"/>
      <c r="O11" s="52"/>
      <c r="P11" s="52"/>
      <c r="Q11" s="52"/>
      <c r="R11" s="52"/>
    </row>
    <row r="12" spans="1:27" s="53" customFormat="1" ht="13.5" x14ac:dyDescent="0.3">
      <c r="A12" s="47" t="s">
        <v>93</v>
      </c>
      <c r="B12" s="51"/>
      <c r="C12" s="51"/>
    </row>
    <row r="13" spans="1:27" s="53" customFormat="1" ht="13.5" x14ac:dyDescent="0.3">
      <c r="A13" s="51" t="s">
        <v>95</v>
      </c>
      <c r="B13" s="51"/>
      <c r="C13" s="51"/>
    </row>
    <row r="14" spans="1:27" s="53" customFormat="1" ht="13.5" x14ac:dyDescent="0.3">
      <c r="A14" s="51" t="s">
        <v>96</v>
      </c>
      <c r="B14" s="51"/>
      <c r="C14" s="51"/>
    </row>
    <row r="15" spans="1:27" s="53" customFormat="1" ht="13.5" x14ac:dyDescent="0.3">
      <c r="A15" s="51" t="s">
        <v>180</v>
      </c>
      <c r="B15" s="52"/>
      <c r="C15" s="52"/>
    </row>
    <row r="16" spans="1:27" s="53" customFormat="1" ht="13.5" x14ac:dyDescent="0.3">
      <c r="A16" s="54" t="s">
        <v>115</v>
      </c>
      <c r="B16" s="52"/>
      <c r="C16" s="52"/>
    </row>
    <row r="17" spans="1:4" s="53" customFormat="1" ht="13.5" x14ac:dyDescent="0.3">
      <c r="A17" s="54" t="s">
        <v>101</v>
      </c>
    </row>
    <row r="18" spans="1:4" s="53" customFormat="1" ht="13.5" x14ac:dyDescent="0.3">
      <c r="A18" s="54" t="s">
        <v>181</v>
      </c>
    </row>
    <row r="19" spans="1:4" s="53" customFormat="1" ht="13.5" x14ac:dyDescent="0.3">
      <c r="A19" s="54" t="s">
        <v>152</v>
      </c>
    </row>
    <row r="20" spans="1:4" s="53" customFormat="1" ht="13.5" x14ac:dyDescent="0.3">
      <c r="A20" s="54" t="s">
        <v>153</v>
      </c>
    </row>
    <row r="21" spans="1:4" s="53" customFormat="1" ht="13.5" x14ac:dyDescent="0.3">
      <c r="A21" s="54" t="s">
        <v>156</v>
      </c>
    </row>
    <row r="22" spans="1:4" s="53" customFormat="1" ht="13.5" x14ac:dyDescent="0.3">
      <c r="A22" s="54" t="s">
        <v>155</v>
      </c>
    </row>
    <row r="23" spans="1:4" s="53" customFormat="1" ht="13.5" x14ac:dyDescent="0.3">
      <c r="A23" s="84" t="s">
        <v>187</v>
      </c>
    </row>
    <row r="24" spans="1:4" x14ac:dyDescent="0.35">
      <c r="A24" s="54"/>
    </row>
    <row r="25" spans="1:4" x14ac:dyDescent="0.35">
      <c r="A25" s="35" t="s">
        <v>113</v>
      </c>
      <c r="B25" s="35"/>
      <c r="C25" s="35"/>
      <c r="D25" s="35"/>
    </row>
    <row r="26" spans="1:4" s="53" customFormat="1" ht="13.5" x14ac:dyDescent="0.3">
      <c r="A26" s="51" t="s">
        <v>83</v>
      </c>
      <c r="B26" s="52"/>
      <c r="C26" s="52"/>
    </row>
    <row r="27" spans="1:4" s="53" customFormat="1" ht="13.5" x14ac:dyDescent="0.3">
      <c r="A27" s="51" t="s">
        <v>84</v>
      </c>
      <c r="B27" s="52"/>
      <c r="C27" s="52"/>
    </row>
    <row r="28" spans="1:4" x14ac:dyDescent="0.35">
      <c r="A28" s="17"/>
      <c r="B28" s="17"/>
      <c r="C28" s="17"/>
    </row>
    <row r="35" spans="1:3" x14ac:dyDescent="0.35">
      <c r="A35" s="35" t="s">
        <v>0</v>
      </c>
      <c r="B35" s="35" t="s">
        <v>73</v>
      </c>
      <c r="C35" s="35" t="s">
        <v>72</v>
      </c>
    </row>
    <row r="36" spans="1:3" x14ac:dyDescent="0.35">
      <c r="A36" s="30" t="s">
        <v>32</v>
      </c>
      <c r="B36" s="31">
        <v>6.2384453628818193</v>
      </c>
      <c r="C36" s="31">
        <v>0.91715135318048979</v>
      </c>
    </row>
    <row r="37" spans="1:3" x14ac:dyDescent="0.35">
      <c r="A37" s="30" t="s">
        <v>35</v>
      </c>
      <c r="B37" s="31">
        <v>4.8756157065222547</v>
      </c>
      <c r="C37" s="31">
        <v>2.9583796537889118</v>
      </c>
    </row>
    <row r="38" spans="1:3" x14ac:dyDescent="0.35">
      <c r="A38" s="30" t="s">
        <v>33</v>
      </c>
      <c r="B38" s="31">
        <v>5.4781366167164736</v>
      </c>
      <c r="C38" s="31">
        <v>1.7955342969000254</v>
      </c>
    </row>
    <row r="39" spans="1:3" x14ac:dyDescent="0.35">
      <c r="A39" s="30" t="s">
        <v>31</v>
      </c>
      <c r="B39" s="31">
        <v>4.9372639448289863</v>
      </c>
      <c r="C39" s="31">
        <v>1.293414117461622</v>
      </c>
    </row>
    <row r="40" spans="1:3" x14ac:dyDescent="0.35">
      <c r="A40" s="30" t="s">
        <v>34</v>
      </c>
      <c r="B40" s="31">
        <v>4.1207723229471744</v>
      </c>
      <c r="C40" s="31">
        <v>1.7512287991734432</v>
      </c>
    </row>
    <row r="57" spans="1:5" x14ac:dyDescent="0.35">
      <c r="A57" s="35" t="s">
        <v>114</v>
      </c>
      <c r="B57" s="35"/>
      <c r="C57" s="35"/>
      <c r="D57" s="35"/>
      <c r="E57" s="35"/>
    </row>
    <row r="58" spans="1:5" s="53" customFormat="1" ht="13.5" x14ac:dyDescent="0.3">
      <c r="A58" s="51" t="s">
        <v>85</v>
      </c>
      <c r="B58" s="52"/>
      <c r="C58" s="52"/>
    </row>
    <row r="59" spans="1:5" s="53" customFormat="1" ht="13.5" x14ac:dyDescent="0.3">
      <c r="A59" s="51" t="s">
        <v>86</v>
      </c>
      <c r="B59" s="52"/>
      <c r="C59" s="52"/>
    </row>
    <row r="60" spans="1:5" s="53" customFormat="1" ht="13.5" x14ac:dyDescent="0.3">
      <c r="A60" s="51" t="s">
        <v>87</v>
      </c>
      <c r="B60" s="52"/>
      <c r="C60" s="52"/>
    </row>
    <row r="65" spans="1:4" x14ac:dyDescent="0.35">
      <c r="A65" s="35" t="s">
        <v>0</v>
      </c>
      <c r="B65" s="35" t="s">
        <v>77</v>
      </c>
      <c r="C65" s="35" t="s">
        <v>78</v>
      </c>
      <c r="D65" s="35" t="s">
        <v>79</v>
      </c>
    </row>
    <row r="66" spans="1:4" x14ac:dyDescent="0.35">
      <c r="A66" s="30" t="s">
        <v>32</v>
      </c>
      <c r="B66" s="31">
        <v>1.9990000000000001</v>
      </c>
      <c r="C66" s="31">
        <v>0.91715135318048979</v>
      </c>
      <c r="D66" s="31">
        <v>12.669153710000002</v>
      </c>
    </row>
    <row r="67" spans="1:4" x14ac:dyDescent="0.35">
      <c r="A67" s="30" t="s">
        <v>35</v>
      </c>
      <c r="B67" s="31">
        <v>1.5549999999999999</v>
      </c>
      <c r="C67" s="31">
        <v>2.9583796537889118</v>
      </c>
      <c r="D67" s="31">
        <v>11.403159137199999</v>
      </c>
    </row>
    <row r="68" spans="1:4" x14ac:dyDescent="0.35">
      <c r="A68" s="30" t="s">
        <v>33</v>
      </c>
      <c r="B68" s="31">
        <v>4.2480000000000002</v>
      </c>
      <c r="C68" s="31">
        <v>1.7955342969000254</v>
      </c>
      <c r="D68" s="31">
        <v>31.62081654</v>
      </c>
    </row>
    <row r="69" spans="1:4" x14ac:dyDescent="0.35">
      <c r="A69" s="30" t="s">
        <v>31</v>
      </c>
      <c r="B69" s="31">
        <v>4.7560000000000002</v>
      </c>
      <c r="C69" s="31">
        <v>1.293414117461622</v>
      </c>
      <c r="D69" s="31">
        <v>47.312661820000002</v>
      </c>
    </row>
    <row r="70" spans="1:4" x14ac:dyDescent="0.35">
      <c r="A70" s="30" t="s">
        <v>34</v>
      </c>
      <c r="B70" s="31">
        <v>3.7770000000000001</v>
      </c>
      <c r="C70" s="31">
        <v>1.7512287991734432</v>
      </c>
      <c r="D70" s="31">
        <v>25.711254309999998</v>
      </c>
    </row>
  </sheetData>
  <mergeCells count="7">
    <mergeCell ref="W1:Y1"/>
    <mergeCell ref="T1:U1"/>
    <mergeCell ref="A3:C3"/>
    <mergeCell ref="D1:D2"/>
    <mergeCell ref="F1:F2"/>
    <mergeCell ref="G1:G2"/>
    <mergeCell ref="I1:P1"/>
  </mergeCells>
  <conditionalFormatting sqref="I3:R9">
    <cfRule type="cellIs" dxfId="11" priority="5" operator="greaterThanOrEqual">
      <formula>0</formula>
    </cfRule>
    <cfRule type="cellIs" dxfId="10" priority="6" operator="lessThan">
      <formula>0</formula>
    </cfRule>
  </conditionalFormatting>
  <conditionalFormatting sqref="T4:U9">
    <cfRule type="cellIs" dxfId="9" priority="3" operator="greaterThanOrEqual">
      <formula>0</formula>
    </cfRule>
    <cfRule type="cellIs" dxfId="8" priority="4" operator="lessThan">
      <formula>0</formula>
    </cfRule>
  </conditionalFormatting>
  <conditionalFormatting sqref="W4:Y9">
    <cfRule type="cellIs" dxfId="7" priority="1" operator="greaterThanOrEqual">
      <formula>0</formula>
    </cfRule>
    <cfRule type="cellIs" dxfId="6" priority="2" operator="lessThan">
      <formula>0</formula>
    </cfRule>
  </conditionalFormatting>
  <hyperlinks>
    <hyperlink ref="C1" location="GCF_2024!A1" display="GCF_2024!A1" xr:uid="{1D61AD6F-494E-4DB4-9C6E-0CDD5F7BC5D3}"/>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70"/>
  <sheetViews>
    <sheetView showGridLines="0" zoomScale="50" zoomScaleNormal="50" workbookViewId="0"/>
  </sheetViews>
  <sheetFormatPr defaultColWidth="8.81640625" defaultRowHeight="15.5" x14ac:dyDescent="0.35"/>
  <cols>
    <col min="1" max="1" width="43.54296875" style="15" customWidth="1"/>
    <col min="2" max="2" width="14.81640625" style="15" bestFit="1" customWidth="1"/>
    <col min="3" max="3" width="50" style="15" customWidth="1"/>
    <col min="4" max="4" width="16" style="15" customWidth="1"/>
    <col min="5" max="5" width="16.1796875" style="15" bestFit="1" customWidth="1"/>
    <col min="6" max="6" width="19.453125" style="15" customWidth="1"/>
    <col min="7" max="7" width="12.453125" style="15" customWidth="1"/>
    <col min="8" max="8" width="3.453125" style="15" customWidth="1"/>
    <col min="9" max="10" width="17.54296875" style="15" customWidth="1"/>
    <col min="11" max="11" width="18.1796875" style="15" customWidth="1"/>
    <col min="12" max="13" width="17.81640625" style="15" customWidth="1"/>
    <col min="14" max="14" width="15.90625" style="15" customWidth="1"/>
    <col min="15" max="15" width="16.6328125" style="15" customWidth="1"/>
    <col min="16" max="16" width="18.1796875" style="15" customWidth="1"/>
    <col min="17" max="18" width="18.54296875" style="15" customWidth="1"/>
    <col min="19" max="19" width="3.453125" style="15" customWidth="1"/>
    <col min="20" max="20" width="17.54296875" style="15" customWidth="1"/>
    <col min="21" max="21" width="17.1796875" style="15" customWidth="1"/>
    <col min="22" max="22" width="3.453125" style="15" customWidth="1"/>
    <col min="23" max="23" width="11" style="15" customWidth="1"/>
    <col min="24" max="24" width="11.1796875" style="15" customWidth="1"/>
    <col min="25" max="25" width="12.453125" style="15" customWidth="1"/>
    <col min="26" max="16384" width="8.81640625" style="15"/>
  </cols>
  <sheetData>
    <row r="1" spans="1:25" ht="22.4" customHeight="1" x14ac:dyDescent="0.35">
      <c r="A1" s="92">
        <v>45747</v>
      </c>
      <c r="B1" s="24"/>
      <c r="C1" s="86" t="s">
        <v>76</v>
      </c>
      <c r="D1" s="98" t="s">
        <v>90</v>
      </c>
      <c r="E1" s="29" t="s">
        <v>75</v>
      </c>
      <c r="F1" s="98" t="s">
        <v>100</v>
      </c>
      <c r="G1" s="98" t="s">
        <v>71</v>
      </c>
      <c r="H1" s="26"/>
      <c r="I1" s="96" t="s">
        <v>72</v>
      </c>
      <c r="J1" s="102"/>
      <c r="K1" s="102">
        <v>0</v>
      </c>
      <c r="L1" s="102"/>
      <c r="M1" s="102"/>
      <c r="N1" s="102">
        <v>0</v>
      </c>
      <c r="O1" s="102"/>
      <c r="P1" s="102">
        <v>0</v>
      </c>
      <c r="Q1" s="83"/>
      <c r="R1" s="91"/>
      <c r="S1" s="27"/>
      <c r="T1" s="100" t="s">
        <v>97</v>
      </c>
      <c r="U1" s="101">
        <v>0</v>
      </c>
      <c r="V1" s="27"/>
      <c r="W1" s="96" t="s">
        <v>188</v>
      </c>
      <c r="X1" s="102">
        <v>0</v>
      </c>
      <c r="Y1" s="102">
        <v>0</v>
      </c>
    </row>
    <row r="2" spans="1:25" ht="92.5" customHeight="1" x14ac:dyDescent="0.35">
      <c r="A2" s="23" t="s">
        <v>42</v>
      </c>
      <c r="B2" s="23" t="s">
        <v>43</v>
      </c>
      <c r="C2" s="23" t="s">
        <v>44</v>
      </c>
      <c r="D2" s="99">
        <v>0</v>
      </c>
      <c r="E2" s="23" t="s">
        <v>99</v>
      </c>
      <c r="F2" s="99">
        <v>0</v>
      </c>
      <c r="G2" s="99">
        <v>0</v>
      </c>
      <c r="H2" s="26"/>
      <c r="I2" s="94" t="s">
        <v>92</v>
      </c>
      <c r="J2" s="23" t="s">
        <v>183</v>
      </c>
      <c r="K2" s="23" t="s">
        <v>157</v>
      </c>
      <c r="L2" s="23" t="s">
        <v>177</v>
      </c>
      <c r="M2" s="23" t="s">
        <v>185</v>
      </c>
      <c r="N2" s="23" t="s">
        <v>94</v>
      </c>
      <c r="O2" s="23" t="s">
        <v>184</v>
      </c>
      <c r="P2" s="23" t="s">
        <v>158</v>
      </c>
      <c r="Q2" s="23" t="s">
        <v>178</v>
      </c>
      <c r="R2" s="23" t="s">
        <v>186</v>
      </c>
      <c r="S2" s="28"/>
      <c r="T2" s="23" t="s">
        <v>111</v>
      </c>
      <c r="U2" s="23" t="s">
        <v>112</v>
      </c>
      <c r="V2" s="28"/>
      <c r="W2" s="23" t="s">
        <v>149</v>
      </c>
      <c r="X2" s="23" t="s">
        <v>150</v>
      </c>
      <c r="Y2" s="23" t="s">
        <v>151</v>
      </c>
    </row>
    <row r="3" spans="1:25" ht="29.15" customHeight="1" x14ac:dyDescent="0.35">
      <c r="A3" s="95" t="s">
        <v>67</v>
      </c>
      <c r="B3" s="95"/>
      <c r="C3" s="95"/>
      <c r="D3" s="42"/>
      <c r="E3" s="42"/>
      <c r="F3" s="43"/>
      <c r="G3" s="66" t="s">
        <v>98</v>
      </c>
      <c r="H3" s="43"/>
      <c r="I3" s="63">
        <v>-1.186427772364377</v>
      </c>
      <c r="J3" s="63">
        <v>3.6635906930099327</v>
      </c>
      <c r="K3" s="63">
        <v>1.5715389961461321</v>
      </c>
      <c r="L3" s="63">
        <v>2.2414755360710865</v>
      </c>
      <c r="M3" s="63">
        <v>1.9167180779195485</v>
      </c>
      <c r="N3" s="63">
        <v>-0.92829704414640213</v>
      </c>
      <c r="O3" s="63">
        <v>3.5158767429428086</v>
      </c>
      <c r="P3" s="63">
        <v>1.0331922024757385</v>
      </c>
      <c r="Q3" s="63">
        <v>1.5331734869194984</v>
      </c>
      <c r="R3" s="63">
        <v>1.5155712059130317</v>
      </c>
      <c r="S3" s="43"/>
      <c r="T3" s="43"/>
      <c r="U3" s="43"/>
      <c r="V3" s="43"/>
      <c r="W3" s="43"/>
      <c r="X3" s="43"/>
      <c r="Y3" s="43"/>
    </row>
    <row r="4" spans="1:25" customFormat="1" ht="14.5" x14ac:dyDescent="0.35">
      <c r="A4" s="30" t="s">
        <v>36</v>
      </c>
      <c r="B4" s="30" t="s">
        <v>40</v>
      </c>
      <c r="C4" s="30" t="s">
        <v>110</v>
      </c>
      <c r="D4" s="62" t="s">
        <v>175</v>
      </c>
      <c r="E4" s="32">
        <v>10</v>
      </c>
      <c r="F4" s="31">
        <v>12.76470426</v>
      </c>
      <c r="G4" s="33">
        <v>2926</v>
      </c>
      <c r="H4" s="21"/>
      <c r="I4" s="34">
        <v>-1.7558150058828881</v>
      </c>
      <c r="J4" s="34">
        <v>2.9007488861503505</v>
      </c>
      <c r="K4" s="34">
        <v>0.78286565656320306</v>
      </c>
      <c r="L4" s="34">
        <v>1.4161291882218485</v>
      </c>
      <c r="M4" s="34">
        <v>1.3208673394511594</v>
      </c>
      <c r="N4" s="34">
        <v>-4.3693510848930028E-2</v>
      </c>
      <c r="O4" s="34">
        <v>4.4660778710732263</v>
      </c>
      <c r="P4" s="34">
        <v>1.6638791052045576</v>
      </c>
      <c r="Q4" s="34">
        <v>1.9850132435070833</v>
      </c>
      <c r="R4" s="34">
        <v>1.9425942136139129</v>
      </c>
      <c r="S4" s="22"/>
      <c r="T4" s="34">
        <v>4.775021581919094</v>
      </c>
      <c r="U4" s="34">
        <v>4.9309465566348951</v>
      </c>
      <c r="V4" s="22"/>
      <c r="W4" s="34">
        <v>0.19</v>
      </c>
      <c r="X4" s="34">
        <v>0.34</v>
      </c>
      <c r="Y4" s="34" t="s">
        <v>91</v>
      </c>
    </row>
    <row r="5" spans="1:25" customFormat="1" ht="14.5" x14ac:dyDescent="0.35">
      <c r="A5" s="30" t="s">
        <v>160</v>
      </c>
      <c r="B5" s="30" t="s">
        <v>38</v>
      </c>
      <c r="C5" s="30" t="s">
        <v>68</v>
      </c>
      <c r="D5" s="62" t="s">
        <v>175</v>
      </c>
      <c r="E5" s="32">
        <v>17</v>
      </c>
      <c r="F5" s="31">
        <v>14.859260254599999</v>
      </c>
      <c r="G5" s="33">
        <v>2534</v>
      </c>
      <c r="H5" s="21"/>
      <c r="I5" s="34">
        <v>0.42684968195512152</v>
      </c>
      <c r="J5" s="34">
        <v>5.550668543279369</v>
      </c>
      <c r="K5" s="34">
        <v>2.513079494257342</v>
      </c>
      <c r="L5" s="34">
        <v>3.3040842740445164</v>
      </c>
      <c r="M5" s="34">
        <v>2.9577508447597989</v>
      </c>
      <c r="N5" s="34">
        <v>0.80518518833758712</v>
      </c>
      <c r="O5" s="34">
        <v>5.8224719683411363</v>
      </c>
      <c r="P5" s="34">
        <v>2.4077448578070149</v>
      </c>
      <c r="Q5" s="34">
        <v>3.2524510575539178</v>
      </c>
      <c r="R5" s="34">
        <v>2.7430971118451053</v>
      </c>
      <c r="S5" s="22"/>
      <c r="T5" s="34">
        <v>4.3221172930220186</v>
      </c>
      <c r="U5" s="34">
        <v>4.2952746492662843</v>
      </c>
      <c r="V5" s="22"/>
      <c r="W5" s="34">
        <v>0.2</v>
      </c>
      <c r="X5" s="34">
        <v>0.28000000000000003</v>
      </c>
      <c r="Y5" s="34">
        <v>0.28000000000000003</v>
      </c>
    </row>
    <row r="6" spans="1:25" customFormat="1" ht="14.5" x14ac:dyDescent="0.35">
      <c r="A6" s="30" t="s">
        <v>88</v>
      </c>
      <c r="B6" s="30" t="s">
        <v>37</v>
      </c>
      <c r="C6" s="30" t="s">
        <v>69</v>
      </c>
      <c r="D6" s="62" t="s">
        <v>175</v>
      </c>
      <c r="E6" s="32">
        <v>15</v>
      </c>
      <c r="F6" s="31">
        <v>59.402129459999998</v>
      </c>
      <c r="G6" s="33">
        <v>7452</v>
      </c>
      <c r="H6" s="21"/>
      <c r="I6" s="34">
        <v>-1.0718954248365997</v>
      </c>
      <c r="J6" s="34">
        <v>3.8989566172432655</v>
      </c>
      <c r="K6" s="34">
        <v>1.4909964406491394</v>
      </c>
      <c r="L6" s="34">
        <v>2.4847115434693867</v>
      </c>
      <c r="M6" s="34">
        <v>2.0489839881122407</v>
      </c>
      <c r="N6" s="34">
        <v>-1.3758590308370011</v>
      </c>
      <c r="O6" s="34">
        <v>2.946156201918626</v>
      </c>
      <c r="P6" s="34">
        <v>1.0669620482496311</v>
      </c>
      <c r="Q6" s="34">
        <v>2.046292759009094</v>
      </c>
      <c r="R6" s="34">
        <v>1.8202313805141257</v>
      </c>
      <c r="S6" s="22"/>
      <c r="T6" s="34">
        <v>7.397415754007981</v>
      </c>
      <c r="U6" s="34">
        <v>6.2820449034157884</v>
      </c>
      <c r="V6" s="22"/>
      <c r="W6" s="34">
        <v>0.2</v>
      </c>
      <c r="X6" s="34">
        <v>0.32</v>
      </c>
      <c r="Y6" s="34" t="s">
        <v>91</v>
      </c>
    </row>
    <row r="7" spans="1:25" customFormat="1" ht="14.5" x14ac:dyDescent="0.35">
      <c r="A7" s="30" t="s">
        <v>89</v>
      </c>
      <c r="B7" s="30" t="s">
        <v>39</v>
      </c>
      <c r="C7" s="30" t="s">
        <v>70</v>
      </c>
      <c r="D7" s="62" t="s">
        <v>175</v>
      </c>
      <c r="E7" s="32">
        <v>15</v>
      </c>
      <c r="F7" s="31">
        <v>73.275591800000001</v>
      </c>
      <c r="G7" s="33">
        <v>8389</v>
      </c>
      <c r="H7" s="21"/>
      <c r="I7" s="34">
        <v>-1.8366109330330116</v>
      </c>
      <c r="J7" s="34">
        <v>2.990365388111238</v>
      </c>
      <c r="K7" s="34">
        <v>1.8332268798594953</v>
      </c>
      <c r="L7" s="34">
        <v>2.4896720830482666</v>
      </c>
      <c r="M7" s="34">
        <v>2.0187656537327126</v>
      </c>
      <c r="N7" s="34">
        <v>-1.5144450935332898</v>
      </c>
      <c r="O7" s="34">
        <v>3.054576658487318</v>
      </c>
      <c r="P7" s="34">
        <v>0.42478539650123714</v>
      </c>
      <c r="Q7" s="34">
        <v>0.68068177025002452</v>
      </c>
      <c r="R7" s="34">
        <v>1.0706133626020575</v>
      </c>
      <c r="S7" s="22"/>
      <c r="T7" s="34">
        <v>5.3729555648848066</v>
      </c>
      <c r="U7" s="34">
        <v>7.6641388553094947</v>
      </c>
      <c r="V7" s="22"/>
      <c r="W7" s="34">
        <v>0.2</v>
      </c>
      <c r="X7" s="34" t="s">
        <v>91</v>
      </c>
      <c r="Y7" s="34">
        <v>0.2208</v>
      </c>
    </row>
    <row r="8" spans="1:25" customFormat="1" ht="14.5" x14ac:dyDescent="0.35">
      <c r="A8" s="30" t="s">
        <v>116</v>
      </c>
      <c r="B8" s="30" t="s">
        <v>41</v>
      </c>
      <c r="C8" s="65" t="s">
        <v>148</v>
      </c>
      <c r="D8" s="62" t="s">
        <v>175</v>
      </c>
      <c r="E8" s="32">
        <v>10</v>
      </c>
      <c r="F8" s="31">
        <v>34.472431630000003</v>
      </c>
      <c r="G8" s="33">
        <v>7134</v>
      </c>
      <c r="H8" s="21"/>
      <c r="I8" s="34">
        <v>-0.5160814671458902</v>
      </c>
      <c r="J8" s="34">
        <v>4.1586260131223352</v>
      </c>
      <c r="K8" s="34">
        <v>1.0402637789510116</v>
      </c>
      <c r="L8" s="34">
        <v>1.1423432261154609</v>
      </c>
      <c r="M8" s="34">
        <v>1.231081451204985</v>
      </c>
      <c r="N8" s="34">
        <v>-1.2044509093611655E-2</v>
      </c>
      <c r="O8" s="34">
        <v>4.1213411122034804</v>
      </c>
      <c r="P8" s="34">
        <v>1.4422147144515396</v>
      </c>
      <c r="Q8" s="34">
        <v>1.5526575744933435</v>
      </c>
      <c r="R8" s="34">
        <v>1.2265811621569034</v>
      </c>
      <c r="S8" s="22"/>
      <c r="T8" s="34">
        <v>3.8317274205083809</v>
      </c>
      <c r="U8" s="34">
        <v>3.7034635359524164</v>
      </c>
      <c r="V8" s="22"/>
      <c r="W8" s="34">
        <v>0.2</v>
      </c>
      <c r="X8" s="34">
        <v>0.37</v>
      </c>
      <c r="Y8" s="34" t="s">
        <v>91</v>
      </c>
    </row>
    <row r="9" spans="1:25" customFormat="1" ht="14.5" x14ac:dyDescent="0.35">
      <c r="A9" s="30" t="s">
        <v>131</v>
      </c>
      <c r="B9" s="30" t="s">
        <v>139</v>
      </c>
      <c r="C9" s="65" t="s">
        <v>147</v>
      </c>
      <c r="D9" s="62" t="s">
        <v>176</v>
      </c>
      <c r="E9" s="32">
        <v>0</v>
      </c>
      <c r="F9" s="31">
        <v>0.58699663820000003</v>
      </c>
      <c r="G9" s="33">
        <v>45</v>
      </c>
      <c r="H9" s="21"/>
      <c r="I9" s="34">
        <v>0.56242969628796935</v>
      </c>
      <c r="J9" s="34">
        <v>3.6321483771251994</v>
      </c>
      <c r="K9" s="34" t="s">
        <v>161</v>
      </c>
      <c r="L9" s="34" t="s">
        <v>161</v>
      </c>
      <c r="M9" s="34">
        <v>2.662838451819316</v>
      </c>
      <c r="N9" s="34">
        <v>0.60673947540372808</v>
      </c>
      <c r="O9" s="34">
        <v>4.1453280510194368</v>
      </c>
      <c r="P9" s="34" t="s">
        <v>161</v>
      </c>
      <c r="Q9" s="34" t="s">
        <v>161</v>
      </c>
      <c r="R9" s="34">
        <v>2.841518111158936</v>
      </c>
      <c r="S9" s="22"/>
      <c r="T9" s="34" t="s">
        <v>161</v>
      </c>
      <c r="U9" s="34" t="s">
        <v>161</v>
      </c>
      <c r="V9" s="22"/>
      <c r="W9" s="34">
        <v>0.17929999999999999</v>
      </c>
      <c r="X9" s="34">
        <v>0.33169999999999999</v>
      </c>
      <c r="Y9" s="34" t="s">
        <v>91</v>
      </c>
    </row>
    <row r="10" spans="1:25" x14ac:dyDescent="0.35">
      <c r="A10" s="16"/>
      <c r="B10" s="16"/>
      <c r="C10" s="16"/>
      <c r="D10" s="16"/>
      <c r="E10" s="16"/>
      <c r="F10" s="16"/>
      <c r="G10" s="16"/>
      <c r="H10" s="16"/>
      <c r="I10" s="16"/>
      <c r="J10" s="16"/>
      <c r="K10" s="16"/>
      <c r="L10" s="16"/>
      <c r="M10" s="16"/>
      <c r="N10" s="16"/>
      <c r="O10" s="16"/>
      <c r="P10" s="16"/>
      <c r="Q10" s="16"/>
      <c r="R10" s="16"/>
      <c r="S10" s="16"/>
      <c r="T10" s="16"/>
      <c r="U10" s="16"/>
      <c r="V10" s="16"/>
    </row>
    <row r="11" spans="1:25" s="53" customFormat="1" ht="13.5" x14ac:dyDescent="0.3">
      <c r="A11" s="51" t="s">
        <v>179</v>
      </c>
      <c r="B11" s="47"/>
      <c r="C11" s="47"/>
      <c r="D11" s="52"/>
      <c r="E11" s="52"/>
      <c r="F11" s="52"/>
      <c r="G11" s="52"/>
      <c r="H11" s="52"/>
      <c r="I11" s="52"/>
      <c r="J11" s="52"/>
      <c r="K11" s="52"/>
      <c r="L11" s="52"/>
      <c r="M11" s="52"/>
      <c r="N11" s="52"/>
      <c r="O11" s="52"/>
      <c r="P11" s="52"/>
      <c r="Q11" s="52"/>
      <c r="R11" s="52"/>
    </row>
    <row r="12" spans="1:25" s="53" customFormat="1" ht="13.5" x14ac:dyDescent="0.3">
      <c r="A12" s="47" t="s">
        <v>93</v>
      </c>
      <c r="B12" s="51"/>
      <c r="C12" s="51"/>
    </row>
    <row r="13" spans="1:25" s="53" customFormat="1" ht="13.5" x14ac:dyDescent="0.3">
      <c r="A13" s="51" t="s">
        <v>95</v>
      </c>
      <c r="B13" s="51"/>
      <c r="C13" s="51"/>
    </row>
    <row r="14" spans="1:25" s="53" customFormat="1" ht="13.5" x14ac:dyDescent="0.3">
      <c r="A14" s="51" t="s">
        <v>96</v>
      </c>
      <c r="B14" s="51"/>
      <c r="C14" s="51"/>
    </row>
    <row r="15" spans="1:25" s="53" customFormat="1" ht="13.5" x14ac:dyDescent="0.3">
      <c r="A15" s="51" t="s">
        <v>180</v>
      </c>
      <c r="B15" s="52"/>
      <c r="C15" s="52"/>
    </row>
    <row r="16" spans="1:25" s="53" customFormat="1" ht="13.5" x14ac:dyDescent="0.3">
      <c r="A16" s="54" t="s">
        <v>115</v>
      </c>
      <c r="B16" s="52"/>
      <c r="C16" s="52"/>
    </row>
    <row r="17" spans="1:4" s="53" customFormat="1" ht="13.5" x14ac:dyDescent="0.3">
      <c r="A17" s="54" t="s">
        <v>101</v>
      </c>
    </row>
    <row r="18" spans="1:4" s="53" customFormat="1" ht="13.5" x14ac:dyDescent="0.3">
      <c r="A18" s="54" t="s">
        <v>181</v>
      </c>
    </row>
    <row r="19" spans="1:4" x14ac:dyDescent="0.35">
      <c r="A19" s="54" t="s">
        <v>152</v>
      </c>
    </row>
    <row r="20" spans="1:4" x14ac:dyDescent="0.35">
      <c r="A20" s="54" t="s">
        <v>153</v>
      </c>
    </row>
    <row r="21" spans="1:4" x14ac:dyDescent="0.35">
      <c r="A21" s="54" t="s">
        <v>156</v>
      </c>
    </row>
    <row r="22" spans="1:4" x14ac:dyDescent="0.35">
      <c r="A22" s="54" t="s">
        <v>155</v>
      </c>
    </row>
    <row r="23" spans="1:4" x14ac:dyDescent="0.35">
      <c r="A23" s="84" t="s">
        <v>187</v>
      </c>
    </row>
    <row r="24" spans="1:4" x14ac:dyDescent="0.35">
      <c r="A24" s="54"/>
    </row>
    <row r="25" spans="1:4" x14ac:dyDescent="0.35">
      <c r="A25" s="35" t="s">
        <v>113</v>
      </c>
      <c r="B25" s="35"/>
      <c r="C25" s="35"/>
      <c r="D25" s="35"/>
    </row>
    <row r="26" spans="1:4" s="53" customFormat="1" ht="13.5" x14ac:dyDescent="0.3">
      <c r="A26" s="51" t="s">
        <v>83</v>
      </c>
      <c r="B26" s="52"/>
      <c r="C26" s="52"/>
    </row>
    <row r="27" spans="1:4" s="53" customFormat="1" ht="13.5" x14ac:dyDescent="0.3">
      <c r="A27" s="51" t="s">
        <v>84</v>
      </c>
      <c r="B27" s="52"/>
      <c r="C27" s="52"/>
    </row>
    <row r="28" spans="1:4" x14ac:dyDescent="0.35">
      <c r="A28" s="17"/>
      <c r="B28" s="17"/>
      <c r="C28" s="17"/>
    </row>
    <row r="35" spans="1:3" x14ac:dyDescent="0.35">
      <c r="A35" s="35" t="s">
        <v>0</v>
      </c>
      <c r="B35" s="35" t="s">
        <v>73</v>
      </c>
      <c r="C35" s="35" t="s">
        <v>72</v>
      </c>
    </row>
    <row r="36" spans="1:3" x14ac:dyDescent="0.35">
      <c r="A36" s="30" t="s">
        <v>40</v>
      </c>
      <c r="B36" s="31">
        <v>4.775021581919094</v>
      </c>
      <c r="C36" s="31">
        <v>0.78286565656320306</v>
      </c>
    </row>
    <row r="37" spans="1:3" x14ac:dyDescent="0.35">
      <c r="A37" s="30" t="s">
        <v>38</v>
      </c>
      <c r="B37" s="31">
        <v>4.3221172930220186</v>
      </c>
      <c r="C37" s="31">
        <v>2.513079494257342</v>
      </c>
    </row>
    <row r="38" spans="1:3" x14ac:dyDescent="0.35">
      <c r="A38" s="30" t="s">
        <v>37</v>
      </c>
      <c r="B38" s="31">
        <v>7.397415754007981</v>
      </c>
      <c r="C38" s="31">
        <v>1.4909964406491394</v>
      </c>
    </row>
    <row r="39" spans="1:3" x14ac:dyDescent="0.35">
      <c r="A39" s="30" t="s">
        <v>39</v>
      </c>
      <c r="B39" s="31">
        <v>5.3729555648848066</v>
      </c>
      <c r="C39" s="31">
        <v>1.8332268798594953</v>
      </c>
    </row>
    <row r="40" spans="1:3" x14ac:dyDescent="0.35">
      <c r="A40" s="30" t="s">
        <v>41</v>
      </c>
      <c r="B40" s="31">
        <v>3.8317274205083809</v>
      </c>
      <c r="C40" s="31">
        <v>1.0402637789510116</v>
      </c>
    </row>
    <row r="57" spans="1:5" x14ac:dyDescent="0.35">
      <c r="A57" s="35" t="s">
        <v>114</v>
      </c>
      <c r="B57" s="35"/>
      <c r="C57" s="35"/>
      <c r="D57" s="35"/>
      <c r="E57" s="35"/>
    </row>
    <row r="58" spans="1:5" s="53" customFormat="1" ht="13.5" x14ac:dyDescent="0.3">
      <c r="A58" s="51" t="s">
        <v>85</v>
      </c>
      <c r="B58" s="52"/>
      <c r="C58" s="52"/>
    </row>
    <row r="59" spans="1:5" s="53" customFormat="1" ht="13.5" x14ac:dyDescent="0.3">
      <c r="A59" s="51" t="s">
        <v>86</v>
      </c>
      <c r="B59" s="52"/>
      <c r="C59" s="52"/>
    </row>
    <row r="60" spans="1:5" s="53" customFormat="1" ht="13.5" x14ac:dyDescent="0.3">
      <c r="A60" s="51" t="s">
        <v>87</v>
      </c>
      <c r="B60" s="52"/>
      <c r="C60" s="52"/>
    </row>
    <row r="65" spans="1:4" x14ac:dyDescent="0.35">
      <c r="A65" s="35" t="s">
        <v>0</v>
      </c>
      <c r="B65" s="35" t="s">
        <v>77</v>
      </c>
      <c r="C65" s="35" t="s">
        <v>78</v>
      </c>
      <c r="D65" s="35" t="s">
        <v>79</v>
      </c>
    </row>
    <row r="66" spans="1:4" x14ac:dyDescent="0.35">
      <c r="A66" s="30" t="s">
        <v>40</v>
      </c>
      <c r="B66" s="31">
        <v>2.9260000000000002</v>
      </c>
      <c r="C66" s="31">
        <v>0.78286565656320306</v>
      </c>
      <c r="D66" s="31">
        <v>12.76470426</v>
      </c>
    </row>
    <row r="67" spans="1:4" x14ac:dyDescent="0.35">
      <c r="A67" s="30" t="s">
        <v>38</v>
      </c>
      <c r="B67" s="31">
        <v>2.5339999999999998</v>
      </c>
      <c r="C67" s="31">
        <v>2.513079494257342</v>
      </c>
      <c r="D67" s="31">
        <v>14.859260254599999</v>
      </c>
    </row>
    <row r="68" spans="1:4" x14ac:dyDescent="0.35">
      <c r="A68" s="30" t="s">
        <v>37</v>
      </c>
      <c r="B68" s="31">
        <v>7.452</v>
      </c>
      <c r="C68" s="31">
        <v>1.4909964406491394</v>
      </c>
      <c r="D68" s="31">
        <v>59.402129459999998</v>
      </c>
    </row>
    <row r="69" spans="1:4" x14ac:dyDescent="0.35">
      <c r="A69" s="30" t="s">
        <v>39</v>
      </c>
      <c r="B69" s="31">
        <v>8.3889999999999993</v>
      </c>
      <c r="C69" s="31">
        <v>1.8332268798594953</v>
      </c>
      <c r="D69" s="31">
        <v>73.275591800000001</v>
      </c>
    </row>
    <row r="70" spans="1:4" x14ac:dyDescent="0.35">
      <c r="A70" s="30" t="s">
        <v>41</v>
      </c>
      <c r="B70" s="31">
        <v>7.1340000000000003</v>
      </c>
      <c r="C70" s="31">
        <v>1.0402637789510116</v>
      </c>
      <c r="D70" s="31">
        <v>34.472431630000003</v>
      </c>
    </row>
  </sheetData>
  <mergeCells count="7">
    <mergeCell ref="W1:Y1"/>
    <mergeCell ref="T1:U1"/>
    <mergeCell ref="A3:C3"/>
    <mergeCell ref="D1:D2"/>
    <mergeCell ref="F1:F2"/>
    <mergeCell ref="G1:G2"/>
    <mergeCell ref="I1:P1"/>
  </mergeCells>
  <conditionalFormatting sqref="I3:R9">
    <cfRule type="cellIs" dxfId="5" priority="5" operator="greaterThanOrEqual">
      <formula>0</formula>
    </cfRule>
    <cfRule type="cellIs" dxfId="4" priority="6" operator="lessThan">
      <formula>0</formula>
    </cfRule>
  </conditionalFormatting>
  <conditionalFormatting sqref="T4:U9">
    <cfRule type="cellIs" dxfId="3" priority="3" operator="greaterThanOrEqual">
      <formula>0</formula>
    </cfRule>
    <cfRule type="cellIs" dxfId="2" priority="4" operator="lessThan">
      <formula>0</formula>
    </cfRule>
  </conditionalFormatting>
  <conditionalFormatting sqref="W4:Y9">
    <cfRule type="cellIs" dxfId="1" priority="1" operator="greaterThanOrEqual">
      <formula>0</formula>
    </cfRule>
    <cfRule type="cellIs" dxfId="0" priority="2" operator="lessThan">
      <formula>0</formula>
    </cfRule>
  </conditionalFormatting>
  <hyperlinks>
    <hyperlink ref="C1" location="GCF_2024!A1" display="GCF_2024!A1" xr:uid="{628B503C-8D21-41C1-B28B-2E5B3D2DA977}"/>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7D"/>
  </sheetPr>
  <dimension ref="A1:O69"/>
  <sheetViews>
    <sheetView showGridLines="0" zoomScale="60" zoomScaleNormal="60" workbookViewId="0">
      <selection sqref="A1:A2"/>
    </sheetView>
  </sheetViews>
  <sheetFormatPr defaultColWidth="8.81640625" defaultRowHeight="13.5" x14ac:dyDescent="0.25"/>
  <cols>
    <col min="1" max="1" width="12.54296875" style="4" customWidth="1"/>
    <col min="2" max="2" width="15.81640625" style="4" customWidth="1"/>
    <col min="3" max="3" width="15.54296875" style="4" customWidth="1"/>
    <col min="4" max="4" width="15.453125" style="4" customWidth="1"/>
    <col min="5" max="5" width="14.1796875" style="4" customWidth="1"/>
    <col min="6" max="7" width="18.453125" style="4" customWidth="1"/>
    <col min="8" max="16384" width="8.81640625" style="2"/>
  </cols>
  <sheetData>
    <row r="1" spans="1:15" ht="13.75" customHeight="1" x14ac:dyDescent="0.25">
      <c r="A1" s="98" t="s">
        <v>74</v>
      </c>
      <c r="B1" s="96" t="s">
        <v>80</v>
      </c>
      <c r="C1" s="102"/>
      <c r="D1" s="102"/>
      <c r="E1" s="102"/>
      <c r="F1" s="102"/>
      <c r="G1" s="102"/>
      <c r="O1" s="18"/>
    </row>
    <row r="2" spans="1:15" ht="59.15" customHeight="1" x14ac:dyDescent="0.25">
      <c r="A2" s="99" t="s">
        <v>74</v>
      </c>
      <c r="B2" s="23" t="s">
        <v>88</v>
      </c>
      <c r="C2" s="23" t="s">
        <v>159</v>
      </c>
      <c r="D2" s="23" t="s">
        <v>89</v>
      </c>
      <c r="E2" s="23" t="s">
        <v>36</v>
      </c>
      <c r="F2" s="23" t="s">
        <v>116</v>
      </c>
      <c r="G2" s="23" t="s">
        <v>131</v>
      </c>
      <c r="H2" s="86" t="s">
        <v>76</v>
      </c>
    </row>
    <row r="3" spans="1:15" x14ac:dyDescent="0.25">
      <c r="A3" s="55">
        <v>20</v>
      </c>
      <c r="B3" s="32">
        <v>98</v>
      </c>
      <c r="C3" s="32">
        <v>97</v>
      </c>
      <c r="D3" s="32">
        <v>97</v>
      </c>
      <c r="E3" s="32">
        <v>90</v>
      </c>
      <c r="F3" s="32">
        <v>90</v>
      </c>
      <c r="G3" s="32">
        <v>100</v>
      </c>
    </row>
    <row r="4" spans="1:15" x14ac:dyDescent="0.25">
      <c r="A4" s="55">
        <v>21</v>
      </c>
      <c r="B4" s="32">
        <v>98</v>
      </c>
      <c r="C4" s="32">
        <v>97</v>
      </c>
      <c r="D4" s="32">
        <v>97</v>
      </c>
      <c r="E4" s="32">
        <v>90</v>
      </c>
      <c r="F4" s="32">
        <v>90</v>
      </c>
      <c r="G4" s="32">
        <v>100</v>
      </c>
    </row>
    <row r="5" spans="1:15" x14ac:dyDescent="0.25">
      <c r="A5" s="55">
        <v>22</v>
      </c>
      <c r="B5" s="32">
        <v>98</v>
      </c>
      <c r="C5" s="32">
        <v>97</v>
      </c>
      <c r="D5" s="32">
        <v>97</v>
      </c>
      <c r="E5" s="32">
        <v>90</v>
      </c>
      <c r="F5" s="32">
        <v>90</v>
      </c>
      <c r="G5" s="32">
        <v>100</v>
      </c>
    </row>
    <row r="6" spans="1:15" x14ac:dyDescent="0.25">
      <c r="A6" s="55">
        <v>23</v>
      </c>
      <c r="B6" s="32">
        <v>98</v>
      </c>
      <c r="C6" s="32">
        <v>97</v>
      </c>
      <c r="D6" s="32">
        <v>97</v>
      </c>
      <c r="E6" s="32">
        <v>90</v>
      </c>
      <c r="F6" s="32">
        <v>90</v>
      </c>
      <c r="G6" s="32">
        <v>100</v>
      </c>
    </row>
    <row r="7" spans="1:15" x14ac:dyDescent="0.25">
      <c r="A7" s="55">
        <v>24</v>
      </c>
      <c r="B7" s="32">
        <v>98</v>
      </c>
      <c r="C7" s="32">
        <v>97</v>
      </c>
      <c r="D7" s="32">
        <v>97</v>
      </c>
      <c r="E7" s="32">
        <v>90</v>
      </c>
      <c r="F7" s="32">
        <v>90</v>
      </c>
      <c r="G7" s="32">
        <v>100</v>
      </c>
    </row>
    <row r="8" spans="1:15" x14ac:dyDescent="0.25">
      <c r="A8" s="55">
        <v>25</v>
      </c>
      <c r="B8" s="32">
        <v>98</v>
      </c>
      <c r="C8" s="32">
        <v>97</v>
      </c>
      <c r="D8" s="32">
        <v>97</v>
      </c>
      <c r="E8" s="32">
        <v>90</v>
      </c>
      <c r="F8" s="32">
        <v>90</v>
      </c>
      <c r="G8" s="32">
        <v>100</v>
      </c>
    </row>
    <row r="9" spans="1:15" x14ac:dyDescent="0.25">
      <c r="A9" s="55">
        <v>26</v>
      </c>
      <c r="B9" s="32">
        <v>98</v>
      </c>
      <c r="C9" s="32">
        <v>97</v>
      </c>
      <c r="D9" s="32">
        <v>97</v>
      </c>
      <c r="E9" s="32">
        <v>90</v>
      </c>
      <c r="F9" s="32">
        <v>90</v>
      </c>
      <c r="G9" s="32">
        <v>100</v>
      </c>
    </row>
    <row r="10" spans="1:15" x14ac:dyDescent="0.25">
      <c r="A10" s="55">
        <v>27</v>
      </c>
      <c r="B10" s="32">
        <v>98</v>
      </c>
      <c r="C10" s="32">
        <v>97</v>
      </c>
      <c r="D10" s="32">
        <v>97</v>
      </c>
      <c r="E10" s="32">
        <v>90</v>
      </c>
      <c r="F10" s="32">
        <v>90</v>
      </c>
      <c r="G10" s="32">
        <v>100</v>
      </c>
    </row>
    <row r="11" spans="1:15" x14ac:dyDescent="0.25">
      <c r="A11" s="55">
        <v>28</v>
      </c>
      <c r="B11" s="32">
        <v>98</v>
      </c>
      <c r="C11" s="32">
        <v>97</v>
      </c>
      <c r="D11" s="32">
        <v>97</v>
      </c>
      <c r="E11" s="32">
        <v>90</v>
      </c>
      <c r="F11" s="32">
        <v>90</v>
      </c>
      <c r="G11" s="32">
        <v>100</v>
      </c>
    </row>
    <row r="12" spans="1:15" x14ac:dyDescent="0.25">
      <c r="A12" s="55">
        <v>29</v>
      </c>
      <c r="B12" s="32">
        <v>98</v>
      </c>
      <c r="C12" s="32">
        <v>97</v>
      </c>
      <c r="D12" s="32">
        <v>97</v>
      </c>
      <c r="E12" s="32">
        <v>90</v>
      </c>
      <c r="F12" s="32">
        <v>90</v>
      </c>
      <c r="G12" s="32">
        <v>100</v>
      </c>
    </row>
    <row r="13" spans="1:15" x14ac:dyDescent="0.25">
      <c r="A13" s="55">
        <v>30</v>
      </c>
      <c r="B13" s="32">
        <v>98</v>
      </c>
      <c r="C13" s="32">
        <v>97</v>
      </c>
      <c r="D13" s="32">
        <v>97</v>
      </c>
      <c r="E13" s="32">
        <v>90</v>
      </c>
      <c r="F13" s="32">
        <v>90</v>
      </c>
      <c r="G13" s="32">
        <v>100</v>
      </c>
    </row>
    <row r="14" spans="1:15" x14ac:dyDescent="0.25">
      <c r="A14" s="55">
        <v>31</v>
      </c>
      <c r="B14" s="32">
        <v>98</v>
      </c>
      <c r="C14" s="32">
        <v>97</v>
      </c>
      <c r="D14" s="32">
        <v>97</v>
      </c>
      <c r="E14" s="32">
        <v>90</v>
      </c>
      <c r="F14" s="32">
        <v>90</v>
      </c>
      <c r="G14" s="32">
        <v>100</v>
      </c>
    </row>
    <row r="15" spans="1:15" x14ac:dyDescent="0.25">
      <c r="A15" s="55">
        <v>32</v>
      </c>
      <c r="B15" s="32">
        <v>98</v>
      </c>
      <c r="C15" s="32">
        <v>97</v>
      </c>
      <c r="D15" s="32">
        <v>97</v>
      </c>
      <c r="E15" s="32">
        <v>90</v>
      </c>
      <c r="F15" s="32">
        <v>90</v>
      </c>
      <c r="G15" s="32">
        <v>100</v>
      </c>
    </row>
    <row r="16" spans="1:15" x14ac:dyDescent="0.25">
      <c r="A16" s="55">
        <v>33</v>
      </c>
      <c r="B16" s="32">
        <v>98</v>
      </c>
      <c r="C16" s="32">
        <v>97</v>
      </c>
      <c r="D16" s="32">
        <v>97</v>
      </c>
      <c r="E16" s="32">
        <v>90</v>
      </c>
      <c r="F16" s="32">
        <v>90</v>
      </c>
      <c r="G16" s="32">
        <v>100</v>
      </c>
    </row>
    <row r="17" spans="1:7" x14ac:dyDescent="0.25">
      <c r="A17" s="55">
        <v>34</v>
      </c>
      <c r="B17" s="32">
        <v>98</v>
      </c>
      <c r="C17" s="32">
        <v>97</v>
      </c>
      <c r="D17" s="32">
        <v>97</v>
      </c>
      <c r="E17" s="32">
        <v>90</v>
      </c>
      <c r="F17" s="32">
        <v>90</v>
      </c>
      <c r="G17" s="32">
        <v>100</v>
      </c>
    </row>
    <row r="18" spans="1:7" x14ac:dyDescent="0.25">
      <c r="A18" s="55">
        <v>35</v>
      </c>
      <c r="B18" s="32">
        <v>98</v>
      </c>
      <c r="C18" s="32">
        <v>97</v>
      </c>
      <c r="D18" s="32">
        <v>97</v>
      </c>
      <c r="E18" s="32">
        <v>90</v>
      </c>
      <c r="F18" s="32">
        <v>90</v>
      </c>
      <c r="G18" s="32">
        <v>100</v>
      </c>
    </row>
    <row r="19" spans="1:7" x14ac:dyDescent="0.25">
      <c r="A19" s="55">
        <v>36</v>
      </c>
      <c r="B19" s="32">
        <v>98</v>
      </c>
      <c r="C19" s="32">
        <v>97</v>
      </c>
      <c r="D19" s="32">
        <v>97</v>
      </c>
      <c r="E19" s="32">
        <v>90</v>
      </c>
      <c r="F19" s="32">
        <v>90</v>
      </c>
      <c r="G19" s="32">
        <v>100</v>
      </c>
    </row>
    <row r="20" spans="1:7" x14ac:dyDescent="0.25">
      <c r="A20" s="55">
        <v>37</v>
      </c>
      <c r="B20" s="32">
        <v>98</v>
      </c>
      <c r="C20" s="32">
        <v>97</v>
      </c>
      <c r="D20" s="32">
        <v>97</v>
      </c>
      <c r="E20" s="32">
        <v>90</v>
      </c>
      <c r="F20" s="32">
        <v>90</v>
      </c>
      <c r="G20" s="32">
        <v>100</v>
      </c>
    </row>
    <row r="21" spans="1:7" x14ac:dyDescent="0.25">
      <c r="A21" s="55">
        <v>38</v>
      </c>
      <c r="B21" s="32">
        <v>98</v>
      </c>
      <c r="C21" s="32">
        <v>97</v>
      </c>
      <c r="D21" s="32">
        <v>97</v>
      </c>
      <c r="E21" s="32">
        <v>90</v>
      </c>
      <c r="F21" s="32">
        <v>90</v>
      </c>
      <c r="G21" s="32">
        <v>100</v>
      </c>
    </row>
    <row r="22" spans="1:7" x14ac:dyDescent="0.25">
      <c r="A22" s="55">
        <v>39</v>
      </c>
      <c r="B22" s="32">
        <v>98</v>
      </c>
      <c r="C22" s="32">
        <v>97</v>
      </c>
      <c r="D22" s="32">
        <v>97</v>
      </c>
      <c r="E22" s="32">
        <v>90</v>
      </c>
      <c r="F22" s="32">
        <v>90</v>
      </c>
      <c r="G22" s="32">
        <v>100</v>
      </c>
    </row>
    <row r="23" spans="1:7" x14ac:dyDescent="0.25">
      <c r="A23" s="55">
        <v>40</v>
      </c>
      <c r="B23" s="32">
        <v>98</v>
      </c>
      <c r="C23" s="32">
        <v>97</v>
      </c>
      <c r="D23" s="32">
        <v>97</v>
      </c>
      <c r="E23" s="32">
        <v>90</v>
      </c>
      <c r="F23" s="32">
        <v>90</v>
      </c>
      <c r="G23" s="32">
        <v>100</v>
      </c>
    </row>
    <row r="24" spans="1:7" x14ac:dyDescent="0.25">
      <c r="A24" s="55">
        <v>41</v>
      </c>
      <c r="B24" s="32">
        <v>98</v>
      </c>
      <c r="C24" s="32">
        <v>97</v>
      </c>
      <c r="D24" s="32">
        <v>97</v>
      </c>
      <c r="E24" s="32">
        <v>90</v>
      </c>
      <c r="F24" s="32">
        <v>90</v>
      </c>
      <c r="G24" s="32">
        <v>100</v>
      </c>
    </row>
    <row r="25" spans="1:7" x14ac:dyDescent="0.25">
      <c r="A25" s="55">
        <v>42</v>
      </c>
      <c r="B25" s="32">
        <v>98</v>
      </c>
      <c r="C25" s="32">
        <v>97</v>
      </c>
      <c r="D25" s="32">
        <v>97</v>
      </c>
      <c r="E25" s="32">
        <v>90</v>
      </c>
      <c r="F25" s="32">
        <v>90</v>
      </c>
      <c r="G25" s="32">
        <v>100</v>
      </c>
    </row>
    <row r="26" spans="1:7" x14ac:dyDescent="0.25">
      <c r="A26" s="55">
        <v>43</v>
      </c>
      <c r="B26" s="32">
        <v>98</v>
      </c>
      <c r="C26" s="32">
        <v>97</v>
      </c>
      <c r="D26" s="32">
        <v>97</v>
      </c>
      <c r="E26" s="32">
        <v>90</v>
      </c>
      <c r="F26" s="32">
        <v>90</v>
      </c>
      <c r="G26" s="32">
        <v>100</v>
      </c>
    </row>
    <row r="27" spans="1:7" x14ac:dyDescent="0.25">
      <c r="A27" s="55">
        <v>44</v>
      </c>
      <c r="B27" s="32">
        <v>98</v>
      </c>
      <c r="C27" s="32">
        <v>97</v>
      </c>
      <c r="D27" s="32">
        <v>97</v>
      </c>
      <c r="E27" s="32">
        <v>90</v>
      </c>
      <c r="F27" s="32">
        <v>90</v>
      </c>
      <c r="G27" s="32">
        <v>100</v>
      </c>
    </row>
    <row r="28" spans="1:7" x14ac:dyDescent="0.25">
      <c r="A28" s="55">
        <v>45</v>
      </c>
      <c r="B28" s="32">
        <v>98</v>
      </c>
      <c r="C28" s="32">
        <v>97</v>
      </c>
      <c r="D28" s="32">
        <v>97</v>
      </c>
      <c r="E28" s="32">
        <v>90</v>
      </c>
      <c r="F28" s="32">
        <v>90</v>
      </c>
      <c r="G28" s="32">
        <v>100</v>
      </c>
    </row>
    <row r="29" spans="1:7" x14ac:dyDescent="0.25">
      <c r="A29" s="55">
        <v>46</v>
      </c>
      <c r="B29" s="32">
        <v>98</v>
      </c>
      <c r="C29" s="32">
        <v>97</v>
      </c>
      <c r="D29" s="32">
        <v>97</v>
      </c>
      <c r="E29" s="32">
        <v>90</v>
      </c>
      <c r="F29" s="32">
        <v>90</v>
      </c>
      <c r="G29" s="32">
        <v>100</v>
      </c>
    </row>
    <row r="30" spans="1:7" x14ac:dyDescent="0.25">
      <c r="A30" s="55">
        <v>47</v>
      </c>
      <c r="B30" s="32">
        <v>98</v>
      </c>
      <c r="C30" s="32">
        <v>97</v>
      </c>
      <c r="D30" s="32">
        <v>97</v>
      </c>
      <c r="E30" s="32">
        <v>90</v>
      </c>
      <c r="F30" s="32">
        <v>90</v>
      </c>
      <c r="G30" s="32">
        <v>100</v>
      </c>
    </row>
    <row r="31" spans="1:7" x14ac:dyDescent="0.25">
      <c r="A31" s="55">
        <v>48</v>
      </c>
      <c r="B31" s="32">
        <v>92.9</v>
      </c>
      <c r="C31" s="32">
        <v>91.88</v>
      </c>
      <c r="D31" s="32">
        <v>95</v>
      </c>
      <c r="E31" s="32">
        <v>90</v>
      </c>
      <c r="F31" s="32">
        <v>90</v>
      </c>
      <c r="G31" s="32">
        <v>100</v>
      </c>
    </row>
    <row r="32" spans="1:7" x14ac:dyDescent="0.25">
      <c r="A32" s="55">
        <v>49</v>
      </c>
      <c r="B32" s="32">
        <v>87.9</v>
      </c>
      <c r="C32" s="32">
        <v>86.77</v>
      </c>
      <c r="D32" s="32">
        <v>90</v>
      </c>
      <c r="E32" s="32">
        <v>90</v>
      </c>
      <c r="F32" s="32">
        <v>90</v>
      </c>
      <c r="G32" s="32">
        <v>100</v>
      </c>
    </row>
    <row r="33" spans="1:7" x14ac:dyDescent="0.25">
      <c r="A33" s="55">
        <v>50</v>
      </c>
      <c r="B33" s="32">
        <v>82.899999999999991</v>
      </c>
      <c r="C33" s="32">
        <v>81.64</v>
      </c>
      <c r="D33" s="32">
        <v>85</v>
      </c>
      <c r="E33" s="32">
        <v>85</v>
      </c>
      <c r="F33" s="32">
        <v>85</v>
      </c>
      <c r="G33" s="32">
        <v>100</v>
      </c>
    </row>
    <row r="34" spans="1:7" x14ac:dyDescent="0.25">
      <c r="A34" s="55">
        <v>51</v>
      </c>
      <c r="B34" s="32">
        <v>78</v>
      </c>
      <c r="C34" s="32">
        <v>76.530000000000015</v>
      </c>
      <c r="D34" s="32">
        <v>80</v>
      </c>
      <c r="E34" s="32">
        <v>80</v>
      </c>
      <c r="F34" s="32">
        <v>80</v>
      </c>
      <c r="G34" s="32">
        <v>100</v>
      </c>
    </row>
    <row r="35" spans="1:7" x14ac:dyDescent="0.25">
      <c r="A35" s="55">
        <v>52</v>
      </c>
      <c r="B35" s="32">
        <v>73.099999999999994</v>
      </c>
      <c r="C35" s="32">
        <v>71.41</v>
      </c>
      <c r="D35" s="32">
        <v>75</v>
      </c>
      <c r="E35" s="32">
        <v>75</v>
      </c>
      <c r="F35" s="32">
        <v>75</v>
      </c>
      <c r="G35" s="32">
        <v>100</v>
      </c>
    </row>
    <row r="36" spans="1:7" x14ac:dyDescent="0.25">
      <c r="A36" s="55">
        <v>53</v>
      </c>
      <c r="B36" s="32">
        <v>68.099999999999994</v>
      </c>
      <c r="C36" s="32">
        <v>66.3</v>
      </c>
      <c r="D36" s="32">
        <v>70</v>
      </c>
      <c r="E36" s="32">
        <v>70</v>
      </c>
      <c r="F36" s="32">
        <v>70</v>
      </c>
      <c r="G36" s="32">
        <v>100</v>
      </c>
    </row>
    <row r="37" spans="1:7" x14ac:dyDescent="0.25">
      <c r="A37" s="55">
        <v>54</v>
      </c>
      <c r="B37" s="32">
        <v>63.3</v>
      </c>
      <c r="C37" s="32">
        <v>61.18</v>
      </c>
      <c r="D37" s="32">
        <v>65</v>
      </c>
      <c r="E37" s="32">
        <v>65</v>
      </c>
      <c r="F37" s="32">
        <v>65</v>
      </c>
      <c r="G37" s="32">
        <v>100</v>
      </c>
    </row>
    <row r="38" spans="1:7" x14ac:dyDescent="0.25">
      <c r="A38" s="55">
        <v>55</v>
      </c>
      <c r="B38" s="32">
        <v>58.5</v>
      </c>
      <c r="C38" s="32">
        <v>56.06</v>
      </c>
      <c r="D38" s="32">
        <v>60</v>
      </c>
      <c r="E38" s="32">
        <v>60</v>
      </c>
      <c r="F38" s="32">
        <v>60</v>
      </c>
      <c r="G38" s="32">
        <v>90</v>
      </c>
    </row>
    <row r="39" spans="1:7" x14ac:dyDescent="0.25">
      <c r="A39" s="55">
        <v>56</v>
      </c>
      <c r="B39" s="32">
        <v>53.800000000000004</v>
      </c>
      <c r="C39" s="32">
        <v>50.94</v>
      </c>
      <c r="D39" s="32">
        <v>55.000000000000007</v>
      </c>
      <c r="E39" s="32">
        <v>55.000000000000007</v>
      </c>
      <c r="F39" s="32">
        <v>55.000000000000007</v>
      </c>
      <c r="G39" s="32">
        <v>80</v>
      </c>
    </row>
    <row r="40" spans="1:7" x14ac:dyDescent="0.25">
      <c r="A40" s="55">
        <v>57</v>
      </c>
      <c r="B40" s="32">
        <v>49.1</v>
      </c>
      <c r="C40" s="32">
        <v>45.82</v>
      </c>
      <c r="D40" s="32">
        <v>50</v>
      </c>
      <c r="E40" s="32">
        <v>50</v>
      </c>
      <c r="F40" s="32">
        <v>50</v>
      </c>
      <c r="G40" s="32">
        <v>70</v>
      </c>
    </row>
    <row r="41" spans="1:7" x14ac:dyDescent="0.25">
      <c r="A41" s="55">
        <v>58</v>
      </c>
      <c r="B41" s="32">
        <v>44.4</v>
      </c>
      <c r="C41" s="32">
        <v>40.71</v>
      </c>
      <c r="D41" s="32">
        <v>45</v>
      </c>
      <c r="E41" s="32">
        <v>45</v>
      </c>
      <c r="F41" s="32">
        <v>45</v>
      </c>
      <c r="G41" s="32">
        <v>60</v>
      </c>
    </row>
    <row r="42" spans="1:7" x14ac:dyDescent="0.25">
      <c r="A42" s="55">
        <v>59</v>
      </c>
      <c r="B42" s="32">
        <v>39.800000000000004</v>
      </c>
      <c r="C42" s="32">
        <v>35.589999999999996</v>
      </c>
      <c r="D42" s="32">
        <v>40</v>
      </c>
      <c r="E42" s="32">
        <v>40</v>
      </c>
      <c r="F42" s="32">
        <v>40</v>
      </c>
      <c r="G42" s="32">
        <v>50</v>
      </c>
    </row>
    <row r="43" spans="1:7" x14ac:dyDescent="0.25">
      <c r="A43" s="55">
        <v>60</v>
      </c>
      <c r="B43" s="32">
        <v>35.299999999999997</v>
      </c>
      <c r="C43" s="32">
        <v>30.470000000000002</v>
      </c>
      <c r="D43" s="32">
        <v>35</v>
      </c>
      <c r="E43" s="32">
        <v>35</v>
      </c>
      <c r="F43" s="32">
        <v>35</v>
      </c>
      <c r="G43" s="32">
        <v>40</v>
      </c>
    </row>
    <row r="44" spans="1:7" x14ac:dyDescent="0.25">
      <c r="A44" s="55">
        <v>61</v>
      </c>
      <c r="B44" s="32">
        <v>30.8</v>
      </c>
      <c r="C44" s="32">
        <v>25.35</v>
      </c>
      <c r="D44" s="32">
        <v>30</v>
      </c>
      <c r="E44" s="32">
        <v>30</v>
      </c>
      <c r="F44" s="32">
        <v>30</v>
      </c>
      <c r="G44" s="32">
        <v>30</v>
      </c>
    </row>
    <row r="45" spans="1:7" x14ac:dyDescent="0.25">
      <c r="A45" s="55">
        <v>62</v>
      </c>
      <c r="B45" s="32">
        <v>26.6</v>
      </c>
      <c r="C45" s="32">
        <v>20.239999999999998</v>
      </c>
      <c r="D45" s="32">
        <v>25</v>
      </c>
      <c r="E45" s="32">
        <v>25</v>
      </c>
      <c r="F45" s="32">
        <v>25</v>
      </c>
      <c r="G45" s="32">
        <v>20</v>
      </c>
    </row>
    <row r="46" spans="1:7" x14ac:dyDescent="0.25">
      <c r="A46" s="55">
        <v>63</v>
      </c>
      <c r="B46" s="32">
        <v>22.400000000000002</v>
      </c>
      <c r="C46" s="32">
        <v>15.120000000000001</v>
      </c>
      <c r="D46" s="32">
        <v>20</v>
      </c>
      <c r="E46" s="32">
        <v>20</v>
      </c>
      <c r="F46" s="32">
        <v>20</v>
      </c>
      <c r="G46" s="32">
        <v>10</v>
      </c>
    </row>
    <row r="47" spans="1:7" x14ac:dyDescent="0.25">
      <c r="A47" s="55">
        <v>64</v>
      </c>
      <c r="B47" s="32">
        <v>18.5</v>
      </c>
      <c r="C47" s="32">
        <v>10</v>
      </c>
      <c r="D47" s="32">
        <v>15</v>
      </c>
      <c r="E47" s="32">
        <v>15</v>
      </c>
      <c r="F47" s="32">
        <v>15</v>
      </c>
      <c r="G47" s="32">
        <v>0</v>
      </c>
    </row>
    <row r="48" spans="1:7" x14ac:dyDescent="0.25">
      <c r="A48" s="55">
        <v>65</v>
      </c>
      <c r="B48" s="32">
        <v>18.5</v>
      </c>
      <c r="C48" s="32">
        <v>10</v>
      </c>
      <c r="D48" s="32">
        <v>15</v>
      </c>
      <c r="E48" s="32">
        <v>10</v>
      </c>
      <c r="F48" s="32">
        <v>15</v>
      </c>
      <c r="G48" s="32">
        <v>0</v>
      </c>
    </row>
    <row r="49" spans="1:7" x14ac:dyDescent="0.25">
      <c r="A49" s="55">
        <v>66</v>
      </c>
      <c r="B49" s="32">
        <v>18.5</v>
      </c>
      <c r="C49" s="32">
        <v>10</v>
      </c>
      <c r="D49" s="32">
        <v>15</v>
      </c>
      <c r="E49" s="32">
        <v>10</v>
      </c>
      <c r="F49" s="32">
        <v>15</v>
      </c>
      <c r="G49" s="32">
        <v>0</v>
      </c>
    </row>
    <row r="50" spans="1:7" x14ac:dyDescent="0.25">
      <c r="A50" s="55">
        <v>67</v>
      </c>
      <c r="B50" s="32">
        <v>18.5</v>
      </c>
      <c r="C50" s="32">
        <v>10</v>
      </c>
      <c r="D50" s="32">
        <v>15</v>
      </c>
      <c r="E50" s="32">
        <v>10</v>
      </c>
      <c r="F50" s="32">
        <v>15</v>
      </c>
      <c r="G50" s="32">
        <v>0</v>
      </c>
    </row>
    <row r="51" spans="1:7" x14ac:dyDescent="0.25">
      <c r="A51" s="55">
        <v>68</v>
      </c>
      <c r="B51" s="32">
        <v>18.5</v>
      </c>
      <c r="C51" s="32">
        <v>10</v>
      </c>
      <c r="D51" s="32">
        <v>15</v>
      </c>
      <c r="E51" s="32">
        <v>10</v>
      </c>
      <c r="F51" s="32">
        <v>15</v>
      </c>
      <c r="G51" s="32">
        <v>0</v>
      </c>
    </row>
    <row r="52" spans="1:7" ht="14" x14ac:dyDescent="0.3">
      <c r="A52" s="47" t="s">
        <v>81</v>
      </c>
      <c r="B52" s="47"/>
      <c r="C52" s="47"/>
      <c r="D52" s="47"/>
      <c r="E52" s="47"/>
      <c r="F52" s="47"/>
      <c r="G52" s="47"/>
    </row>
    <row r="53" spans="1:7" x14ac:dyDescent="0.25">
      <c r="D53" s="3"/>
    </row>
    <row r="54" spans="1:7" x14ac:dyDescent="0.25">
      <c r="D54" s="3"/>
    </row>
    <row r="55" spans="1:7" x14ac:dyDescent="0.25">
      <c r="D55" s="3"/>
    </row>
    <row r="56" spans="1:7" x14ac:dyDescent="0.25">
      <c r="D56" s="3"/>
    </row>
    <row r="57" spans="1:7" x14ac:dyDescent="0.25">
      <c r="D57" s="3"/>
    </row>
    <row r="58" spans="1:7" x14ac:dyDescent="0.25">
      <c r="D58" s="3"/>
    </row>
    <row r="59" spans="1:7" x14ac:dyDescent="0.25">
      <c r="D59" s="3"/>
    </row>
    <row r="65" spans="3:3" x14ac:dyDescent="0.25">
      <c r="C65" s="3"/>
    </row>
    <row r="66" spans="3:3" x14ac:dyDescent="0.25">
      <c r="C66" s="3"/>
    </row>
    <row r="67" spans="3:3" x14ac:dyDescent="0.25">
      <c r="C67" s="3"/>
    </row>
    <row r="68" spans="3:3" x14ac:dyDescent="0.25">
      <c r="C68" s="3"/>
    </row>
    <row r="69" spans="3:3" x14ac:dyDescent="0.25">
      <c r="C69" s="3"/>
    </row>
  </sheetData>
  <mergeCells count="2">
    <mergeCell ref="A1:A2"/>
    <mergeCell ref="B1:G1"/>
  </mergeCells>
  <hyperlinks>
    <hyperlink ref="H2" location="GCF_2024!A1" display="GCF_2024!A1" xr:uid="{81CDF912-6BBA-44B7-AAE2-19A52CA14E0C}"/>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GCF_2024</vt:lpstr>
      <vt:lpstr>2003-2009</vt:lpstr>
      <vt:lpstr>1996-2002</vt:lpstr>
      <vt:lpstr>1989-1995</vt:lpstr>
      <vt:lpstr>1982-1988</vt:lpstr>
      <vt:lpstr>1975-1981</vt:lpstr>
      <vt:lpstr>1968-1974</vt:lpstr>
      <vt:lpstr>1961-1967</vt:lpstr>
      <vt:lpstr>1954-1960</vt:lpstr>
      <vt:lpstr>TIF</vt:lpstr>
      <vt:lpstr>Strategijų_palyginimas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2025-05-21T08:21:55Z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b353df4-ce5a-45e5-acaf-15ad54a53efc_Enabled">
    <vt:lpwstr>true</vt:lpwstr>
  </property>
  <property fmtid="{D5CDD505-2E9C-101B-9397-08002B2CF9AE}" pid="3" name="MSIP_Label_cb353df4-ce5a-45e5-acaf-15ad54a53efc_SetDate">
    <vt:lpwstr>2024-01-12T12:30:38Z</vt:lpwstr>
  </property>
  <property fmtid="{D5CDD505-2E9C-101B-9397-08002B2CF9AE}" pid="4" name="MSIP_Label_cb353df4-ce5a-45e5-acaf-15ad54a53efc_Method">
    <vt:lpwstr>Privileged</vt:lpwstr>
  </property>
  <property fmtid="{D5CDD505-2E9C-101B-9397-08002B2CF9AE}" pid="5" name="MSIP_Label_cb353df4-ce5a-45e5-acaf-15ad54a53efc_Name">
    <vt:lpwstr>LB RIBOTO NAUDOJIMO Dešinėje (Right)</vt:lpwstr>
  </property>
  <property fmtid="{D5CDD505-2E9C-101B-9397-08002B2CF9AE}" pid="6" name="MSIP_Label_cb353df4-ce5a-45e5-acaf-15ad54a53efc_SiteId">
    <vt:lpwstr>5a40b399-6903-4594-ad73-dc4ed7ed91c0</vt:lpwstr>
  </property>
  <property fmtid="{D5CDD505-2E9C-101B-9397-08002B2CF9AE}" pid="7" name="MSIP_Label_cb353df4-ce5a-45e5-acaf-15ad54a53efc_ActionId">
    <vt:lpwstr>96910c1f-f703-49f7-b290-64371842dd7f</vt:lpwstr>
  </property>
  <property fmtid="{D5CDD505-2E9C-101B-9397-08002B2CF9AE}" pid="8" name="MSIP_Label_cb353df4-ce5a-45e5-acaf-15ad54a53efc_ContentBits">
    <vt:lpwstr>3</vt:lpwstr>
  </property>
</Properties>
</file>