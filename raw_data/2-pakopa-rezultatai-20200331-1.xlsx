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40" yWindow="108" windowWidth="14808" windowHeight="8016" tabRatio="917"/>
  </bookViews>
  <sheets>
    <sheet name="GCF_2020"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45621"/>
</workbook>
</file>

<file path=xl/sharedStrings.xml><?xml version="1.0" encoding="utf-8"?>
<sst xmlns="http://schemas.openxmlformats.org/spreadsheetml/2006/main" count="915" uniqueCount="146">
  <si>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</si>
  <si>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</si>
  <si>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</si>
  <si>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</si>
  <si>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</si>
  <si>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</si>
  <si>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</si>
  <si>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</si>
  <si>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</si>
  <si>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</si>
  <si>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</si>
  <si>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</si>
  <si>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</si>
  <si>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</si>
  <si>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</si>
  <si>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</si>
  <si>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</si>
  <si>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</si>
  <si>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</si>
  <si>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</si>
  <si>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</si>
  <si>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</si>
  <si>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</si>
  <si>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</si>
  <si>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</si>
  <si>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</si>
  <si>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</si>
  <si>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</si>
  <si>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</si>
  <si>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</si>
  <si>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</si>
  <si>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</si>
  <si>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</si>
  <si>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</si>
  <si>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</si>
  <si>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</si>
  <si>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</si>
  <si>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UAGDPB „Aviva Lietuva“</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</si>
  <si>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</si>
  <si>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</si>
  <si>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</si>
  <si>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</si>
  <si>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</si>
  <si>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</si>
  <si>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</si>
  <si>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</si>
  <si>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</si>
  <si>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</si>
  <si>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INVL pensija 1996–2002</t>
  </si>
  <si>
    <t>SEB 1996–2002 metų tikslinės grupės pensijų kaupimo fondas</t>
  </si>
  <si>
    <t>Aviva Y3 1996–2002 tikslinės grupės pensijų fondas</t>
  </si>
  <si>
    <t>Tikslinės pensijų fondų dalyvių grupės pensijų fondai, 1989-1995</t>
  </si>
  <si>
    <t>Luminor 1989–1995 tikslinės grupės pensijų fondas</t>
  </si>
  <si>
    <t>INVL pensija 1989–1995</t>
  </si>
  <si>
    <t>SEB 1989–1995 metų tikslinės grupės pensijų kaupimo fondas</t>
  </si>
  <si>
    <t>Aviva Y2 1989–1995 tikslinės grupės pensijų fondas</t>
  </si>
  <si>
    <t>Tikslinės pensijų fondų dalyvių grupės pensijų fondai, 1982-1988</t>
  </si>
  <si>
    <t>Luminor 1982–1988 tikslinės grupės pensijų fondas</t>
  </si>
  <si>
    <t>INVL pensija 1982–1988</t>
  </si>
  <si>
    <t>SEB 1982–1988 metų tikslinės grupės pensijų kaupimo fondas</t>
  </si>
  <si>
    <t>Aviva Y1 1982–1988 tikslinės grupės pensijų fondas</t>
  </si>
  <si>
    <t>Tikslinės pensijų fondų dalyvių grupės pensijų fondai, 1975-1981</t>
  </si>
  <si>
    <t>Luminor 1975–1981 tikslinės grupės pensijų fondas</t>
  </si>
  <si>
    <t>INVL pensija 1975–1981</t>
  </si>
  <si>
    <t>SEB 1975–1981 metų tikslinės grupės pensijų kaupimo fondas</t>
  </si>
  <si>
    <t>Aviva X3 1975–1981 tikslinės grupės pensijų fondas</t>
  </si>
  <si>
    <t>Tikslinės pensijų fondų dalyvių grupės pensijų fondai, 1968-1974</t>
  </si>
  <si>
    <t>Luminor 1968–1974 tikslinės grupės pensijų fondas</t>
  </si>
  <si>
    <t>INVL pensija 1968–1974</t>
  </si>
  <si>
    <t>SEB 1968–1974 metų tikslinės grupės pensijų kaupimo fondas</t>
  </si>
  <si>
    <t>Aviva X2 1968–1974 tikslinės grupės pensijų fondas</t>
  </si>
  <si>
    <t>Tikslinės pensijų fondų dalyvių grupės pensijų fondai, 1961-1967</t>
  </si>
  <si>
    <t>Luminor 1961–1967 tikslinės grupės pensijų fondas</t>
  </si>
  <si>
    <t>INVL pensija 1961–1967</t>
  </si>
  <si>
    <t>SEB 1961–1967 metų tikslinės grupės pensijų kaupimo fondas</t>
  </si>
  <si>
    <t>Aviva X1 1961–1967 tikslinės grupės pensijų fondas</t>
  </si>
  <si>
    <t>Tikslinės pensijų fondų dalyvių grupės pensijų fondai, 1954-1960</t>
  </si>
  <si>
    <t>Luminor 1954–1960 tikslinės grupės pensijų fondas</t>
  </si>
  <si>
    <t>INVL pensija 1954–1960</t>
  </si>
  <si>
    <t>SEB 1954–1960 metų tikslinės grupės pensijų kaupimo fondas</t>
  </si>
  <si>
    <t>Swedbank pensija 1954–1960</t>
  </si>
  <si>
    <t>Aviva B 1954–1960 tikslinės grupės pensijų fondas</t>
  </si>
  <si>
    <t>Pensijų turto išsaugojimo pensijų fondai</t>
  </si>
  <si>
    <t>Luminor turto išsaugojimo fondas</t>
  </si>
  <si>
    <t>INVL pensijų turto išsaugojimo fondas</t>
  </si>
  <si>
    <t>SEB turto išsaugojimo pensijų kaupimo fondas</t>
  </si>
  <si>
    <t>Swedbank turto išsaugojimo pensijų fondas</t>
  </si>
  <si>
    <t>Dalyvių skaičius</t>
  </si>
  <si>
    <t>Grąža</t>
  </si>
  <si>
    <t>Rizika</t>
  </si>
  <si>
    <t>Dalyvio amžius</t>
  </si>
  <si>
    <t>Rizika ***</t>
  </si>
  <si>
    <t xml:space="preserve">Strategija </t>
  </si>
  <si>
    <t>Grįžti į pagrindinį puslapį</t>
  </si>
  <si>
    <t>Dalyvių sk. (tūkst.)</t>
  </si>
  <si>
    <t>Grąža (proc.)</t>
  </si>
  <si>
    <t>Fondo turtas (mln. Eur)</t>
  </si>
  <si>
    <t>* Apskaitos vieneto vertės pokytis. Juo atsižvelgiama į atskaitymus nuo turto.</t>
  </si>
  <si>
    <t>Rizikingų turto klasių dalis *</t>
  </si>
  <si>
    <t>* Rizikingų turto klasių dalis gali būti padidinta arba sumažinta iki 10 procentinių punktų.</t>
  </si>
  <si>
    <t>Grynųjų aktyvų****** vertė, mln. Eur</t>
  </si>
  <si>
    <t xml:space="preserve">Swedbank pensija 1961–1967******* </t>
  </si>
  <si>
    <t xml:space="preserve">Swedbank pensija 1968–1974******* </t>
  </si>
  <si>
    <t xml:space="preserve">Swedbank pensija 1975–1981******* </t>
  </si>
  <si>
    <t xml:space="preserve">Swedbank pensija 1982–1988******* </t>
  </si>
  <si>
    <t xml:space="preserve">Swedbank pensija 1989–1995******* </t>
  </si>
  <si>
    <t xml:space="preserve">Swedbank pensija 1996–2002******* </t>
  </si>
  <si>
    <t>****** Grynieji aktyvai – pensijų fondą sudarančio turto ir įsipareigojimų verčių skirtumas.</t>
  </si>
  <si>
    <t xml:space="preserve">***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</si>
  <si>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 Lyginamasis indeksas apibrėžiamas kaip pensijų kaupimo bendrovės pasirinktas orientacinis investicijų portfelis, atitinkantis fondo investavimo strategiją, su kurio vertės pokyčio reikšme lyginama fondo investicijų portfelio investicijų grąža. </t>
  </si>
  <si>
    <t>vieneto vertės pokytis nuo metų pradžios, proc.*</t>
  </si>
  <si>
    <t>lyginamojo indekso vertės pokytis nuo metų pradžios, proc.**</t>
  </si>
  <si>
    <t>rizikingų aktyvų dalis fonde, proc. *****</t>
  </si>
  <si>
    <t>Svertinis vidurkis****:</t>
  </si>
  <si>
    <r>
      <t xml:space="preserve">*******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</si>
  <si>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</si>
  <si>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</si>
  <si>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</si>
  <si>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</si>
  <si>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</si>
  <si>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</si>
  <si>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Visų pensijų fondų svertinis vidurkis****:</t>
  </si>
  <si>
    <t>UAB „SEB investicijų valdymas“</t>
  </si>
  <si>
    <t>UAB „INVL Asset Management“</t>
  </si>
  <si>
    <t>UAB „Swedbank investicijų valdymas“</t>
  </si>
  <si>
    <t>Aviva S turto išsaugojimo pensijų fondas********</t>
  </si>
  <si>
    <t>Veiklos 
laikotarpis, metais</t>
  </si>
  <si>
    <t>******** Šio pensijų fondo lyginamasis indeksas yra sudarytas iš nerizikingus aktyvus atspindinčio 1–3 metų trukmės Eurozonos vyriausybių eurais denominuotų obligacijų indekso. Kadangi šis pensijų fondas dalį lėšų investuoja ir į rizikingus aktyvus, kaip tai numato teisės aktai ir pensijų fondo strategija, todėl šio pensijų fondo grąža yra reikšmingai didesnė nei jo pasirinktas indeksas.</t>
  </si>
  <si>
    <t>1 m. 3 mėn.</t>
  </si>
  <si>
    <t>vieneto vertės pokytis nuo veiklos pradžios, proc.</t>
  </si>
  <si>
    <t>lyginamojo indekso vertės pokytis nuo veiklos pradžios, proc.</t>
  </si>
  <si>
    <t xml:space="preserve">vieneto vertės standartinis nuokrypis, nuo veiklos pradžios, proc. </t>
  </si>
  <si>
    <t>lyginamojo indekso standartinis nuokrypis, nuo veiklos pradžios, proc.</t>
  </si>
  <si>
    <t>Rizikos ir grąžos palyginimas (nuo veiklos pradžios)</t>
  </si>
  <si>
    <t>Dalyvių skaičiaus, grąžos (nuo fondo veiklos pradžios) ir fondo turto palyginimas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</si>
  <si>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</si>
  <si>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 Svertiniam vidurkiui apskaičiuoti naudotas 2020-03-31 dienos fondų grynųjų aktyvų dydis.</t>
  </si>
  <si>
    <t>***** Investicijų į akcijas dalis, numatyta pensijų fondo strategijoje. Rizikingų turto klasių dalis gali būti padidinta arba sumažinta iki 10 procentinių punktų.</t>
  </si>
  <si>
    <t>*******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</si>
  <si>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t>
  </si>
  <si>
    <t>BAR, proc. *********</t>
  </si>
  <si>
    <t>Sąlyginis 
BIK, proc.**********</t>
  </si>
  <si>
    <t>Tikėtinas 
sąlyginis BIK, proc. **********</t>
  </si>
  <si>
    <t>Išlaidų rodikliai (2019 m.)</t>
  </si>
  <si>
    <t>*********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</si>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</sst>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_-* #,##0\ _€_-;\-* #,##0\ _€_-;_-* &quot;-&quot;??\ _€_-;_-@_-"/>
    <numFmt numFmtId="165" formatCode="0.00_ ;[Red]\-0.00\ "/>
    <numFmt numFmtId="166" formatCode="0.000"/>
    <numFmt numFmtId="167" formatCode="0.0%"/>
  </numFmts>
  <fonts count="32" x14ac:knownFonts="1">
    <font>
      <sz val="11"/>
      <color theme="1"/>
      <name val="Calibri"/>
      <family val="2"/>
      <scheme val="minor"/>
    </font>
    <font>
      <sz val="11"/>
      <color theme="1"/>
      <name val="Calibri"/>
      <family val="2"/>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1" fillId="0" borderId="0"/>
    <xf numFmtId="0" fontId="1" fillId="0" borderId="0"/>
    <xf numFmtId="9" fontId="1" fillId="0" borderId="0" applyFont="0" applyFill="0" applyBorder="0" applyAlignment="0" applyProtection="0"/>
  </cellStyleXfs>
  <cellXfs count="78">
    <xf numFmtId="0" fontId="0" fillId="0" borderId="0" xfId="0"/>
    <xf numFmtId="10" fontId="0" fillId="0" borderId="0" xfId="0" applyNumberFormat="1"/>
    <xf numFmtId="0" fontId="0" fillId="0" borderId="0" xfId="0" applyFill="1"/>
    <xf numFmtId="0" fontId="2" fillId="0" borderId="0" xfId="0" applyFont="1"/>
    <xf numFmtId="10" fontId="2" fillId="0" borderId="0" xfId="0" applyNumberFormat="1" applyFont="1" applyFill="1"/>
    <xf numFmtId="0" fontId="2" fillId="0" borderId="0" xfId="0" applyFont="1" applyFill="1"/>
    <xf numFmtId="14" fontId="0" fillId="0" borderId="0" xfId="0" applyNumberFormat="1"/>
    <xf numFmtId="0" fontId="6" fillId="0" borderId="0" xfId="0" applyFont="1"/>
    <xf numFmtId="2" fontId="6" fillId="0" borderId="0" xfId="0" applyNumberFormat="1" applyFont="1" applyBorder="1"/>
    <xf numFmtId="164" fontId="6" fillId="0" borderId="0" xfId="1" applyNumberFormat="1" applyFont="1" applyBorder="1"/>
    <xf numFmtId="165" fontId="6" fillId="0" borderId="0" xfId="0" applyNumberFormat="1" applyFont="1" applyBorder="1" applyAlignment="1">
      <alignment horizontal="center"/>
    </xf>
    <xf numFmtId="165" fontId="10" fillId="0" borderId="0" xfId="0" applyNumberFormat="1" applyFont="1" applyBorder="1" applyAlignment="1">
      <alignment horizontal="center"/>
    </xf>
    <xf numFmtId="0" fontId="6" fillId="0" borderId="0" xfId="0" applyFont="1" applyFill="1"/>
    <xf numFmtId="165" fontId="6" fillId="0" borderId="0" xfId="0" applyNumberFormat="1" applyFont="1" applyFill="1" applyBorder="1" applyAlignment="1">
      <alignment horizontal="center"/>
    </xf>
    <xf numFmtId="165" fontId="10" fillId="0" borderId="0" xfId="0" applyNumberFormat="1" applyFont="1" applyFill="1" applyBorder="1" applyAlignment="1">
      <alignment horizontal="center"/>
    </xf>
    <xf numFmtId="0" fontId="12" fillId="2" borderId="0" xfId="4" applyFont="1" applyFill="1" applyAlignment="1"/>
    <xf numFmtId="0" fontId="13" fillId="0" borderId="0" xfId="0" applyFont="1"/>
    <xf numFmtId="14" fontId="13" fillId="0" borderId="0" xfId="0" applyNumberFormat="1" applyFont="1"/>
    <xf numFmtId="0" fontId="13" fillId="0" borderId="0" xfId="0" applyFont="1" applyAlignment="1"/>
    <xf numFmtId="0" fontId="16" fillId="0" borderId="0" xfId="0" applyFont="1"/>
    <xf numFmtId="9" fontId="8" fillId="0" borderId="0" xfId="2" applyFont="1" applyFill="1" applyBorder="1"/>
    <xf numFmtId="43" fontId="6" fillId="0" borderId="0" xfId="1" applyNumberFormat="1" applyFont="1" applyFill="1" applyBorder="1"/>
    <xf numFmtId="0" fontId="6" fillId="0" borderId="0" xfId="0" applyFont="1" applyBorder="1"/>
    <xf numFmtId="0" fontId="9"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4" fillId="0" borderId="0" xfId="0" applyNumberFormat="1" applyFont="1" applyBorder="1" applyAlignment="1">
      <alignment horizontal="left"/>
    </xf>
    <xf numFmtId="0" fontId="6" fillId="0" borderId="0" xfId="0" applyFont="1" applyFill="1" applyBorder="1" applyAlignment="1">
      <alignment horizontal="left"/>
    </xf>
    <xf numFmtId="0" fontId="6"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4"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Border="1"/>
    <xf numFmtId="0" fontId="3" fillId="0" borderId="0" xfId="0" applyFont="1" applyFill="1" applyBorder="1" applyAlignment="1">
      <alignment wrapText="1"/>
    </xf>
    <xf numFmtId="2" fontId="2"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29" fillId="0" borderId="0" xfId="0" applyFont="1" applyBorder="1"/>
    <xf numFmtId="0" fontId="27" fillId="2" borderId="0" xfId="4" applyFont="1" applyFill="1" applyAlignment="1"/>
    <xf numFmtId="0" fontId="22" fillId="0" borderId="0" xfId="0" applyFont="1"/>
    <xf numFmtId="0" fontId="28" fillId="0" borderId="0" xfId="0" applyFont="1"/>
    <xf numFmtId="0" fontId="22" fillId="0" borderId="0" xfId="0" applyFont="1" applyAlignment="1"/>
    <xf numFmtId="1" fontId="4" fillId="0" borderId="6" xfId="0" applyNumberFormat="1" applyFont="1" applyFill="1" applyBorder="1" applyAlignment="1">
      <alignment horizontal="center" vertical="center"/>
    </xf>
    <xf numFmtId="0" fontId="7" fillId="0" borderId="0" xfId="3" applyFont="1" applyAlignment="1">
      <alignment vertical="top"/>
    </xf>
    <xf numFmtId="2" fontId="0" fillId="0" borderId="0" xfId="0" applyNumberFormat="1"/>
    <xf numFmtId="166" fontId="0" fillId="0" borderId="0" xfId="0" applyNumberFormat="1"/>
    <xf numFmtId="164" fontId="0" fillId="0" borderId="0" xfId="0" applyNumberFormat="1"/>
    <xf numFmtId="167" fontId="0" fillId="0" borderId="0" xfId="2" applyNumberFormat="1" applyFont="1"/>
    <xf numFmtId="43"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4" fillId="0" borderId="0" xfId="0" applyNumberFormat="1" applyFont="1" applyFill="1" applyBorder="1" applyAlignment="1">
      <alignment horizontal="center" wrapText="1"/>
    </xf>
    <xf numFmtId="2" fontId="4"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3" fillId="0" borderId="0" xfId="0" applyNumberFormat="1" applyFont="1" applyFill="1" applyBorder="1" applyAlignment="1">
      <alignment horizontal="right"/>
    </xf>
    <xf numFmtId="0" fontId="31" fillId="0" borderId="0" xfId="0" applyFont="1" applyFill="1" applyBorder="1" applyAlignment="1">
      <alignment wrapText="1"/>
    </xf>
    <xf numFmtId="0" fontId="25" fillId="0" borderId="7" xfId="0" applyFont="1" applyFill="1" applyBorder="1" applyAlignment="1">
      <alignment horizontal="left" wrapText="1"/>
    </xf>
    <xf numFmtId="0" fontId="18" fillId="3" borderId="9"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8" xfId="0" applyFont="1" applyFill="1" applyBorder="1" applyAlignment="1">
      <alignment horizontal="center" vertical="center" wrapText="1"/>
    </xf>
  </cellXfs>
  <cellStyles count="7">
    <cellStyle name="Comma" xfId="1" builtinId="3"/>
    <cellStyle name="Hyperlink" xfId="3" builtinId="8"/>
    <cellStyle name="Normal" xfId="0" builtinId="0"/>
    <cellStyle name="Normal 2" xfId="5"/>
    <cellStyle name="Normal 3" xfId="4"/>
    <cellStyle name="Percent" xfId="2" builtinId="5"/>
    <cellStyle name="Percent 2" xfId="6"/>
  </cellStyles>
  <dxfs count="159">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'1996-2002'!$C$30</c:f>
              <c:strCache>
                <c:ptCount val="1"/>
                <c:pt idx="0">
                  <c:v>Grąža</c:v>
                </c:pt>
              </c:strCache>
            </c:strRef>
          </c:tx>
          <c:spPr>
            <a:ln w="28575">
              <a:noFill/>
            </a:ln>
          </c:spPr>
          <c:marker>
            <c:symbol val="diamond"/>
            <c:size val="15"/>
            <c:spPr>
              <a:solidFill>
                <a:srgbClr val="00B07D"/>
              </a:solidFill>
            </c:spPr>
          </c:marker>
          <c:dLbls>
            <c:dLbl>
              <c:idx val="0"/>
              <c:layout>
                <c:manualLayout>
                  <c:x val="-0.1074293426151271"/>
                  <c:y val="1.6545288859098818E-2"/>
                </c:manualLayout>
              </c:layout>
              <c:tx>
                <c:rich>
                  <a:bodyPr/>
                  <a:lstStyle/>
                  <a:p>
                    <a:r>
                      <a:rPr lang="en-US"/>
                      <a:t>LMN-96/02</a:t>
                    </a:r>
                  </a:p>
                </c:rich>
              </c:tx>
              <c:showLegendKey val="0"/>
              <c:showVal val="1"/>
              <c:showCatName val="1"/>
              <c:showSerName val="1"/>
              <c:showPercent val="0"/>
              <c:showBubbleSize val="0"/>
            </c:dLbl>
            <c:dLbl>
              <c:idx val="1"/>
              <c:layout>
                <c:manualLayout>
                  <c:x val="-0.11252325073127174"/>
                  <c:y val="-3.1791069505426668E-3"/>
                </c:manualLayout>
              </c:layout>
              <c:tx>
                <c:rich>
                  <a:bodyPr/>
                  <a:lstStyle/>
                  <a:p>
                    <a:r>
                      <a:rPr lang="en-US"/>
                      <a:t>INV-96/02</a:t>
                    </a:r>
                  </a:p>
                </c:rich>
              </c:tx>
              <c:showLegendKey val="0"/>
              <c:showVal val="1"/>
              <c:showCatName val="1"/>
              <c:showSerName val="1"/>
              <c:showPercent val="0"/>
              <c:showBubbleSize val="0"/>
            </c:dLbl>
            <c:dLbl>
              <c:idx val="2"/>
              <c:layout>
                <c:manualLayout>
                  <c:x val="-0.11206743351210596"/>
                  <c:y val="-5.2944321853277206E-4"/>
                </c:manualLayout>
              </c:layout>
              <c:tx>
                <c:rich>
                  <a:bodyPr/>
                  <a:lstStyle/>
                  <a:p>
                    <a:r>
                      <a:rPr lang="en-US"/>
                      <a:t>SBN-96/02</a:t>
                    </a:r>
                  </a:p>
                </c:rich>
              </c:tx>
              <c:showLegendKey val="0"/>
              <c:showVal val="1"/>
              <c:showCatName val="1"/>
              <c:showSerName val="1"/>
              <c:showPercent val="0"/>
              <c:showBubbleSize val="0"/>
            </c:dLbl>
            <c:dLbl>
              <c:idx val="3"/>
              <c:layout>
                <c:manualLayout>
                  <c:x val="-3.7206678086000013E-2"/>
                  <c:y val="-4.581867887724899E-2"/>
                </c:manualLayout>
              </c:layout>
              <c:tx>
                <c:rich>
                  <a:bodyPr/>
                  <a:lstStyle/>
                  <a:p>
                    <a:r>
                      <a:rPr lang="en-US"/>
                      <a:t>SWD-96/02</a:t>
                    </a:r>
                  </a:p>
                </c:rich>
              </c:tx>
              <c:showLegendKey val="0"/>
              <c:showVal val="1"/>
              <c:showCatName val="1"/>
              <c:showSerName val="1"/>
              <c:showPercent val="0"/>
              <c:showBubbleSize val="0"/>
            </c:dLbl>
            <c:dLbl>
              <c:idx val="4"/>
              <c:layout>
                <c:manualLayout>
                  <c:x val="-0.11218455754448167"/>
                  <c:y val="4.2229309916329266E-3"/>
                </c:manualLayout>
              </c:layout>
              <c:tx>
                <c:rich>
                  <a:bodyPr/>
                  <a:lstStyle/>
                  <a:p>
                    <a:r>
                      <a:rPr lang="en-US"/>
                      <a:t>AVI-96/02</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'1996-2002'!$B$31:$B$35</c:f>
              <c:numCache>
                <c:formatCode>0.00</c:formatCode>
                <c:ptCount val="5"/>
                <c:pt idx="0">
                  <c:v>15.520908957918172</c:v>
                </c:pt>
                <c:pt idx="1">
                  <c:v>15.48449172486934</c:v>
                </c:pt>
                <c:pt idx="2">
                  <c:v>16.889127450593019</c:v>
                </c:pt>
                <c:pt idx="3">
                  <c:v>15.411673025871764</c:v>
                </c:pt>
                <c:pt idx="4">
                  <c:v>15.949909245447044</c:v>
                </c:pt>
              </c:numCache>
            </c:numRef>
          </c:xVal>
          <c:yVal>
            <c:numRef>
              <c:f>'1996-2002'!$C$31:$C$35</c:f>
              <c:numCache>
                <c:formatCode>0.00</c:formatCode>
                <c:ptCount val="5"/>
                <c:pt idx="0">
                  <c:v>1.7700000000000049</c:v>
                </c:pt>
                <c:pt idx="1">
                  <c:v>1.1800000000000033</c:v>
                </c:pt>
                <c:pt idx="2">
                  <c:v>2.3400000000000087</c:v>
                </c:pt>
                <c:pt idx="3">
                  <c:v>2.0451988955926037</c:v>
                </c:pt>
                <c:pt idx="4">
                  <c:v>-0.37000000000000366</c:v>
                </c:pt>
              </c:numCache>
            </c:numRef>
          </c:yVal>
          <c:smooth val="0"/>
        </c:ser>
        <c:dLbls>
          <c:showLegendKey val="0"/>
          <c:showVal val="0"/>
          <c:showCatName val="0"/>
          <c:showSerName val="0"/>
          <c:showPercent val="0"/>
          <c:showBubbleSize val="0"/>
        </c:dLbls>
        <c:axId val="131842048"/>
        <c:axId val="131843200"/>
      </c:scatterChart>
      <c:valAx>
        <c:axId val="131842048"/>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1843200"/>
        <c:crosses val="autoZero"/>
        <c:crossBetween val="midCat"/>
      </c:valAx>
      <c:valAx>
        <c:axId val="13184320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318420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'1996-2002'!$C$60</c:f>
              <c:strCache>
                <c:ptCount val="1"/>
                <c:pt idx="0">
                  <c:v>Grąža (proc.)</c:v>
                </c:pt>
              </c:strCache>
            </c:strRef>
          </c:tx>
          <c:spPr>
            <a:solidFill>
              <a:srgbClr val="00B07D"/>
            </a:solidFill>
          </c:spPr>
          <c:invertIfNegative val="0"/>
          <c:dLbls>
            <c:dLbl>
              <c:idx val="0"/>
              <c:layout>
                <c:manualLayout>
                  <c:x val="-3.5483870066449832E-3"/>
                  <c:y val="-3.0092592592592591E-2"/>
                </c:manualLayout>
              </c:layout>
              <c:tx>
                <c:rich>
                  <a:bodyPr/>
                  <a:lstStyle/>
                  <a:p>
                    <a:r>
                      <a:rPr lang="en-US"/>
                      <a:t>LMN-96/02</a:t>
                    </a:r>
                  </a:p>
                </c:rich>
              </c:tx>
              <c:showLegendKey val="0"/>
              <c:showVal val="1"/>
              <c:showCatName val="1"/>
              <c:showSerName val="0"/>
              <c:showPercent val="0"/>
              <c:showBubbleSize val="1"/>
            </c:dLbl>
            <c:dLbl>
              <c:idx val="1"/>
              <c:layout>
                <c:manualLayout>
                  <c:x val="-4.7311826755266446E-3"/>
                  <c:y val="6.9444444444444024E-3"/>
                </c:manualLayout>
              </c:layout>
              <c:tx>
                <c:rich>
                  <a:bodyPr/>
                  <a:lstStyle/>
                  <a:p>
                    <a:r>
                      <a:rPr lang="en-US"/>
                      <a:t>INV-96/02</a:t>
                    </a:r>
                  </a:p>
                </c:rich>
              </c:tx>
              <c:showLegendKey val="0"/>
              <c:showVal val="1"/>
              <c:showCatName val="1"/>
              <c:showSerName val="0"/>
              <c:showPercent val="0"/>
              <c:showBubbleSize val="1"/>
            </c:dLbl>
            <c:dLbl>
              <c:idx val="2"/>
              <c:layout>
                <c:manualLayout>
                  <c:x val="0"/>
                  <c:y val="-2.314814392896181E-2"/>
                </c:manualLayout>
              </c:layout>
              <c:tx>
                <c:rich>
                  <a:bodyPr/>
                  <a:lstStyle/>
                  <a:p>
                    <a:r>
                      <a:rPr lang="en-US"/>
                      <a:t>SBN-96/02</a:t>
                    </a:r>
                  </a:p>
                </c:rich>
              </c:tx>
              <c:showLegendKey val="0"/>
              <c:showVal val="1"/>
              <c:showCatName val="1"/>
              <c:showSerName val="0"/>
              <c:showPercent val="0"/>
              <c:showBubbleSize val="1"/>
            </c:dLbl>
            <c:dLbl>
              <c:idx val="3"/>
              <c:tx>
                <c:rich>
                  <a:bodyPr/>
                  <a:lstStyle/>
                  <a:p>
                    <a:r>
                      <a:rPr lang="en-US"/>
                      <a:t>SWD-96/02</a:t>
                    </a:r>
                  </a:p>
                </c:rich>
              </c:tx>
              <c:showLegendKey val="0"/>
              <c:showVal val="1"/>
              <c:showCatName val="1"/>
              <c:showSerName val="0"/>
              <c:showPercent val="0"/>
              <c:showBubbleSize val="1"/>
            </c:dLbl>
            <c:dLbl>
              <c:idx val="4"/>
              <c:layout>
                <c:manualLayout>
                  <c:x val="-1.1827956688816612E-3"/>
                  <c:y val="3.0092587107650351E-2"/>
                </c:manualLayout>
              </c:layout>
              <c:tx>
                <c:rich>
                  <a:bodyPr/>
                  <a:lstStyle/>
                  <a:p>
                    <a:r>
                      <a:rPr lang="en-US"/>
                      <a:t>AVI-96/02</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'1996-2002'!$B$61:$B$65</c:f>
              <c:numCache>
                <c:formatCode>0.00</c:formatCode>
                <c:ptCount val="5"/>
                <c:pt idx="0">
                  <c:v>6.0789999999999997</c:v>
                </c:pt>
                <c:pt idx="1">
                  <c:v>9.3659999999999997</c:v>
                </c:pt>
                <c:pt idx="2">
                  <c:v>11.804</c:v>
                </c:pt>
                <c:pt idx="3">
                  <c:v>30.181999999999999</c:v>
                </c:pt>
                <c:pt idx="4">
                  <c:v>11.579000000000001</c:v>
                </c:pt>
              </c:numCache>
            </c:numRef>
          </c:xVal>
          <c:yVal>
            <c:numRef>
              <c:f>'1996-2002'!$C$61:$C$65</c:f>
              <c:numCache>
                <c:formatCode>0.00</c:formatCode>
                <c:ptCount val="5"/>
                <c:pt idx="0">
                  <c:v>1.7700000000000049</c:v>
                </c:pt>
                <c:pt idx="1">
                  <c:v>1.1800000000000033</c:v>
                </c:pt>
                <c:pt idx="2">
                  <c:v>2.3400000000000087</c:v>
                </c:pt>
                <c:pt idx="3">
                  <c:v>2.0451988955926037</c:v>
                </c:pt>
                <c:pt idx="4">
                  <c:v>-0.37000000000000366</c:v>
                </c:pt>
              </c:numCache>
            </c:numRef>
          </c:yVal>
          <c:bubbleSize>
            <c:numRef>
              <c:f>'1996-2002'!$D$61:$D$65</c:f>
              <c:numCache>
                <c:formatCode>0.00</c:formatCode>
                <c:ptCount val="5"/>
                <c:pt idx="0">
                  <c:v>1.8299925899</c:v>
                </c:pt>
                <c:pt idx="1">
                  <c:v>4.7324482284</c:v>
                </c:pt>
                <c:pt idx="2">
                  <c:v>6.2662444199999996</c:v>
                </c:pt>
                <c:pt idx="3">
                  <c:v>14.66306541</c:v>
                </c:pt>
                <c:pt idx="4">
                  <c:v>4.6711833299999999</c:v>
                </c:pt>
              </c:numCache>
            </c:numRef>
          </c:bubbleSize>
          <c:bubble3D val="1"/>
        </c:ser>
        <c:dLbls>
          <c:showLegendKey val="0"/>
          <c:showVal val="0"/>
          <c:showCatName val="0"/>
          <c:showSerName val="0"/>
          <c:showPercent val="0"/>
          <c:showBubbleSize val="0"/>
        </c:dLbls>
        <c:bubbleScale val="100"/>
        <c:showNegBubbles val="0"/>
        <c:axId val="131844352"/>
        <c:axId val="131844928"/>
      </c:bubbleChart>
      <c:valAx>
        <c:axId val="13184435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1844928"/>
        <c:crosses val="autoZero"/>
        <c:crossBetween val="midCat"/>
      </c:valAx>
      <c:valAx>
        <c:axId val="1318449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18443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'1989-1995'!$C$30</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dLbl>
            <c:dLbl>
              <c:idx val="2"/>
              <c:layout>
                <c:manualLayout>
                  <c:x val="-5.7986439584841898E-2"/>
                  <c:y val="-4.0239943967886972E-2"/>
                </c:manualLayout>
              </c:layout>
              <c:tx>
                <c:rich>
                  <a:bodyPr/>
                  <a:lstStyle/>
                  <a:p>
                    <a:r>
                      <a:rPr lang="en-US"/>
                      <a:t>SBN-89/95</a:t>
                    </a:r>
                  </a:p>
                </c:rich>
              </c:tx>
              <c:showLegendKey val="0"/>
              <c:showVal val="1"/>
              <c:showCatName val="1"/>
              <c:showSerName val="1"/>
              <c:showPercent val="0"/>
              <c:showBubbleSize val="0"/>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dLbl>
            <c:dLbl>
              <c:idx val="4"/>
              <c:layout>
                <c:manualLayout>
                  <c:x val="3.451757929504543E-3"/>
                  <c:y val="-1.4906311897033548E-2"/>
                </c:manualLayout>
              </c:layout>
              <c:tx>
                <c:rich>
                  <a:bodyPr/>
                  <a:lstStyle/>
                  <a:p>
                    <a:r>
                      <a:rPr lang="en-US"/>
                      <a:t>AVI-89/95</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'1989-1995'!$B$31:$B$35</c:f>
              <c:numCache>
                <c:formatCode>0.00</c:formatCode>
                <c:ptCount val="5"/>
                <c:pt idx="0">
                  <c:v>15.592656978385449</c:v>
                </c:pt>
                <c:pt idx="1">
                  <c:v>15.768448498249166</c:v>
                </c:pt>
                <c:pt idx="2">
                  <c:v>16.644581548661623</c:v>
                </c:pt>
                <c:pt idx="3">
                  <c:v>15.354508373996453</c:v>
                </c:pt>
                <c:pt idx="4">
                  <c:v>15.834818546667378</c:v>
                </c:pt>
              </c:numCache>
            </c:numRef>
          </c:xVal>
          <c:yVal>
            <c:numRef>
              <c:f>'1989-1995'!$C$31:$C$35</c:f>
              <c:numCache>
                <c:formatCode>0.00</c:formatCode>
                <c:ptCount val="5"/>
                <c:pt idx="0">
                  <c:v>1.7200000000000104</c:v>
                </c:pt>
                <c:pt idx="1">
                  <c:v>0.80000000000000071</c:v>
                </c:pt>
                <c:pt idx="2">
                  <c:v>1.8499999999999961</c:v>
                </c:pt>
                <c:pt idx="3">
                  <c:v>3.0215530576466865</c:v>
                </c:pt>
                <c:pt idx="4">
                  <c:v>-1.9000000000000017</c:v>
                </c:pt>
              </c:numCache>
            </c:numRef>
          </c:yVal>
          <c:smooth val="0"/>
        </c:ser>
        <c:dLbls>
          <c:showLegendKey val="0"/>
          <c:showVal val="0"/>
          <c:showCatName val="0"/>
          <c:showSerName val="0"/>
          <c:showPercent val="0"/>
          <c:showBubbleSize val="0"/>
        </c:dLbls>
        <c:axId val="131846656"/>
        <c:axId val="131847232"/>
      </c:scatterChart>
      <c:valAx>
        <c:axId val="13184665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1847232"/>
        <c:crosses val="autoZero"/>
        <c:crossBetween val="midCat"/>
      </c:valAx>
      <c:valAx>
        <c:axId val="131847232"/>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318466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'1989-1995'!$C$60</c:f>
              <c:strCache>
                <c:ptCount val="1"/>
                <c:pt idx="0">
                  <c:v>Grąža (proc.)</c:v>
                </c:pt>
              </c:strCache>
            </c:strRef>
          </c:tx>
          <c:spPr>
            <a:solidFill>
              <a:srgbClr val="00B07D"/>
            </a:solidFill>
          </c:spPr>
          <c:invertIfNegative val="0"/>
          <c:dLbls>
            <c:dLbl>
              <c:idx val="0"/>
              <c:layout>
                <c:manualLayout>
                  <c:x val="-3.0859068407800821E-2"/>
                  <c:y val="-8.5648314806008513E-2"/>
                </c:manualLayout>
              </c:layout>
              <c:tx>
                <c:rich>
                  <a:bodyPr/>
                  <a:lstStyle/>
                  <a:p>
                    <a:r>
                      <a:rPr lang="en-US"/>
                      <a:t>LMN-89/95</a:t>
                    </a:r>
                  </a:p>
                </c:rich>
              </c:tx>
              <c:showLegendKey val="0"/>
              <c:showVal val="1"/>
              <c:showCatName val="1"/>
              <c:showSerName val="0"/>
              <c:showPercent val="0"/>
              <c:showBubbleSize val="1"/>
            </c:dLbl>
            <c:dLbl>
              <c:idx val="1"/>
              <c:layout>
                <c:manualLayout>
                  <c:x val="-7.6938448635277224E-3"/>
                  <c:y val="4.629628785792362E-2"/>
                </c:manualLayout>
              </c:layout>
              <c:tx>
                <c:rich>
                  <a:bodyPr/>
                  <a:lstStyle/>
                  <a:p>
                    <a:r>
                      <a:rPr lang="en-US"/>
                      <a:t>INV-89/95</a:t>
                    </a:r>
                  </a:p>
                </c:rich>
              </c:tx>
              <c:showLegendKey val="0"/>
              <c:showVal val="1"/>
              <c:showCatName val="1"/>
              <c:showSerName val="0"/>
              <c:showPercent val="0"/>
              <c:showBubbleSize val="1"/>
            </c:dLbl>
            <c:dLbl>
              <c:idx val="2"/>
              <c:layout>
                <c:manualLayout>
                  <c:x val="-1.5387689727055525E-2"/>
                  <c:y val="-7.1759246179781605E-2"/>
                </c:manualLayout>
              </c:layout>
              <c:tx>
                <c:rich>
                  <a:bodyPr/>
                  <a:lstStyle/>
                  <a:p>
                    <a:r>
                      <a:rPr lang="en-US"/>
                      <a:t>SBN-89/95</a:t>
                    </a:r>
                  </a:p>
                </c:rich>
              </c:tx>
              <c:showLegendKey val="0"/>
              <c:showVal val="1"/>
              <c:showCatName val="1"/>
              <c:showSerName val="0"/>
              <c:showPercent val="0"/>
              <c:showBubbleSize val="1"/>
            </c:dLbl>
            <c:dLbl>
              <c:idx val="3"/>
              <c:tx>
                <c:rich>
                  <a:bodyPr/>
                  <a:lstStyle/>
                  <a:p>
                    <a:r>
                      <a:rPr lang="en-US"/>
                      <a:t>SWD-89/95</a:t>
                    </a:r>
                  </a:p>
                </c:rich>
              </c:tx>
              <c:showLegendKey val="0"/>
              <c:showVal val="1"/>
              <c:showCatName val="1"/>
              <c:showSerName val="0"/>
              <c:showPercent val="0"/>
              <c:showBubbleSize val="1"/>
            </c:dLbl>
            <c:dLbl>
              <c:idx val="4"/>
              <c:layout>
                <c:manualLayout>
                  <c:x val="-1.1074895901586678E-2"/>
                  <c:y val="6.2499988608196888E-2"/>
                </c:manualLayout>
              </c:layout>
              <c:tx>
                <c:rich>
                  <a:bodyPr/>
                  <a:lstStyle/>
                  <a:p>
                    <a:r>
                      <a:rPr lang="en-US"/>
                      <a:t>AVI-89/95</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'1989-1995'!$B$61:$B$65</c:f>
              <c:numCache>
                <c:formatCode>0.00</c:formatCode>
                <c:ptCount val="5"/>
                <c:pt idx="0">
                  <c:v>17.724</c:v>
                </c:pt>
                <c:pt idx="1">
                  <c:v>31.053999999999998</c:v>
                </c:pt>
                <c:pt idx="2">
                  <c:v>38.731999999999999</c:v>
                </c:pt>
                <c:pt idx="3">
                  <c:v>86.941000000000003</c:v>
                </c:pt>
                <c:pt idx="4">
                  <c:v>30.242999999999999</c:v>
                </c:pt>
              </c:numCache>
            </c:numRef>
          </c:xVal>
          <c:yVal>
            <c:numRef>
              <c:f>'1989-1995'!$C$61:$C$65</c:f>
              <c:numCache>
                <c:formatCode>0.00</c:formatCode>
                <c:ptCount val="5"/>
                <c:pt idx="0">
                  <c:v>1.7200000000000104</c:v>
                </c:pt>
                <c:pt idx="1">
                  <c:v>0.80000000000000071</c:v>
                </c:pt>
                <c:pt idx="2">
                  <c:v>1.8499999999999961</c:v>
                </c:pt>
                <c:pt idx="3">
                  <c:v>3.0215530576466865</c:v>
                </c:pt>
                <c:pt idx="4">
                  <c:v>-1.9000000000000017</c:v>
                </c:pt>
              </c:numCache>
            </c:numRef>
          </c:yVal>
          <c:bubbleSize>
            <c:numRef>
              <c:f>'1989-1995'!$D$61:$D$65</c:f>
              <c:numCache>
                <c:formatCode>0.00</c:formatCode>
                <c:ptCount val="5"/>
                <c:pt idx="0">
                  <c:v>18.403021606500001</c:v>
                </c:pt>
                <c:pt idx="1">
                  <c:v>39.392853644399999</c:v>
                </c:pt>
                <c:pt idx="2">
                  <c:v>46.971955950000002</c:v>
                </c:pt>
                <c:pt idx="3">
                  <c:v>106.44098414</c:v>
                </c:pt>
                <c:pt idx="4">
                  <c:v>31.86131692</c:v>
                </c:pt>
              </c:numCache>
            </c:numRef>
          </c:bubbleSize>
          <c:bubble3D val="1"/>
        </c:ser>
        <c:dLbls>
          <c:showLegendKey val="0"/>
          <c:showVal val="0"/>
          <c:showCatName val="0"/>
          <c:showSerName val="0"/>
          <c:showPercent val="0"/>
          <c:showBubbleSize val="0"/>
        </c:dLbls>
        <c:bubbleScale val="100"/>
        <c:showNegBubbles val="0"/>
        <c:axId val="132661248"/>
        <c:axId val="132662400"/>
      </c:bubbleChart>
      <c:valAx>
        <c:axId val="1326612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2662400"/>
        <c:crosses val="autoZero"/>
        <c:crossBetween val="midCat"/>
      </c:valAx>
      <c:valAx>
        <c:axId val="13266240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26612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'1982-1988'!$C$30</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dLbl>
            <c:dLbl>
              <c:idx val="1"/>
              <c:layout>
                <c:manualLayout>
                  <c:x val="-0.10999658778620029"/>
                  <c:y val="-5.9423034922165066E-3"/>
                </c:manualLayout>
              </c:layout>
              <c:tx>
                <c:rich>
                  <a:bodyPr/>
                  <a:lstStyle/>
                  <a:p>
                    <a:r>
                      <a:rPr lang="en-US"/>
                      <a:t>INV-82/88</a:t>
                    </a:r>
                  </a:p>
                </c:rich>
              </c:tx>
              <c:showLegendKey val="0"/>
              <c:showVal val="1"/>
              <c:showCatName val="1"/>
              <c:showSerName val="1"/>
              <c:showPercent val="0"/>
              <c:showBubbleSize val="0"/>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'1982-1988'!$B$31:$B$35</c:f>
              <c:numCache>
                <c:formatCode>0.00</c:formatCode>
                <c:ptCount val="5"/>
                <c:pt idx="0">
                  <c:v>15.553360856443591</c:v>
                </c:pt>
                <c:pt idx="1">
                  <c:v>15.639511428062866</c:v>
                </c:pt>
                <c:pt idx="2">
                  <c:v>16.552635835539601</c:v>
                </c:pt>
                <c:pt idx="3">
                  <c:v>15.336042136049416</c:v>
                </c:pt>
                <c:pt idx="4">
                  <c:v>15.779749753532396</c:v>
                </c:pt>
              </c:numCache>
            </c:numRef>
          </c:xVal>
          <c:yVal>
            <c:numRef>
              <c:f>'1982-1988'!$C$31:$C$35</c:f>
              <c:numCache>
                <c:formatCode>0.00</c:formatCode>
                <c:ptCount val="5"/>
                <c:pt idx="0">
                  <c:v>1.4799999999999924</c:v>
                </c:pt>
                <c:pt idx="1">
                  <c:v>0.60000000000000053</c:v>
                </c:pt>
                <c:pt idx="2">
                  <c:v>1.9400000000000084</c:v>
                </c:pt>
                <c:pt idx="3">
                  <c:v>3.1905007743933789</c:v>
                </c:pt>
                <c:pt idx="4">
                  <c:v>-1.6299999999999981</c:v>
                </c:pt>
              </c:numCache>
            </c:numRef>
          </c:yVal>
          <c:smooth val="0"/>
        </c:ser>
        <c:dLbls>
          <c:showLegendKey val="0"/>
          <c:showVal val="0"/>
          <c:showCatName val="0"/>
          <c:showSerName val="0"/>
          <c:showPercent val="0"/>
          <c:showBubbleSize val="0"/>
        </c:dLbls>
        <c:axId val="132664128"/>
        <c:axId val="132664704"/>
      </c:scatterChart>
      <c:valAx>
        <c:axId val="13266412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2664704"/>
        <c:crosses val="autoZero"/>
        <c:crossBetween val="midCat"/>
      </c:valAx>
      <c:valAx>
        <c:axId val="132664704"/>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3266412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'1982-1988'!$C$60</c:f>
              <c:strCache>
                <c:ptCount val="1"/>
                <c:pt idx="0">
                  <c:v>Grąža (proc.)</c:v>
                </c:pt>
              </c:strCache>
            </c:strRef>
          </c:tx>
          <c:spPr>
            <a:solidFill>
              <a:srgbClr val="00B07D"/>
            </a:solidFill>
          </c:spPr>
          <c:invertIfNegative val="0"/>
          <c:dLbls>
            <c:dLbl>
              <c:idx val="0"/>
              <c:layout>
                <c:manualLayout>
                  <c:x val="-3.2829607749493936E-2"/>
                  <c:y val="-9.7222204501639625E-2"/>
                </c:manualLayout>
              </c:layout>
              <c:tx>
                <c:rich>
                  <a:bodyPr/>
                  <a:lstStyle/>
                  <a:p>
                    <a:r>
                      <a:rPr lang="en-US"/>
                      <a:t>LMN-82/88</a:t>
                    </a:r>
                  </a:p>
                </c:rich>
              </c:tx>
              <c:showLegendKey val="0"/>
              <c:showVal val="1"/>
              <c:showCatName val="1"/>
              <c:showSerName val="0"/>
              <c:showPercent val="0"/>
              <c:showBubbleSize val="1"/>
            </c:dLbl>
            <c:dLbl>
              <c:idx val="1"/>
              <c:layout>
                <c:manualLayout>
                  <c:x val="-5.4563492915940086E-3"/>
                  <c:y val="-4.1666659072131254E-2"/>
                </c:manualLayout>
              </c:layout>
              <c:tx>
                <c:rich>
                  <a:bodyPr/>
                  <a:lstStyle/>
                  <a:p>
                    <a:r>
                      <a:rPr lang="en-US"/>
                      <a:t>INV-82/88</a:t>
                    </a:r>
                  </a:p>
                </c:rich>
              </c:tx>
              <c:showLegendKey val="0"/>
              <c:showVal val="1"/>
              <c:showCatName val="1"/>
              <c:showSerName val="0"/>
              <c:showPercent val="0"/>
              <c:showBubbleSize val="1"/>
            </c:dLbl>
            <c:dLbl>
              <c:idx val="2"/>
              <c:layout>
                <c:manualLayout>
                  <c:x val="-1.5277778016463224E-2"/>
                  <c:y val="-9.4907390108743425E-2"/>
                </c:manualLayout>
              </c:layout>
              <c:tx>
                <c:rich>
                  <a:bodyPr/>
                  <a:lstStyle/>
                  <a:p>
                    <a:r>
                      <a:rPr lang="en-US"/>
                      <a:t>SBN-82/88</a:t>
                    </a:r>
                  </a:p>
                </c:rich>
              </c:tx>
              <c:showLegendKey val="0"/>
              <c:showVal val="1"/>
              <c:showCatName val="1"/>
              <c:showSerName val="0"/>
              <c:showPercent val="0"/>
              <c:showBubbleSize val="1"/>
            </c:dLbl>
            <c:dLbl>
              <c:idx val="3"/>
              <c:layout>
                <c:manualLayout>
                  <c:x val="-4.3650794332752065E-3"/>
                  <c:y val="1.1574071964480884E-2"/>
                </c:manualLayout>
              </c:layout>
              <c:tx>
                <c:rich>
                  <a:bodyPr/>
                  <a:lstStyle/>
                  <a:p>
                    <a:r>
                      <a:rPr lang="en-US"/>
                      <a:t>SWD-82/88</a:t>
                    </a:r>
                  </a:p>
                </c:rich>
              </c:tx>
              <c:showLegendKey val="0"/>
              <c:showVal val="1"/>
              <c:showCatName val="1"/>
              <c:showSerName val="0"/>
              <c:showPercent val="0"/>
              <c:showBubbleSize val="1"/>
            </c:dLbl>
            <c:dLbl>
              <c:idx val="4"/>
              <c:layout>
                <c:manualLayout>
                  <c:x val="-1.1827818582486854E-3"/>
                  <c:y val="-2.5462958321858076E-2"/>
                </c:manualLayout>
              </c:layout>
              <c:tx>
                <c:rich>
                  <a:bodyPr/>
                  <a:lstStyle/>
                  <a:p>
                    <a:r>
                      <a:rPr lang="en-US"/>
                      <a:t>AVI-82/88</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'1982-1988'!$B$61:$B$65</c:f>
              <c:numCache>
                <c:formatCode>0.00</c:formatCode>
                <c:ptCount val="5"/>
                <c:pt idx="0">
                  <c:v>26.172999999999998</c:v>
                </c:pt>
                <c:pt idx="1">
                  <c:v>41.286999999999999</c:v>
                </c:pt>
                <c:pt idx="2">
                  <c:v>69.278999999999996</c:v>
                </c:pt>
                <c:pt idx="3">
                  <c:v>104.736</c:v>
                </c:pt>
                <c:pt idx="4">
                  <c:v>43.47</c:v>
                </c:pt>
              </c:numCache>
            </c:numRef>
          </c:xVal>
          <c:yVal>
            <c:numRef>
              <c:f>'1982-1988'!$C$61:$C$65</c:f>
              <c:numCache>
                <c:formatCode>0.00</c:formatCode>
                <c:ptCount val="5"/>
                <c:pt idx="0">
                  <c:v>1.4799999999999924</c:v>
                </c:pt>
                <c:pt idx="1">
                  <c:v>0.60000000000000053</c:v>
                </c:pt>
                <c:pt idx="2">
                  <c:v>1.9400000000000084</c:v>
                </c:pt>
                <c:pt idx="3">
                  <c:v>3.1905007743933789</c:v>
                </c:pt>
                <c:pt idx="4">
                  <c:v>-1.6299999999999981</c:v>
                </c:pt>
              </c:numCache>
            </c:numRef>
          </c:yVal>
          <c:bubbleSize>
            <c:numRef>
              <c:f>'1982-1988'!$D$61:$D$65</c:f>
              <c:numCache>
                <c:formatCode>0.00</c:formatCode>
                <c:ptCount val="5"/>
                <c:pt idx="0">
                  <c:v>47.213261645800003</c:v>
                </c:pt>
                <c:pt idx="1">
                  <c:v>92.204876354000007</c:v>
                </c:pt>
                <c:pt idx="2">
                  <c:v>139.61097594999998</c:v>
                </c:pt>
                <c:pt idx="3">
                  <c:v>186.79752865</c:v>
                </c:pt>
                <c:pt idx="4">
                  <c:v>68.853824650000007</c:v>
                </c:pt>
              </c:numCache>
            </c:numRef>
          </c:bubbleSize>
          <c:bubble3D val="1"/>
        </c:ser>
        <c:dLbls>
          <c:showLegendKey val="0"/>
          <c:showVal val="0"/>
          <c:showCatName val="0"/>
          <c:showSerName val="0"/>
          <c:showPercent val="0"/>
          <c:showBubbleSize val="0"/>
        </c:dLbls>
        <c:bubbleScale val="100"/>
        <c:showNegBubbles val="0"/>
        <c:axId val="132666432"/>
        <c:axId val="132667008"/>
      </c:bubbleChart>
      <c:valAx>
        <c:axId val="13266643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2667008"/>
        <c:crosses val="autoZero"/>
        <c:crossBetween val="midCat"/>
      </c:valAx>
      <c:valAx>
        <c:axId val="13266700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266643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'1975-1981'!$C$30</c:f>
              <c:strCache>
                <c:ptCount val="1"/>
                <c:pt idx="0">
                  <c:v>Grąža</c:v>
                </c:pt>
              </c:strCache>
            </c:strRef>
          </c:tx>
          <c:spPr>
            <a:ln w="28575">
              <a:noFill/>
            </a:ln>
          </c:spPr>
          <c:marker>
            <c:symbol val="diamond"/>
            <c:size val="15"/>
            <c:spPr>
              <a:solidFill>
                <a:srgbClr val="00B07D"/>
              </a:solidFill>
            </c:spPr>
          </c:marker>
          <c:dLbls>
            <c:dLbl>
              <c:idx val="0"/>
              <c:layout>
                <c:manualLayout>
                  <c:x val="-0.10218792211132412"/>
                  <c:y val="-2.8753799198603838E-2"/>
                </c:manualLayout>
              </c:layout>
              <c:tx>
                <c:rich>
                  <a:bodyPr/>
                  <a:lstStyle/>
                  <a:p>
                    <a:r>
                      <a:rPr lang="en-US"/>
                      <a:t>LMN-75/81</a:t>
                    </a:r>
                  </a:p>
                </c:rich>
              </c:tx>
              <c:showLegendKey val="0"/>
              <c:showVal val="1"/>
              <c:showCatName val="1"/>
              <c:showSerName val="1"/>
              <c:showPercent val="0"/>
              <c:showBubbleSize val="0"/>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dLbl>
            <c:dLbl>
              <c:idx val="2"/>
              <c:layout>
                <c:manualLayout>
                  <c:x val="-4.9321409111971373E-2"/>
                  <c:y val="-3.5484282881177207E-2"/>
                </c:manualLayout>
              </c:layout>
              <c:tx>
                <c:rich>
                  <a:bodyPr/>
                  <a:lstStyle/>
                  <a:p>
                    <a:r>
                      <a:rPr lang="en-US"/>
                      <a:t>SBN-75/81</a:t>
                    </a:r>
                  </a:p>
                </c:rich>
              </c:tx>
              <c:showLegendKey val="0"/>
              <c:showVal val="1"/>
              <c:showCatName val="1"/>
              <c:showSerName val="1"/>
              <c:showPercent val="0"/>
              <c:showBubbleSize val="0"/>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dLbl>
            <c:dLbl>
              <c:idx val="4"/>
              <c:layout>
                <c:manualLayout>
                  <c:x val="-6.7074096451637449E-2"/>
                  <c:y val="-3.8817865507866339E-2"/>
                </c:manualLayout>
              </c:layout>
              <c:tx>
                <c:rich>
                  <a:bodyPr/>
                  <a:lstStyle/>
                  <a:p>
                    <a:r>
                      <a:rPr lang="en-US"/>
                      <a:t>AVI-75/81</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'1975-1981'!$B$31:$B$35</c:f>
              <c:numCache>
                <c:formatCode>0.00</c:formatCode>
                <c:ptCount val="5"/>
                <c:pt idx="0">
                  <c:v>15.429699252433792</c:v>
                </c:pt>
                <c:pt idx="1">
                  <c:v>15.801469212419628</c:v>
                </c:pt>
                <c:pt idx="2">
                  <c:v>17.28432824805229</c:v>
                </c:pt>
                <c:pt idx="3">
                  <c:v>15.389733457723477</c:v>
                </c:pt>
                <c:pt idx="4">
                  <c:v>15.890148457276704</c:v>
                </c:pt>
              </c:numCache>
            </c:numRef>
          </c:xVal>
          <c:yVal>
            <c:numRef>
              <c:f>'1975-1981'!$C$31:$C$35</c:f>
              <c:numCache>
                <c:formatCode>0.00</c:formatCode>
                <c:ptCount val="5"/>
                <c:pt idx="0">
                  <c:v>1.1800000000000033</c:v>
                </c:pt>
                <c:pt idx="1">
                  <c:v>1.110000000000011</c:v>
                </c:pt>
                <c:pt idx="2">
                  <c:v>4.0899999999999936</c:v>
                </c:pt>
                <c:pt idx="3">
                  <c:v>3.1677018633540444</c:v>
                </c:pt>
                <c:pt idx="4">
                  <c:v>-2.0499999999999963</c:v>
                </c:pt>
              </c:numCache>
            </c:numRef>
          </c:yVal>
          <c:smooth val="0"/>
        </c:ser>
        <c:dLbls>
          <c:showLegendKey val="0"/>
          <c:showVal val="0"/>
          <c:showCatName val="0"/>
          <c:showSerName val="0"/>
          <c:showPercent val="0"/>
          <c:showBubbleSize val="0"/>
        </c:dLbls>
        <c:axId val="132668736"/>
        <c:axId val="133210112"/>
      </c:scatterChart>
      <c:valAx>
        <c:axId val="132668736"/>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3210112"/>
        <c:crosses val="autoZero"/>
        <c:crossBetween val="midCat"/>
      </c:valAx>
      <c:valAx>
        <c:axId val="133210112"/>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3266873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'1975-1981'!$C$60</c:f>
              <c:strCache>
                <c:ptCount val="1"/>
                <c:pt idx="0">
                  <c:v>Grąža (proc.)</c:v>
                </c:pt>
              </c:strCache>
            </c:strRef>
          </c:tx>
          <c:spPr>
            <a:solidFill>
              <a:srgbClr val="00B07D"/>
            </a:solidFill>
          </c:spPr>
          <c:invertIfNegative val="0"/>
          <c:dPt>
            <c:idx val="0"/>
            <c:invertIfNegative val="0"/>
            <c:bubble3D val="1"/>
          </c:dPt>
          <c:dLbls>
            <c:dLbl>
              <c:idx val="0"/>
              <c:layout>
                <c:manualLayout>
                  <c:x val="-0.19572725917118858"/>
                  <c:y val="-2.7777960046660836E-2"/>
                </c:manualLayout>
              </c:layout>
              <c:tx>
                <c:rich>
                  <a:bodyPr/>
                  <a:lstStyle/>
                  <a:p>
                    <a:r>
                      <a:rPr lang="en-US"/>
                      <a:t>LMN-75/81</a:t>
                    </a:r>
                  </a:p>
                </c:rich>
              </c:tx>
              <c:showLegendKey val="0"/>
              <c:showVal val="1"/>
              <c:showCatName val="1"/>
              <c:showSerName val="0"/>
              <c:showPercent val="0"/>
              <c:showBubbleSize val="1"/>
            </c:dLbl>
            <c:dLbl>
              <c:idx val="1"/>
              <c:layout>
                <c:manualLayout>
                  <c:x val="3.1874327059027367E-2"/>
                  <c:y val="-1.6203703703703703E-2"/>
                </c:manualLayout>
              </c:layout>
              <c:tx>
                <c:rich>
                  <a:bodyPr/>
                  <a:lstStyle/>
                  <a:p>
                    <a:r>
                      <a:rPr lang="en-US"/>
                      <a:t>INV-75/81</a:t>
                    </a:r>
                  </a:p>
                </c:rich>
              </c:tx>
              <c:showLegendKey val="0"/>
              <c:showVal val="1"/>
              <c:showCatName val="1"/>
              <c:showSerName val="0"/>
              <c:showPercent val="0"/>
              <c:showBubbleSize val="1"/>
            </c:dLbl>
            <c:dLbl>
              <c:idx val="2"/>
              <c:layout>
                <c:manualLayout>
                  <c:x val="-1.0991206947897551E-3"/>
                  <c:y val="-4.6296287857923626E-2"/>
                </c:manualLayout>
              </c:layout>
              <c:tx>
                <c:rich>
                  <a:bodyPr/>
                  <a:lstStyle/>
                  <a:p>
                    <a:r>
                      <a:rPr lang="en-US"/>
                      <a:t>SBN-75/81</a:t>
                    </a:r>
                  </a:p>
                </c:rich>
              </c:tx>
              <c:showLegendKey val="0"/>
              <c:showVal val="1"/>
              <c:showCatName val="1"/>
              <c:showSerName val="0"/>
              <c:showPercent val="0"/>
              <c:showBubbleSize val="1"/>
            </c:dLbl>
            <c:dLbl>
              <c:idx val="3"/>
              <c:tx>
                <c:rich>
                  <a:bodyPr/>
                  <a:lstStyle/>
                  <a:p>
                    <a:r>
                      <a:rPr lang="en-US"/>
                      <a:t>SWD-75/81</a:t>
                    </a:r>
                  </a:p>
                </c:rich>
              </c:tx>
              <c:showLegendKey val="0"/>
              <c:showVal val="1"/>
              <c:showCatName val="1"/>
              <c:showSerName val="0"/>
              <c:showPercent val="0"/>
              <c:showBubbleSize val="1"/>
            </c:dLbl>
            <c:dLbl>
              <c:idx val="4"/>
              <c:layout>
                <c:manualLayout>
                  <c:x val="-1.1827956688816612E-3"/>
                  <c:y val="3.0092587107650351E-2"/>
                </c:manualLayout>
              </c:layout>
              <c:tx>
                <c:rich>
                  <a:bodyPr/>
                  <a:lstStyle/>
                  <a:p>
                    <a:r>
                      <a:rPr lang="en-US"/>
                      <a:t>AVI-75/81</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'1975-1981'!$B$61:$B$65</c:f>
              <c:numCache>
                <c:formatCode>0.00</c:formatCode>
                <c:ptCount val="5"/>
                <c:pt idx="0">
                  <c:v>26.978999999999999</c:v>
                </c:pt>
                <c:pt idx="1">
                  <c:v>22.157</c:v>
                </c:pt>
                <c:pt idx="2">
                  <c:v>60.887999999999998</c:v>
                </c:pt>
                <c:pt idx="3">
                  <c:v>96.793999999999997</c:v>
                </c:pt>
                <c:pt idx="4">
                  <c:v>39.061</c:v>
                </c:pt>
              </c:numCache>
            </c:numRef>
          </c:xVal>
          <c:yVal>
            <c:numRef>
              <c:f>'1975-1981'!$C$61:$C$65</c:f>
              <c:numCache>
                <c:formatCode>0.00</c:formatCode>
                <c:ptCount val="5"/>
                <c:pt idx="0">
                  <c:v>1.110000000000011</c:v>
                </c:pt>
                <c:pt idx="1">
                  <c:v>1.1800000000000033</c:v>
                </c:pt>
                <c:pt idx="2">
                  <c:v>4.0899999999999936</c:v>
                </c:pt>
                <c:pt idx="3">
                  <c:v>3.1677018633540444</c:v>
                </c:pt>
                <c:pt idx="4">
                  <c:v>-2.0499999999999963</c:v>
                </c:pt>
              </c:numCache>
            </c:numRef>
          </c:yVal>
          <c:bubbleSize>
            <c:numRef>
              <c:f>'1975-1981'!$D$61:$D$65</c:f>
              <c:numCache>
                <c:formatCode>0.00</c:formatCode>
                <c:ptCount val="5"/>
                <c:pt idx="0">
                  <c:v>107.7701128292</c:v>
                </c:pt>
                <c:pt idx="1">
                  <c:v>64.193252618399995</c:v>
                </c:pt>
                <c:pt idx="2">
                  <c:v>202.4987744</c:v>
                </c:pt>
                <c:pt idx="3">
                  <c:v>266.90443586999999</c:v>
                </c:pt>
                <c:pt idx="4">
                  <c:v>95.707306439999996</c:v>
                </c:pt>
              </c:numCache>
            </c:numRef>
          </c:bubbleSize>
          <c:bubble3D val="1"/>
        </c:ser>
        <c:dLbls>
          <c:showLegendKey val="0"/>
          <c:showVal val="0"/>
          <c:showCatName val="0"/>
          <c:showSerName val="0"/>
          <c:showPercent val="0"/>
          <c:showBubbleSize val="0"/>
        </c:dLbls>
        <c:bubbleScale val="100"/>
        <c:showNegBubbles val="0"/>
        <c:axId val="133211840"/>
        <c:axId val="133212416"/>
      </c:bubbleChart>
      <c:valAx>
        <c:axId val="1332118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3212416"/>
        <c:crosses val="autoZero"/>
        <c:crossBetween val="midCat"/>
      </c:valAx>
      <c:valAx>
        <c:axId val="1332124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32118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'1968-1974'!$C$30</c:f>
              <c:strCache>
                <c:ptCount val="1"/>
                <c:pt idx="0">
                  <c:v>Grąža</c:v>
                </c:pt>
              </c:strCache>
            </c:strRef>
          </c:tx>
          <c:spPr>
            <a:ln w="28575">
              <a:noFill/>
            </a:ln>
          </c:spPr>
          <c:marker>
            <c:symbol val="diamond"/>
            <c:size val="15"/>
            <c:spPr>
              <a:solidFill>
                <a:srgbClr val="00B07D"/>
              </a:solidFill>
            </c:spPr>
          </c:marker>
          <c:dLbls>
            <c:dLbl>
              <c:idx val="0"/>
              <c:layout>
                <c:manualLayout>
                  <c:x val="-0.10629961316011743"/>
                  <c:y val="1.8936444220182147E-2"/>
                </c:manualLayout>
              </c:layout>
              <c:tx>
                <c:rich>
                  <a:bodyPr/>
                  <a:lstStyle/>
                  <a:p>
                    <a:r>
                      <a:rPr lang="en-US"/>
                      <a:t>LMN-68/74</a:t>
                    </a:r>
                  </a:p>
                </c:rich>
              </c:tx>
              <c:showLegendKey val="0"/>
              <c:showVal val="1"/>
              <c:showCatName val="1"/>
              <c:showSerName val="1"/>
              <c:showPercent val="0"/>
              <c:showBubbleSize val="0"/>
            </c:dLbl>
            <c:dLbl>
              <c:idx val="1"/>
              <c:layout>
                <c:manualLayout>
                  <c:x val="-9.247983109925037E-2"/>
                  <c:y val="-4.8996656148093502E-2"/>
                </c:manualLayout>
              </c:layout>
              <c:tx>
                <c:rich>
                  <a:bodyPr/>
                  <a:lstStyle/>
                  <a:p>
                    <a:r>
                      <a:rPr lang="en-US"/>
                      <a:t>INV-68/74</a:t>
                    </a:r>
                  </a:p>
                </c:rich>
              </c:tx>
              <c:showLegendKey val="0"/>
              <c:showVal val="1"/>
              <c:showCatName val="1"/>
              <c:showSerName val="1"/>
              <c:showPercent val="0"/>
              <c:showBubbleSize val="0"/>
            </c:dLbl>
            <c:dLbl>
              <c:idx val="2"/>
              <c:layout>
                <c:manualLayout>
                  <c:x val="-9.4147302403957689E-2"/>
                  <c:y val="9.7749301481386865E-3"/>
                </c:manualLayout>
              </c:layout>
              <c:tx>
                <c:rich>
                  <a:bodyPr/>
                  <a:lstStyle/>
                  <a:p>
                    <a:r>
                      <a:rPr lang="en-US"/>
                      <a:t>SBN-68/74</a:t>
                    </a:r>
                  </a:p>
                </c:rich>
              </c:tx>
              <c:showLegendKey val="0"/>
              <c:showVal val="1"/>
              <c:showCatName val="1"/>
              <c:showSerName val="1"/>
              <c:showPercent val="0"/>
              <c:showBubbleSize val="0"/>
            </c:dLbl>
            <c:dLbl>
              <c:idx val="3"/>
              <c:layout>
                <c:manualLayout>
                  <c:x val="-4.526361149660498E-3"/>
                  <c:y val="-1.4640460608068903E-2"/>
                </c:manualLayout>
              </c:layout>
              <c:tx>
                <c:rich>
                  <a:bodyPr/>
                  <a:lstStyle/>
                  <a:p>
                    <a:r>
                      <a:rPr lang="en-US"/>
                      <a:t>SWD-68/74</a:t>
                    </a:r>
                  </a:p>
                </c:rich>
              </c:tx>
              <c:showLegendKey val="0"/>
              <c:showVal val="1"/>
              <c:showCatName val="1"/>
              <c:showSerName val="1"/>
              <c:showPercent val="0"/>
              <c:showBubbleSize val="0"/>
            </c:dLbl>
            <c:dLbl>
              <c:idx val="4"/>
              <c:layout>
                <c:manualLayout>
                  <c:x val="-3.5114087381117945E-3"/>
                  <c:y val="-9.5924868768875061E-3"/>
                </c:manualLayout>
              </c:layout>
              <c:tx>
                <c:rich>
                  <a:bodyPr/>
                  <a:lstStyle/>
                  <a:p>
                    <a:r>
                      <a:rPr lang="en-US"/>
                      <a:t>AVI-68/74</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'1968-1974'!$B$31:$B$35</c:f>
              <c:numCache>
                <c:formatCode>0.00</c:formatCode>
                <c:ptCount val="5"/>
                <c:pt idx="0">
                  <c:v>15.575664541226523</c:v>
                </c:pt>
                <c:pt idx="1">
                  <c:v>14.758708972164369</c:v>
                </c:pt>
                <c:pt idx="2">
                  <c:v>15.915720240132188</c:v>
                </c:pt>
                <c:pt idx="3">
                  <c:v>15.39761367967035</c:v>
                </c:pt>
                <c:pt idx="4">
                  <c:v>14.773492445667433</c:v>
                </c:pt>
              </c:numCache>
            </c:numRef>
          </c:xVal>
          <c:yVal>
            <c:numRef>
              <c:f>'1968-1974'!$C$31:$C$35</c:f>
              <c:numCache>
                <c:formatCode>0.00</c:formatCode>
                <c:ptCount val="5"/>
                <c:pt idx="0">
                  <c:v>1.5700000000000047</c:v>
                </c:pt>
                <c:pt idx="1">
                  <c:v>2.200000000000002</c:v>
                </c:pt>
                <c:pt idx="2">
                  <c:v>2.7700000000000058</c:v>
                </c:pt>
                <c:pt idx="3">
                  <c:v>3.1778786628146927</c:v>
                </c:pt>
                <c:pt idx="4">
                  <c:v>-2.42</c:v>
                </c:pt>
              </c:numCache>
            </c:numRef>
          </c:yVal>
          <c:smooth val="0"/>
        </c:ser>
        <c:dLbls>
          <c:showLegendKey val="0"/>
          <c:showVal val="0"/>
          <c:showCatName val="0"/>
          <c:showSerName val="0"/>
          <c:showPercent val="0"/>
          <c:showBubbleSize val="0"/>
        </c:dLbls>
        <c:axId val="133214144"/>
        <c:axId val="133214720"/>
      </c:scatterChart>
      <c:valAx>
        <c:axId val="133214144"/>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3214720"/>
        <c:crosses val="autoZero"/>
        <c:crossBetween val="midCat"/>
      </c:valAx>
      <c:valAx>
        <c:axId val="133214720"/>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332141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'1968-1974'!$C$60</c:f>
              <c:strCache>
                <c:ptCount val="1"/>
                <c:pt idx="0">
                  <c:v>Grąža (proc.)</c:v>
                </c:pt>
              </c:strCache>
            </c:strRef>
          </c:tx>
          <c:spPr>
            <a:solidFill>
              <a:srgbClr val="00B07D"/>
            </a:solidFill>
          </c:spPr>
          <c:invertIfNegative val="0"/>
          <c:dLbls>
            <c:dLbl>
              <c:idx val="0"/>
              <c:layout>
                <c:manualLayout>
                  <c:x val="-2.5133402043310878E-2"/>
                  <c:y val="9.2730719954531526E-2"/>
                </c:manualLayout>
              </c:layout>
              <c:tx>
                <c:rich>
                  <a:bodyPr/>
                  <a:lstStyle/>
                  <a:p>
                    <a:r>
                      <a:rPr lang="en-US"/>
                      <a:t>LMN-68/74</a:t>
                    </a:r>
                  </a:p>
                </c:rich>
              </c:tx>
              <c:showLegendKey val="0"/>
              <c:showVal val="1"/>
              <c:showCatName val="1"/>
              <c:showSerName val="0"/>
              <c:showPercent val="0"/>
              <c:showBubbleSize val="1"/>
            </c:dLbl>
            <c:dLbl>
              <c:idx val="1"/>
              <c:layout>
                <c:manualLayout>
                  <c:x val="1.5129760119608442E-2"/>
                  <c:y val="-0.10208636628474631"/>
                </c:manualLayout>
              </c:layout>
              <c:tx>
                <c:rich>
                  <a:bodyPr/>
                  <a:lstStyle/>
                  <a:p>
                    <a:r>
                      <a:rPr lang="en-US"/>
                      <a:t>INV-68/74</a:t>
                    </a:r>
                  </a:p>
                </c:rich>
              </c:tx>
              <c:showLegendKey val="0"/>
              <c:showVal val="1"/>
              <c:showCatName val="1"/>
              <c:showSerName val="0"/>
              <c:showPercent val="0"/>
              <c:showBubbleSize val="1"/>
            </c:dLbl>
            <c:dLbl>
              <c:idx val="2"/>
              <c:layout>
                <c:manualLayout>
                  <c:x val="-6.1876332853148955E-3"/>
                  <c:y val="2.2476849022126238E-2"/>
                </c:manualLayout>
              </c:layout>
              <c:tx>
                <c:rich>
                  <a:bodyPr/>
                  <a:lstStyle/>
                  <a:p>
                    <a:r>
                      <a:rPr lang="en-US"/>
                      <a:t>SBN-68/74</a:t>
                    </a:r>
                  </a:p>
                </c:rich>
              </c:tx>
              <c:showLegendKey val="0"/>
              <c:showVal val="1"/>
              <c:showCatName val="1"/>
              <c:showSerName val="0"/>
              <c:showPercent val="0"/>
              <c:showBubbleSize val="1"/>
            </c:dLbl>
            <c:dLbl>
              <c:idx val="3"/>
              <c:tx>
                <c:rich>
                  <a:bodyPr/>
                  <a:lstStyle/>
                  <a:p>
                    <a:r>
                      <a:rPr lang="en-US"/>
                      <a:t>SWD-68/74</a:t>
                    </a:r>
                  </a:p>
                </c:rich>
              </c:tx>
              <c:showLegendKey val="0"/>
              <c:showVal val="1"/>
              <c:showCatName val="1"/>
              <c:showSerName val="0"/>
              <c:showPercent val="0"/>
              <c:showBubbleSize val="1"/>
            </c:dLbl>
            <c:dLbl>
              <c:idx val="4"/>
              <c:layout>
                <c:manualLayout>
                  <c:x val="-3.3810510380589956E-3"/>
                  <c:y val="-2.3148148148148147E-3"/>
                </c:manualLayout>
              </c:layout>
              <c:tx>
                <c:rich>
                  <a:bodyPr/>
                  <a:lstStyle/>
                  <a:p>
                    <a:r>
                      <a:rPr lang="en-US"/>
                      <a:t>AVI-68/74</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'1968-1974'!$B$61:$B$65</c:f>
              <c:numCache>
                <c:formatCode>0.00</c:formatCode>
                <c:ptCount val="5"/>
                <c:pt idx="0">
                  <c:v>23.047000000000001</c:v>
                </c:pt>
                <c:pt idx="1">
                  <c:v>20.984000000000002</c:v>
                </c:pt>
                <c:pt idx="2">
                  <c:v>52.362000000000002</c:v>
                </c:pt>
                <c:pt idx="3">
                  <c:v>95.518000000000001</c:v>
                </c:pt>
                <c:pt idx="4">
                  <c:v>40.279000000000003</c:v>
                </c:pt>
              </c:numCache>
            </c:numRef>
          </c:xVal>
          <c:yVal>
            <c:numRef>
              <c:f>'1968-1974'!$C$61:$C$65</c:f>
              <c:numCache>
                <c:formatCode>0.00</c:formatCode>
                <c:ptCount val="5"/>
                <c:pt idx="0">
                  <c:v>2.200000000000002</c:v>
                </c:pt>
                <c:pt idx="1">
                  <c:v>1.5700000000000047</c:v>
                </c:pt>
                <c:pt idx="2">
                  <c:v>2.7700000000000058</c:v>
                </c:pt>
                <c:pt idx="3">
                  <c:v>3.1778786628146927</c:v>
                </c:pt>
                <c:pt idx="4">
                  <c:v>-2.42</c:v>
                </c:pt>
              </c:numCache>
            </c:numRef>
          </c:yVal>
          <c:bubbleSize>
            <c:numRef>
              <c:f>'1968-1974'!$D$61:$D$65</c:f>
              <c:numCache>
                <c:formatCode>0.00</c:formatCode>
                <c:ptCount val="5"/>
                <c:pt idx="0">
                  <c:v>102.0131579975</c:v>
                </c:pt>
                <c:pt idx="1">
                  <c:v>66.879017115500005</c:v>
                </c:pt>
                <c:pt idx="2">
                  <c:v>196.43491778999999</c:v>
                </c:pt>
                <c:pt idx="3">
                  <c:v>286.22468610999999</c:v>
                </c:pt>
                <c:pt idx="4">
                  <c:v>114.81814462</c:v>
                </c:pt>
              </c:numCache>
            </c:numRef>
          </c:bubbleSize>
          <c:bubble3D val="1"/>
        </c:ser>
        <c:dLbls>
          <c:showLegendKey val="0"/>
          <c:showVal val="0"/>
          <c:showCatName val="0"/>
          <c:showSerName val="0"/>
          <c:showPercent val="0"/>
          <c:showBubbleSize val="0"/>
        </c:dLbls>
        <c:bubbleScale val="100"/>
        <c:showNegBubbles val="0"/>
        <c:axId val="133216448"/>
        <c:axId val="133217024"/>
      </c:bubbleChart>
      <c:valAx>
        <c:axId val="1332164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3217024"/>
        <c:crosses val="autoZero"/>
        <c:crossBetween val="midCat"/>
      </c:valAx>
      <c:valAx>
        <c:axId val="1332170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32164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'1961-1967'!$C$30</c:f>
              <c:strCache>
                <c:ptCount val="1"/>
                <c:pt idx="0">
                  <c:v>Grąža</c:v>
                </c:pt>
              </c:strCache>
            </c:strRef>
          </c:tx>
          <c:spPr>
            <a:ln w="28575">
              <a:noFill/>
            </a:ln>
          </c:spPr>
          <c:marker>
            <c:symbol val="diamond"/>
            <c:size val="15"/>
            <c:spPr>
              <a:solidFill>
                <a:srgbClr val="00B07D"/>
              </a:solidFill>
            </c:spPr>
          </c:marker>
          <c:dLbls>
            <c:dLbl>
              <c:idx val="0"/>
              <c:layout>
                <c:manualLayout>
                  <c:x val="-0.10439942194528749"/>
                  <c:y val="-2.5973009564440944E-3"/>
                </c:manualLayout>
              </c:layout>
              <c:tx>
                <c:rich>
                  <a:bodyPr/>
                  <a:lstStyle/>
                  <a:p>
                    <a:r>
                      <a:rPr lang="en-US"/>
                      <a:t>LMN-61/67</a:t>
                    </a:r>
                  </a:p>
                </c:rich>
              </c:tx>
              <c:showLegendKey val="0"/>
              <c:showVal val="1"/>
              <c:showCatName val="1"/>
              <c:showSerName val="1"/>
              <c:showPercent val="0"/>
              <c:showBubbleSize val="0"/>
            </c:dLbl>
            <c:dLbl>
              <c:idx val="1"/>
              <c:layout>
                <c:manualLayout>
                  <c:x val="-0.10116515745160645"/>
                  <c:y val="3.2289446532259888E-2"/>
                </c:manualLayout>
              </c:layout>
              <c:tx>
                <c:rich>
                  <a:bodyPr/>
                  <a:lstStyle/>
                  <a:p>
                    <a:r>
                      <a:rPr lang="en-US"/>
                      <a:t>INV-61/67</a:t>
                    </a:r>
                  </a:p>
                </c:rich>
              </c:tx>
              <c:showLegendKey val="0"/>
              <c:showVal val="1"/>
              <c:showCatName val="1"/>
              <c:showSerName val="1"/>
              <c:showPercent val="0"/>
              <c:showBubbleSize val="0"/>
            </c:dLbl>
            <c:dLbl>
              <c:idx val="2"/>
              <c:layout>
                <c:manualLayout>
                  <c:x val="-3.337873756259593E-3"/>
                  <c:y val="-1.624874793833455E-2"/>
                </c:manualLayout>
              </c:layout>
              <c:tx>
                <c:rich>
                  <a:bodyPr/>
                  <a:lstStyle/>
                  <a:p>
                    <a:r>
                      <a:rPr lang="en-US"/>
                      <a:t>SBN-61/67</a:t>
                    </a:r>
                  </a:p>
                </c:rich>
              </c:tx>
              <c:showLegendKey val="0"/>
              <c:showVal val="1"/>
              <c:showCatName val="1"/>
              <c:showSerName val="1"/>
              <c:showPercent val="0"/>
              <c:showBubbleSize val="0"/>
            </c:dLbl>
            <c:dLbl>
              <c:idx val="3"/>
              <c:layout>
                <c:manualLayout>
                  <c:x val="-5.0063480493265462E-4"/>
                  <c:y val="-2.6714453609100589E-3"/>
                </c:manualLayout>
              </c:layout>
              <c:tx>
                <c:rich>
                  <a:bodyPr/>
                  <a:lstStyle/>
                  <a:p>
                    <a:r>
                      <a:rPr lang="en-US"/>
                      <a:t>SWD-61/67</a:t>
                    </a:r>
                  </a:p>
                </c:rich>
              </c:tx>
              <c:showLegendKey val="0"/>
              <c:showVal val="1"/>
              <c:showCatName val="1"/>
              <c:showSerName val="1"/>
              <c:showPercent val="0"/>
              <c:showBubbleSize val="0"/>
            </c:dLbl>
            <c:dLbl>
              <c:idx val="4"/>
              <c:layout>
                <c:manualLayout>
                  <c:x val="-6.2030073351782802E-2"/>
                  <c:y val="4.726367233445522E-2"/>
                </c:manualLayout>
              </c:layout>
              <c:tx>
                <c:rich>
                  <a:bodyPr/>
                  <a:lstStyle/>
                  <a:p>
                    <a:r>
                      <a:rPr lang="en-US"/>
                      <a:t>AVI-61/67</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'1961-1967'!$B$31:$B$35</c:f>
              <c:numCache>
                <c:formatCode>0.00</c:formatCode>
                <c:ptCount val="5"/>
                <c:pt idx="0">
                  <c:v>11.937764684364318</c:v>
                </c:pt>
                <c:pt idx="1">
                  <c:v>11.137628560843851</c:v>
                </c:pt>
                <c:pt idx="2">
                  <c:v>11.818209615061299</c:v>
                </c:pt>
                <c:pt idx="3">
                  <c:v>10.874194599336196</c:v>
                </c:pt>
                <c:pt idx="4">
                  <c:v>8.1256001891318199</c:v>
                </c:pt>
              </c:numCache>
            </c:numRef>
          </c:xVal>
          <c:yVal>
            <c:numRef>
              <c:f>'1961-1967'!$C$31:$C$35</c:f>
              <c:numCache>
                <c:formatCode>0.00</c:formatCode>
                <c:ptCount val="5"/>
                <c:pt idx="0">
                  <c:v>1.8100000000000005</c:v>
                </c:pt>
                <c:pt idx="1">
                  <c:v>1.0099999999999998</c:v>
                </c:pt>
                <c:pt idx="2">
                  <c:v>1.309999999999989</c:v>
                </c:pt>
                <c:pt idx="3">
                  <c:v>2.9183673469387772</c:v>
                </c:pt>
                <c:pt idx="4">
                  <c:v>0.40999999999999925</c:v>
                </c:pt>
              </c:numCache>
            </c:numRef>
          </c:yVal>
          <c:smooth val="0"/>
        </c:ser>
        <c:dLbls>
          <c:showLegendKey val="0"/>
          <c:showVal val="0"/>
          <c:showCatName val="0"/>
          <c:showSerName val="0"/>
          <c:showPercent val="0"/>
          <c:showBubbleSize val="0"/>
        </c:dLbls>
        <c:axId val="356980352"/>
        <c:axId val="356980928"/>
      </c:scatterChart>
      <c:valAx>
        <c:axId val="35698035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356980928"/>
        <c:crosses val="autoZero"/>
        <c:crossBetween val="midCat"/>
      </c:valAx>
      <c:valAx>
        <c:axId val="356980928"/>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569803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'1961-1967'!$C$60</c:f>
              <c:strCache>
                <c:ptCount val="1"/>
                <c:pt idx="0">
                  <c:v>Grąža (proc.)</c:v>
                </c:pt>
              </c:strCache>
            </c:strRef>
          </c:tx>
          <c:spPr>
            <a:solidFill>
              <a:srgbClr val="00B07D"/>
            </a:solidFill>
          </c:spPr>
          <c:invertIfNegative val="0"/>
          <c:dLbls>
            <c:dLbl>
              <c:idx val="0"/>
              <c:layout>
                <c:manualLayout>
                  <c:x val="-3.0859068407800779E-2"/>
                  <c:y val="-8.5648148148148126E-2"/>
                </c:manualLayout>
              </c:layout>
              <c:tx>
                <c:rich>
                  <a:bodyPr/>
                  <a:lstStyle/>
                  <a:p>
                    <a:r>
                      <a:rPr lang="en-US"/>
                      <a:t>LMN-61/67</a:t>
                    </a:r>
                  </a:p>
                </c:rich>
              </c:tx>
              <c:showLegendKey val="0"/>
              <c:showVal val="1"/>
              <c:showCatName val="1"/>
              <c:showSerName val="0"/>
              <c:showPercent val="0"/>
              <c:showBubbleSize val="1"/>
            </c:dLbl>
            <c:dLbl>
              <c:idx val="1"/>
              <c:layout>
                <c:manualLayout>
                  <c:x val="-7.3641086550908202E-2"/>
                  <c:y val="9.7222222222222224E-2"/>
                </c:manualLayout>
              </c:layout>
              <c:tx>
                <c:rich>
                  <a:bodyPr/>
                  <a:lstStyle/>
                  <a:p>
                    <a:r>
                      <a:rPr lang="en-US"/>
                      <a:t>INV-61/67</a:t>
                    </a:r>
                  </a:p>
                </c:rich>
              </c:tx>
              <c:showLegendKey val="0"/>
              <c:showVal val="1"/>
              <c:showCatName val="1"/>
              <c:showSerName val="0"/>
              <c:showPercent val="0"/>
              <c:showBubbleSize val="1"/>
            </c:dLbl>
            <c:dLbl>
              <c:idx val="2"/>
              <c:layout>
                <c:manualLayout>
                  <c:x val="-5.4956034739483727E-3"/>
                  <c:y val="-7.1759246179781605E-2"/>
                </c:manualLayout>
              </c:layout>
              <c:tx>
                <c:rich>
                  <a:bodyPr/>
                  <a:lstStyle/>
                  <a:p>
                    <a:r>
                      <a:rPr lang="en-US"/>
                      <a:t>SBN-61/67</a:t>
                    </a:r>
                  </a:p>
                </c:rich>
              </c:tx>
              <c:showLegendKey val="0"/>
              <c:showVal val="1"/>
              <c:showCatName val="1"/>
              <c:showSerName val="0"/>
              <c:showPercent val="0"/>
              <c:showBubbleSize val="1"/>
            </c:dLbl>
            <c:dLbl>
              <c:idx val="3"/>
              <c:tx>
                <c:rich>
                  <a:bodyPr/>
                  <a:lstStyle/>
                  <a:p>
                    <a:r>
                      <a:rPr lang="en-US"/>
                      <a:t>SWD-61/67</a:t>
                    </a:r>
                  </a:p>
                </c:rich>
              </c:tx>
              <c:showLegendKey val="0"/>
              <c:showVal val="1"/>
              <c:showCatName val="1"/>
              <c:showSerName val="0"/>
              <c:showPercent val="0"/>
              <c:showBubbleSize val="1"/>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'1961-1967'!$B$61:$B$65</c:f>
              <c:numCache>
                <c:formatCode>0.00</c:formatCode>
                <c:ptCount val="5"/>
                <c:pt idx="0">
                  <c:v>19.265999999999998</c:v>
                </c:pt>
                <c:pt idx="1">
                  <c:v>18.346</c:v>
                </c:pt>
                <c:pt idx="2">
                  <c:v>46.488999999999997</c:v>
                </c:pt>
                <c:pt idx="3">
                  <c:v>84.899000000000001</c:v>
                </c:pt>
                <c:pt idx="4">
                  <c:v>39.454000000000001</c:v>
                </c:pt>
              </c:numCache>
            </c:numRef>
          </c:xVal>
          <c:yVal>
            <c:numRef>
              <c:f>'1961-1967'!$C$61:$C$65</c:f>
              <c:numCache>
                <c:formatCode>0.00</c:formatCode>
                <c:ptCount val="5"/>
                <c:pt idx="0">
                  <c:v>1.8100000000000005</c:v>
                </c:pt>
                <c:pt idx="1">
                  <c:v>1.0099999999999998</c:v>
                </c:pt>
                <c:pt idx="2">
                  <c:v>1.309999999999989</c:v>
                </c:pt>
                <c:pt idx="3">
                  <c:v>2.9183673469387772</c:v>
                </c:pt>
                <c:pt idx="4">
                  <c:v>0.40999999999999925</c:v>
                </c:pt>
              </c:numCache>
            </c:numRef>
          </c:yVal>
          <c:bubbleSize>
            <c:numRef>
              <c:f>'1961-1967'!$D$61:$D$65</c:f>
              <c:numCache>
                <c:formatCode>0.00</c:formatCode>
                <c:ptCount val="5"/>
                <c:pt idx="0">
                  <c:v>62.773976252099999</c:v>
                </c:pt>
                <c:pt idx="1">
                  <c:v>77.631938957700001</c:v>
                </c:pt>
                <c:pt idx="2">
                  <c:v>177.60429413</c:v>
                </c:pt>
                <c:pt idx="3">
                  <c:v>260.98670283000001</c:v>
                </c:pt>
                <c:pt idx="4">
                  <c:v>127.28665943999999</c:v>
                </c:pt>
              </c:numCache>
            </c:numRef>
          </c:bubbleSize>
          <c:bubble3D val="1"/>
        </c:ser>
        <c:dLbls>
          <c:showLegendKey val="0"/>
          <c:showVal val="0"/>
          <c:showCatName val="0"/>
          <c:showSerName val="0"/>
          <c:showPercent val="0"/>
          <c:showBubbleSize val="0"/>
        </c:dLbls>
        <c:bubbleScale val="100"/>
        <c:showNegBubbles val="0"/>
        <c:axId val="371576192"/>
        <c:axId val="372687424"/>
      </c:bubbleChart>
      <c:valAx>
        <c:axId val="37157619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372687424"/>
        <c:crosses val="autoZero"/>
        <c:crossBetween val="midCat"/>
      </c:valAx>
      <c:valAx>
        <c:axId val="3726874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37157619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'1954-1960'!$C$30</c:f>
              <c:strCache>
                <c:ptCount val="1"/>
                <c:pt idx="0">
                  <c:v>Grąža</c:v>
                </c:pt>
              </c:strCache>
            </c:strRef>
          </c:tx>
          <c:spPr>
            <a:ln w="28575">
              <a:noFill/>
            </a:ln>
          </c:spPr>
          <c:marker>
            <c:symbol val="diamond"/>
            <c:size val="15"/>
            <c:spPr>
              <a:solidFill>
                <a:srgbClr val="00B07D"/>
              </a:solidFill>
            </c:spPr>
          </c:marker>
          <c:dLbls>
            <c:dLbl>
              <c:idx val="0"/>
              <c:layout>
                <c:manualLayout>
                  <c:x val="6.4682016797298978E-4"/>
                  <c:y val="-9.7308913861240687E-3"/>
                </c:manualLayout>
              </c:layout>
              <c:tx>
                <c:rich>
                  <a:bodyPr/>
                  <a:lstStyle/>
                  <a:p>
                    <a:r>
                      <a:rPr lang="en-US"/>
                      <a:t>LMN-54/60</a:t>
                    </a:r>
                  </a:p>
                </c:rich>
              </c:tx>
              <c:showLegendKey val="0"/>
              <c:showVal val="1"/>
              <c:showCatName val="1"/>
              <c:showSerName val="1"/>
              <c:showPercent val="0"/>
              <c:showBubbleSize val="0"/>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dLbl>
            <c:dLbl>
              <c:idx val="2"/>
              <c:layout>
                <c:manualLayout>
                  <c:x val="-5.9273181202814676E-2"/>
                  <c:y val="-4.9751234036268646E-2"/>
                </c:manualLayout>
              </c:layout>
              <c:tx>
                <c:rich>
                  <a:bodyPr/>
                  <a:lstStyle/>
                  <a:p>
                    <a:r>
                      <a:rPr lang="en-US"/>
                      <a:t>SBN-54/60</a:t>
                    </a:r>
                  </a:p>
                </c:rich>
              </c:tx>
              <c:showLegendKey val="0"/>
              <c:showVal val="1"/>
              <c:showCatName val="1"/>
              <c:showSerName val="1"/>
              <c:showPercent val="0"/>
              <c:showBubbleSize val="0"/>
            </c:dLbl>
            <c:dLbl>
              <c:idx val="3"/>
              <c:layout>
                <c:manualLayout>
                  <c:x val="-1.9298353581837752E-2"/>
                  <c:y val="4.726367233445522E-2"/>
                </c:manualLayout>
              </c:layout>
              <c:tx>
                <c:rich>
                  <a:bodyPr/>
                  <a:lstStyle/>
                  <a:p>
                    <a:r>
                      <a:rPr lang="en-US"/>
                      <a:t>SWD-54/60</a:t>
                    </a:r>
                  </a:p>
                </c:rich>
              </c:tx>
              <c:showLegendKey val="0"/>
              <c:showVal val="1"/>
              <c:showCatName val="1"/>
              <c:showSerName val="1"/>
              <c:showPercent val="0"/>
              <c:showBubbleSize val="0"/>
            </c:dLbl>
            <c:dLbl>
              <c:idx val="4"/>
              <c:layout>
                <c:manualLayout>
                  <c:x val="-0.10383529332479698"/>
                  <c:y val="-6.7931405848728357E-4"/>
                </c:manualLayout>
              </c:layout>
              <c:tx>
                <c:rich>
                  <a:bodyPr/>
                  <a:lstStyle/>
                  <a:p>
                    <a:r>
                      <a:rPr lang="en-US"/>
                      <a:t>AVI-54/60</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'1954-1960'!$B$31:$B$35</c:f>
              <c:numCache>
                <c:formatCode>0.00</c:formatCode>
                <c:ptCount val="5"/>
                <c:pt idx="0">
                  <c:v>8.3257895070183086</c:v>
                </c:pt>
                <c:pt idx="1">
                  <c:v>5.66144293718071</c:v>
                </c:pt>
                <c:pt idx="2">
                  <c:v>6.9462315886933927</c:v>
                </c:pt>
                <c:pt idx="3">
                  <c:v>5.3816722573221707</c:v>
                </c:pt>
                <c:pt idx="4">
                  <c:v>4.9778978962447029</c:v>
                </c:pt>
              </c:numCache>
            </c:numRef>
          </c:xVal>
          <c:yVal>
            <c:numRef>
              <c:f>'1954-1960'!$C$31:$C$35</c:f>
              <c:numCache>
                <c:formatCode>0.00</c:formatCode>
                <c:ptCount val="5"/>
                <c:pt idx="0">
                  <c:v>0.64999999999999503</c:v>
                </c:pt>
                <c:pt idx="1">
                  <c:v>1.3500000000000068</c:v>
                </c:pt>
                <c:pt idx="2">
                  <c:v>1.7800000000000038</c:v>
                </c:pt>
                <c:pt idx="3">
                  <c:v>0.97000000000000419</c:v>
                </c:pt>
                <c:pt idx="4">
                  <c:v>1.330000000000009</c:v>
                </c:pt>
              </c:numCache>
            </c:numRef>
          </c:yVal>
          <c:smooth val="0"/>
        </c:ser>
        <c:dLbls>
          <c:showLegendKey val="0"/>
          <c:showVal val="0"/>
          <c:showCatName val="0"/>
          <c:showSerName val="0"/>
          <c:showPercent val="0"/>
          <c:showBubbleSize val="0"/>
        </c:dLbls>
        <c:axId val="372689152"/>
        <c:axId val="372690304"/>
      </c:scatterChart>
      <c:valAx>
        <c:axId val="37268915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372690304"/>
        <c:crosses val="autoZero"/>
        <c:crossBetween val="midCat"/>
      </c:valAx>
      <c:valAx>
        <c:axId val="372690304"/>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3726891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'1954-1960'!$C$60</c:f>
              <c:strCache>
                <c:ptCount val="1"/>
                <c:pt idx="0">
                  <c:v>Grąža (proc.)</c:v>
                </c:pt>
              </c:strCache>
            </c:strRef>
          </c:tx>
          <c:spPr>
            <a:solidFill>
              <a:srgbClr val="00B07D"/>
            </a:solidFill>
          </c:spPr>
          <c:invertIfNegative val="0"/>
          <c:dLbls>
            <c:dLbl>
              <c:idx val="0"/>
              <c:layout>
                <c:manualLayout>
                  <c:x val="-2.5363638023725602E-2"/>
                  <c:y val="-8.1018518518518517E-2"/>
                </c:manualLayout>
              </c:layout>
              <c:tx>
                <c:rich>
                  <a:bodyPr/>
                  <a:lstStyle/>
                  <a:p>
                    <a:r>
                      <a:rPr lang="en-US"/>
                      <a:t>LMN-54/60</a:t>
                    </a:r>
                  </a:p>
                </c:rich>
              </c:tx>
              <c:showLegendKey val="0"/>
              <c:showVal val="1"/>
              <c:showCatName val="1"/>
              <c:showSerName val="0"/>
              <c:showPercent val="0"/>
              <c:showBubbleSize val="1"/>
            </c:dLbl>
            <c:dLbl>
              <c:idx val="1"/>
              <c:layout>
                <c:manualLayout>
                  <c:x val="-8.9028862822900234E-2"/>
                  <c:y val="7.6388706620005839E-2"/>
                </c:manualLayout>
              </c:layout>
              <c:tx>
                <c:rich>
                  <a:bodyPr/>
                  <a:lstStyle/>
                  <a:p>
                    <a:r>
                      <a:rPr lang="en-US"/>
                      <a:t>INV-54/60</a:t>
                    </a:r>
                  </a:p>
                </c:rich>
              </c:tx>
              <c:showLegendKey val="0"/>
              <c:showVal val="1"/>
              <c:showCatName val="1"/>
              <c:showSerName val="0"/>
              <c:showPercent val="0"/>
              <c:showBubbleSize val="1"/>
            </c:dLbl>
            <c:dLbl>
              <c:idx val="2"/>
              <c:layout>
                <c:manualLayout>
                  <c:x val="-5.4956034739483727E-3"/>
                  <c:y val="-7.4074074074074084E-2"/>
                </c:manualLayout>
              </c:layout>
              <c:tx>
                <c:rich>
                  <a:bodyPr/>
                  <a:lstStyle/>
                  <a:p>
                    <a:r>
                      <a:rPr lang="en-US"/>
                      <a:t>SBN-54/60</a:t>
                    </a:r>
                  </a:p>
                </c:rich>
              </c:tx>
              <c:showLegendKey val="0"/>
              <c:showVal val="1"/>
              <c:showCatName val="1"/>
              <c:showSerName val="0"/>
              <c:showPercent val="0"/>
              <c:showBubbleSize val="1"/>
            </c:dLbl>
            <c:dLbl>
              <c:idx val="3"/>
              <c:layout>
                <c:manualLayout>
                  <c:x val="-5.4956034739483727E-3"/>
                  <c:y val="-3.0092592592592591E-2"/>
                </c:manualLayout>
              </c:layout>
              <c:tx>
                <c:rich>
                  <a:bodyPr/>
                  <a:lstStyle/>
                  <a:p>
                    <a:r>
                      <a:rPr lang="en-US"/>
                      <a:t>SWD-54/60</a:t>
                    </a:r>
                  </a:p>
                </c:rich>
              </c:tx>
              <c:showLegendKey val="0"/>
              <c:showVal val="1"/>
              <c:showCatName val="1"/>
              <c:showSerName val="0"/>
              <c:showPercent val="0"/>
              <c:showBubbleSize val="1"/>
            </c:dLbl>
            <c:dLbl>
              <c:idx val="4"/>
              <c:layout>
                <c:manualLayout>
                  <c:x val="1.0153451961631859E-3"/>
                  <c:y val="-4.3981481481481524E-2"/>
                </c:manualLayout>
              </c:layout>
              <c:tx>
                <c:rich>
                  <a:bodyPr/>
                  <a:lstStyle/>
                  <a:p>
                    <a:r>
                      <a:rPr lang="en-US"/>
                      <a:t>AVI-54/60</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'1954-1960'!$B$61:$B$65</c:f>
              <c:numCache>
                <c:formatCode>0.00</c:formatCode>
                <c:ptCount val="5"/>
                <c:pt idx="0">
                  <c:v>9.4030000000000005</c:v>
                </c:pt>
                <c:pt idx="1">
                  <c:v>6.327</c:v>
                </c:pt>
                <c:pt idx="2">
                  <c:v>21.704000000000001</c:v>
                </c:pt>
                <c:pt idx="3">
                  <c:v>36.01</c:v>
                </c:pt>
                <c:pt idx="4">
                  <c:v>20.039000000000001</c:v>
                </c:pt>
              </c:numCache>
            </c:numRef>
          </c:xVal>
          <c:yVal>
            <c:numRef>
              <c:f>'1954-1960'!$C$61:$C$65</c:f>
              <c:numCache>
                <c:formatCode>0.00</c:formatCode>
                <c:ptCount val="5"/>
                <c:pt idx="0">
                  <c:v>0.64999999999999503</c:v>
                </c:pt>
                <c:pt idx="1">
                  <c:v>1.3500000000000068</c:v>
                </c:pt>
                <c:pt idx="2">
                  <c:v>1.7800000000000038</c:v>
                </c:pt>
                <c:pt idx="3">
                  <c:v>0.97000000000000419</c:v>
                </c:pt>
                <c:pt idx="4">
                  <c:v>1.330000000000009</c:v>
                </c:pt>
              </c:numCache>
            </c:numRef>
          </c:yVal>
          <c:bubbleSize>
            <c:numRef>
              <c:f>'1954-1960'!$D$61:$D$65</c:f>
              <c:numCache>
                <c:formatCode>0.00</c:formatCode>
                <c:ptCount val="5"/>
                <c:pt idx="0">
                  <c:v>31.728505035300003</c:v>
                </c:pt>
                <c:pt idx="1">
                  <c:v>27.164219428599999</c:v>
                </c:pt>
                <c:pt idx="2">
                  <c:v>87.213065540000002</c:v>
                </c:pt>
                <c:pt idx="3">
                  <c:v>120.83514114</c:v>
                </c:pt>
                <c:pt idx="4">
                  <c:v>67.527317740000001</c:v>
                </c:pt>
              </c:numCache>
            </c:numRef>
          </c:bubbleSize>
          <c:bubble3D val="1"/>
        </c:ser>
        <c:dLbls>
          <c:showLegendKey val="0"/>
          <c:showVal val="0"/>
          <c:showCatName val="0"/>
          <c:showSerName val="0"/>
          <c:showPercent val="0"/>
          <c:showBubbleSize val="0"/>
        </c:dLbls>
        <c:bubbleScale val="100"/>
        <c:showNegBubbles val="0"/>
        <c:axId val="163135488"/>
        <c:axId val="163136064"/>
      </c:bubbleChart>
      <c:valAx>
        <c:axId val="16313548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3136064"/>
        <c:crosses val="autoZero"/>
        <c:crossBetween val="midCat"/>
      </c:valAx>
      <c:valAx>
        <c:axId val="16313606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313548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TIF!$C$31</c:f>
              <c:strCache>
                <c:ptCount val="1"/>
                <c:pt idx="0">
                  <c:v>Grąža</c:v>
                </c:pt>
              </c:strCache>
            </c:strRef>
          </c:tx>
          <c:spPr>
            <a:ln w="28575">
              <a:noFill/>
            </a:ln>
          </c:spPr>
          <c:marker>
            <c:symbol val="diamond"/>
            <c:size val="15"/>
            <c:spPr>
              <a:solidFill>
                <a:srgbClr val="00B07D"/>
              </a:solidFill>
            </c:spPr>
          </c:marker>
          <c:dLbls>
            <c:dLbl>
              <c:idx val="0"/>
              <c:layout>
                <c:manualLayout>
                  <c:x val="-9.7764922443397365E-2"/>
                  <c:y val="1.1669879902915766E-2"/>
                </c:manualLayout>
              </c:layout>
              <c:tx>
                <c:rich>
                  <a:bodyPr/>
                  <a:lstStyle/>
                  <a:p>
                    <a:r>
                      <a:rPr lang="en-US"/>
                      <a:t>LMN-TIPF</a:t>
                    </a:r>
                  </a:p>
                </c:rich>
              </c:tx>
              <c:showLegendKey val="0"/>
              <c:showVal val="1"/>
              <c:showCatName val="1"/>
              <c:showSerName val="1"/>
              <c:showPercent val="0"/>
              <c:showBubbleSize val="0"/>
            </c:dLbl>
            <c:dLbl>
              <c:idx val="1"/>
              <c:layout>
                <c:manualLayout>
                  <c:x val="-2.7153561150321218E-3"/>
                  <c:y val="-2.0010189238613731E-2"/>
                </c:manualLayout>
              </c:layout>
              <c:tx>
                <c:rich>
                  <a:bodyPr/>
                  <a:lstStyle/>
                  <a:p>
                    <a:r>
                      <a:rPr lang="en-US"/>
                      <a:t>INV-TIPF</a:t>
                    </a:r>
                  </a:p>
                </c:rich>
              </c:tx>
              <c:showLegendKey val="0"/>
              <c:showVal val="1"/>
              <c:showCatName val="1"/>
              <c:showSerName val="1"/>
              <c:showPercent val="0"/>
              <c:showBubbleSize val="0"/>
            </c:dLbl>
            <c:dLbl>
              <c:idx val="2"/>
              <c:layout>
                <c:manualLayout>
                  <c:x val="-2.6100660855355895E-2"/>
                  <c:y val="-4.4995730143576149E-2"/>
                </c:manualLayout>
              </c:layout>
              <c:tx>
                <c:rich>
                  <a:bodyPr/>
                  <a:lstStyle/>
                  <a:p>
                    <a:r>
                      <a:rPr lang="en-US"/>
                      <a:t>SBN-TIPF</a:t>
                    </a:r>
                  </a:p>
                </c:rich>
              </c:tx>
              <c:showLegendKey val="0"/>
              <c:showVal val="1"/>
              <c:showCatName val="1"/>
              <c:showSerName val="1"/>
              <c:showPercent val="0"/>
              <c:showBubbleSize val="0"/>
            </c:dLbl>
            <c:dLbl>
              <c:idx val="3"/>
              <c:layout>
                <c:manualLayout>
                  <c:x val="3.9223648629942648E-3"/>
                  <c:y val="4.4619578354252168E-3"/>
                </c:manualLayout>
              </c:layout>
              <c:tx>
                <c:rich>
                  <a:bodyPr/>
                  <a:lstStyle/>
                  <a:p>
                    <a:r>
                      <a:rPr lang="en-US"/>
                      <a:t>SWD-TIPF</a:t>
                    </a:r>
                  </a:p>
                </c:rich>
              </c:tx>
              <c:showLegendKey val="0"/>
              <c:showVal val="1"/>
              <c:showCatName val="1"/>
              <c:showSerName val="1"/>
              <c:showPercent val="0"/>
              <c:showBubbleSize val="0"/>
            </c:dLbl>
            <c:dLbl>
              <c:idx val="4"/>
              <c:layout>
                <c:manualLayout>
                  <c:x val="-9.6962580200076226E-2"/>
                  <c:y val="-2.2706561932806651E-4"/>
                </c:manualLayout>
              </c:layout>
              <c:tx>
                <c:rich>
                  <a:bodyPr/>
                  <a:lstStyle/>
                  <a:p>
                    <a:r>
                      <a:rPr lang="en-US"/>
                      <a:t>AVI-TIPF</a:t>
                    </a:r>
                  </a:p>
                </c:rich>
              </c:tx>
              <c:showLegendKey val="0"/>
              <c:showVal val="1"/>
              <c:showCatName val="1"/>
              <c:showSerName val="1"/>
              <c:showPercent val="0"/>
              <c:showBubbleSize val="0"/>
            </c:dLbl>
            <c:showLegendKey val="0"/>
            <c:showVal val="1"/>
            <c:showCatName val="1"/>
            <c:showSerName val="1"/>
            <c:showPercent val="0"/>
            <c:showBubbleSize val="0"/>
            <c:showLeaderLines val="0"/>
          </c:dLbls>
          <c:xVal>
            <c:numRef>
              <c:f>TIF!$B$32:$B$36</c:f>
              <c:numCache>
                <c:formatCode>0.00</c:formatCode>
                <c:ptCount val="5"/>
                <c:pt idx="0">
                  <c:v>5.9055860992178815</c:v>
                </c:pt>
                <c:pt idx="1">
                  <c:v>4.7095088702504171</c:v>
                </c:pt>
                <c:pt idx="2">
                  <c:v>5.5124985932634107</c:v>
                </c:pt>
                <c:pt idx="3">
                  <c:v>4.6655748451427632</c:v>
                </c:pt>
                <c:pt idx="4">
                  <c:v>3.8163056284715671</c:v>
                </c:pt>
              </c:numCache>
            </c:numRef>
          </c:xVal>
          <c:yVal>
            <c:numRef>
              <c:f>TIF!$C$32:$C$36</c:f>
              <c:numCache>
                <c:formatCode>0.00</c:formatCode>
                <c:ptCount val="5"/>
                <c:pt idx="0">
                  <c:v>1.1800000000000033</c:v>
                </c:pt>
                <c:pt idx="1">
                  <c:v>1.9900000000000029</c:v>
                </c:pt>
                <c:pt idx="2">
                  <c:v>0.40999999999999925</c:v>
                </c:pt>
                <c:pt idx="3">
                  <c:v>0.20000000000000018</c:v>
                </c:pt>
                <c:pt idx="4">
                  <c:v>1.9900000000000029</c:v>
                </c:pt>
              </c:numCache>
            </c:numRef>
          </c:yVal>
          <c:smooth val="0"/>
        </c:ser>
        <c:dLbls>
          <c:showLegendKey val="0"/>
          <c:showVal val="0"/>
          <c:showCatName val="0"/>
          <c:showSerName val="0"/>
          <c:showPercent val="0"/>
          <c:showBubbleSize val="0"/>
        </c:dLbls>
        <c:axId val="163137792"/>
        <c:axId val="163138368"/>
      </c:scatterChart>
      <c:valAx>
        <c:axId val="163137792"/>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63138368"/>
        <c:crosses val="autoZero"/>
        <c:crossBetween val="midCat"/>
      </c:valAx>
      <c:valAx>
        <c:axId val="163138368"/>
        <c:scaling>
          <c:orientation val="minMax"/>
        </c:scaling>
        <c:delete val="0"/>
        <c:axPos val="l"/>
        <c:majorGridlines/>
        <c:title>
          <c:tx>
            <c:rich>
              <a:bodyPr/>
              <a:lstStyle/>
              <a:p>
                <a:pPr>
                  <a:defRPr/>
                </a:pPr>
                <a:r>
                  <a:rPr lang="lt-LT"/>
                  <a:t>Grąža, proc.</a:t>
                </a:r>
              </a:p>
            </c:rich>
          </c:tx>
          <c:layout/>
          <c:overlay val="0"/>
        </c:title>
        <c:numFmt formatCode="0.00" sourceLinked="1"/>
        <c:majorTickMark val="none"/>
        <c:minorTickMark val="none"/>
        <c:tickLblPos val="nextTo"/>
        <c:crossAx val="16313779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TIF!$C$61</c:f>
              <c:strCache>
                <c:ptCount val="1"/>
                <c:pt idx="0">
                  <c:v>Grąža (proc.)</c:v>
                </c:pt>
              </c:strCache>
            </c:strRef>
          </c:tx>
          <c:spPr>
            <a:solidFill>
              <a:srgbClr val="00B07D"/>
            </a:solidFill>
          </c:spPr>
          <c:invertIfNegative val="0"/>
          <c:dLbls>
            <c:dLbl>
              <c:idx val="0"/>
              <c:layout>
                <c:manualLayout>
                  <c:x val="6.5110352150481565E-3"/>
                  <c:y val="2.3148148148148147E-3"/>
                </c:manualLayout>
              </c:layout>
              <c:tx>
                <c:rich>
                  <a:bodyPr/>
                  <a:lstStyle/>
                  <a:p>
                    <a:r>
                      <a:rPr lang="en-US"/>
                      <a:t>LMN-TIPF</a:t>
                    </a:r>
                  </a:p>
                </c:rich>
              </c:tx>
              <c:showLegendKey val="0"/>
              <c:showVal val="1"/>
              <c:showCatName val="1"/>
              <c:showSerName val="0"/>
              <c:showPercent val="0"/>
              <c:showBubbleSize val="1"/>
            </c:dLbl>
            <c:dLbl>
              <c:idx val="1"/>
              <c:layout>
                <c:manualLayout>
                  <c:x val="-0.13299360406955063"/>
                  <c:y val="-2.0833333333333332E-2"/>
                </c:manualLayout>
              </c:layout>
              <c:tx>
                <c:rich>
                  <a:bodyPr/>
                  <a:lstStyle/>
                  <a:p>
                    <a:r>
                      <a:rPr lang="en-US"/>
                      <a:t>INV-TIPF</a:t>
                    </a:r>
                  </a:p>
                </c:rich>
              </c:tx>
              <c:showLegendKey val="0"/>
              <c:showVal val="1"/>
              <c:showCatName val="1"/>
              <c:showSerName val="0"/>
              <c:showPercent val="0"/>
              <c:showBubbleSize val="1"/>
            </c:dLbl>
            <c:dLbl>
              <c:idx val="2"/>
              <c:layout>
                <c:manualLayout>
                  <c:x val="-0.18397175100430535"/>
                  <c:y val="8.4372276297177105E-3"/>
                </c:manualLayout>
              </c:layout>
              <c:tx>
                <c:rich>
                  <a:bodyPr/>
                  <a:lstStyle/>
                  <a:p>
                    <a:r>
                      <a:rPr lang="en-US"/>
                      <a:t>SBN-TIPF</a:t>
                    </a:r>
                  </a:p>
                </c:rich>
              </c:tx>
              <c:showLegendKey val="0"/>
              <c:showVal val="1"/>
              <c:showCatName val="1"/>
              <c:showSerName val="0"/>
              <c:showPercent val="0"/>
              <c:showBubbleSize val="1"/>
            </c:dLbl>
            <c:dLbl>
              <c:idx val="3"/>
              <c:layout>
                <c:manualLayout>
                  <c:x val="-6.5961620608999778E-3"/>
                  <c:y val="0"/>
                </c:manualLayout>
              </c:layout>
              <c:tx>
                <c:rich>
                  <a:bodyPr/>
                  <a:lstStyle/>
                  <a:p>
                    <a:r>
                      <a:rPr lang="en-US"/>
                      <a:t>SWD-TIPF</a:t>
                    </a:r>
                  </a:p>
                </c:rich>
              </c:tx>
              <c:showLegendKey val="0"/>
              <c:showVal val="1"/>
              <c:showCatName val="1"/>
              <c:showSerName val="0"/>
              <c:showPercent val="0"/>
              <c:showBubbleSize val="1"/>
            </c:dLbl>
            <c:dLbl>
              <c:idx val="4"/>
              <c:layout>
                <c:manualLayout>
                  <c:x val="-0.16934827595129978"/>
                  <c:y val="-1.6203700750273265E-2"/>
                </c:manualLayout>
              </c:layout>
              <c:tx>
                <c:rich>
                  <a:bodyPr/>
                  <a:lstStyle/>
                  <a:p>
                    <a:r>
                      <a:rPr lang="en-US"/>
                      <a:t>AVI-TIPF</a:t>
                    </a:r>
                  </a:p>
                </c:rich>
              </c:tx>
              <c:showLegendKey val="0"/>
              <c:showVal val="1"/>
              <c:showCatName val="1"/>
              <c:showSerName val="0"/>
              <c:showPercent val="0"/>
              <c:showBubbleSize val="1"/>
            </c:dLbl>
            <c:showLegendKey val="0"/>
            <c:showVal val="1"/>
            <c:showCatName val="1"/>
            <c:showSerName val="0"/>
            <c:showPercent val="0"/>
            <c:showBubbleSize val="1"/>
            <c:showLeaderLines val="0"/>
          </c:dLbls>
          <c:xVal>
            <c:numRef>
              <c:f>TIF!$B$62:$B$66</c:f>
              <c:numCache>
                <c:formatCode>0.00</c:formatCode>
                <c:ptCount val="5"/>
                <c:pt idx="0">
                  <c:v>0.94</c:v>
                </c:pt>
                <c:pt idx="1">
                  <c:v>0.84699999999999998</c:v>
                </c:pt>
                <c:pt idx="2">
                  <c:v>2.528</c:v>
                </c:pt>
                <c:pt idx="3">
                  <c:v>3.0070000000000001</c:v>
                </c:pt>
                <c:pt idx="4">
                  <c:v>2.4870000000000001</c:v>
                </c:pt>
              </c:numCache>
            </c:numRef>
          </c:xVal>
          <c:yVal>
            <c:numRef>
              <c:f>TIF!$C$62:$C$66</c:f>
              <c:numCache>
                <c:formatCode>0.00</c:formatCode>
                <c:ptCount val="5"/>
                <c:pt idx="0">
                  <c:v>1.1800000000000033</c:v>
                </c:pt>
                <c:pt idx="1">
                  <c:v>1.9900000000000029</c:v>
                </c:pt>
                <c:pt idx="2">
                  <c:v>0.40999999999999925</c:v>
                </c:pt>
                <c:pt idx="3">
                  <c:v>0.20000000000000018</c:v>
                </c:pt>
                <c:pt idx="4">
                  <c:v>1.9900000000000029</c:v>
                </c:pt>
              </c:numCache>
            </c:numRef>
          </c:yVal>
          <c:bubbleSize>
            <c:numRef>
              <c:f>TIF!$D$62:$D$66</c:f>
              <c:numCache>
                <c:formatCode>0.00</c:formatCode>
                <c:ptCount val="5"/>
                <c:pt idx="0">
                  <c:v>1.4741450906</c:v>
                </c:pt>
                <c:pt idx="1">
                  <c:v>3.3238393396999997</c:v>
                </c:pt>
                <c:pt idx="2">
                  <c:v>9.6421355099999992</c:v>
                </c:pt>
                <c:pt idx="3">
                  <c:v>13.326853079999999</c:v>
                </c:pt>
                <c:pt idx="4">
                  <c:v>4.47750965</c:v>
                </c:pt>
              </c:numCache>
            </c:numRef>
          </c:bubbleSize>
          <c:bubble3D val="1"/>
        </c:ser>
        <c:dLbls>
          <c:showLegendKey val="0"/>
          <c:showVal val="0"/>
          <c:showCatName val="0"/>
          <c:showSerName val="0"/>
          <c:showPercent val="0"/>
          <c:showBubbleSize val="0"/>
        </c:dLbls>
        <c:bubbleScale val="100"/>
        <c:showNegBubbles val="0"/>
        <c:axId val="163140096"/>
        <c:axId val="163140672"/>
      </c:bubbleChart>
      <c:valAx>
        <c:axId val="16314009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63140672"/>
        <c:crosses val="autoZero"/>
        <c:crossBetween val="midCat"/>
      </c:valAx>
      <c:valAx>
        <c:axId val="16314067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6314009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lt-L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44.999999999999993</c:v>
                </c:pt>
                <c:pt idx="39">
                  <c:v>40</c:v>
                </c:pt>
                <c:pt idx="40">
                  <c:v>35</c:v>
                </c:pt>
                <c:pt idx="41">
                  <c:v>30</c:v>
                </c:pt>
                <c:pt idx="42">
                  <c:v>25</c:v>
                </c:pt>
                <c:pt idx="43">
                  <c:v>20</c:v>
                </c:pt>
                <c:pt idx="44">
                  <c:v>15</c:v>
                </c:pt>
                <c:pt idx="45">
                  <c:v>15</c:v>
                </c:pt>
                <c:pt idx="46">
                  <c:v>15</c:v>
                </c:pt>
                <c:pt idx="47">
                  <c:v>15</c:v>
                </c:pt>
                <c:pt idx="48">
                  <c:v>15</c:v>
                </c:pt>
              </c:numCache>
            </c:numRef>
          </c:val>
          <c:smooth val="0"/>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ser>
        <c:ser>
          <c:idx val="5"/>
          <c:order val="4"/>
          <c:tx>
            <c:strRef>
              <c:f>Strategijų_palyginimas!$F$2</c:f>
              <c:strCache>
                <c:ptCount val="1"/>
                <c:pt idx="0">
                  <c:v>UAGDPB „Aviva Lietuva“</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89</c:v>
                </c:pt>
                <c:pt idx="27">
                  <c:v>87</c:v>
                </c:pt>
                <c:pt idx="28">
                  <c:v>83</c:v>
                </c:pt>
                <c:pt idx="29">
                  <c:v>78</c:v>
                </c:pt>
                <c:pt idx="30">
                  <c:v>72</c:v>
                </c:pt>
                <c:pt idx="31">
                  <c:v>66</c:v>
                </c:pt>
                <c:pt idx="32">
                  <c:v>59</c:v>
                </c:pt>
                <c:pt idx="33">
                  <c:v>54</c:v>
                </c:pt>
                <c:pt idx="34">
                  <c:v>48</c:v>
                </c:pt>
                <c:pt idx="35">
                  <c:v>43</c:v>
                </c:pt>
                <c:pt idx="36">
                  <c:v>39</c:v>
                </c:pt>
                <c:pt idx="37">
                  <c:v>35</c:v>
                </c:pt>
                <c:pt idx="38">
                  <c:v>32</c:v>
                </c:pt>
                <c:pt idx="39">
                  <c:v>28.000000000000004</c:v>
                </c:pt>
                <c:pt idx="40">
                  <c:v>26</c:v>
                </c:pt>
                <c:pt idx="41">
                  <c:v>23</c:v>
                </c:pt>
                <c:pt idx="42">
                  <c:v>21</c:v>
                </c:pt>
                <c:pt idx="43">
                  <c:v>19</c:v>
                </c:pt>
                <c:pt idx="44">
                  <c:v>17</c:v>
                </c:pt>
                <c:pt idx="45">
                  <c:v>15</c:v>
                </c:pt>
                <c:pt idx="46">
                  <c:v>15</c:v>
                </c:pt>
                <c:pt idx="47">
                  <c:v>15</c:v>
                </c:pt>
                <c:pt idx="48">
                  <c:v>15</c:v>
                </c:pt>
              </c:numCache>
            </c:numRef>
          </c:val>
          <c:smooth val="0"/>
        </c:ser>
        <c:dLbls>
          <c:showLegendKey val="0"/>
          <c:showVal val="0"/>
          <c:showCatName val="0"/>
          <c:showSerName val="0"/>
          <c:showPercent val="0"/>
          <c:showBubbleSize val="0"/>
        </c:dLbls>
        <c:marker val="1"/>
        <c:smooth val="0"/>
        <c:axId val="373661184"/>
        <c:axId val="163142400"/>
      </c:lineChart>
      <c:catAx>
        <c:axId val="373661184"/>
        <c:scaling>
          <c:orientation val="minMax"/>
        </c:scaling>
        <c:delete val="0"/>
        <c:axPos val="b"/>
        <c:numFmt formatCode="0" sourceLinked="1"/>
        <c:majorTickMark val="none"/>
        <c:minorTickMark val="none"/>
        <c:tickLblPos val="nextTo"/>
        <c:crossAx val="163142400"/>
        <c:crosses val="autoZero"/>
        <c:auto val="1"/>
        <c:lblAlgn val="ctr"/>
        <c:lblOffset val="100"/>
        <c:noMultiLvlLbl val="0"/>
      </c:catAx>
      <c:valAx>
        <c:axId val="163142400"/>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373661184"/>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57396</xdr:rowOff>
    </xdr:from>
    <xdr:to>
      <xdr:col>3</xdr:col>
      <xdr:colOff>1066107</xdr:colOff>
      <xdr:row>49</xdr:row>
      <xdr:rowOff>78179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53436</xdr:rowOff>
    </xdr:from>
    <xdr:to>
      <xdr:col>4</xdr:col>
      <xdr:colOff>27709</xdr:colOff>
      <xdr:row>80</xdr:row>
      <xdr:rowOff>193961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40574</xdr:rowOff>
    </xdr:from>
    <xdr:to>
      <xdr:col>4</xdr:col>
      <xdr:colOff>1025236</xdr:colOff>
      <xdr:row>49</xdr:row>
      <xdr:rowOff>61357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67293</xdr:rowOff>
    </xdr:from>
    <xdr:to>
      <xdr:col>4</xdr:col>
      <xdr:colOff>1094509</xdr:colOff>
      <xdr:row>81</xdr:row>
      <xdr:rowOff>11875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22</xdr:row>
      <xdr:rowOff>7916</xdr:rowOff>
    </xdr:from>
    <xdr:to>
      <xdr:col>5</xdr:col>
      <xdr:colOff>0</xdr:colOff>
      <xdr:row>49</xdr:row>
      <xdr:rowOff>28699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78176</xdr:rowOff>
    </xdr:from>
    <xdr:to>
      <xdr:col>5</xdr:col>
      <xdr:colOff>41564</xdr:colOff>
      <xdr:row>81</xdr:row>
      <xdr:rowOff>22758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22</xdr:row>
      <xdr:rowOff>35625</xdr:rowOff>
    </xdr:from>
    <xdr:to>
      <xdr:col>4</xdr:col>
      <xdr:colOff>1025236</xdr:colOff>
      <xdr:row>49</xdr:row>
      <xdr:rowOff>56408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42551</xdr:rowOff>
    </xdr:from>
    <xdr:to>
      <xdr:col>4</xdr:col>
      <xdr:colOff>1020288</xdr:colOff>
      <xdr:row>80</xdr:row>
      <xdr:rowOff>183076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22</xdr:row>
      <xdr:rowOff>29688</xdr:rowOff>
    </xdr:from>
    <xdr:to>
      <xdr:col>4</xdr:col>
      <xdr:colOff>1025236</xdr:colOff>
      <xdr:row>49</xdr:row>
      <xdr:rowOff>50471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42552</xdr:rowOff>
    </xdr:from>
    <xdr:to>
      <xdr:col>4</xdr:col>
      <xdr:colOff>1094509</xdr:colOff>
      <xdr:row>80</xdr:row>
      <xdr:rowOff>183077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22</xdr:row>
      <xdr:rowOff>62345</xdr:rowOff>
    </xdr:from>
    <xdr:to>
      <xdr:col>4</xdr:col>
      <xdr:colOff>1025236</xdr:colOff>
      <xdr:row>49</xdr:row>
      <xdr:rowOff>83128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48489</xdr:rowOff>
    </xdr:from>
    <xdr:to>
      <xdr:col>4</xdr:col>
      <xdr:colOff>1094509</xdr:colOff>
      <xdr:row>80</xdr:row>
      <xdr:rowOff>189014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22</xdr:row>
      <xdr:rowOff>40573</xdr:rowOff>
    </xdr:from>
    <xdr:to>
      <xdr:col>4</xdr:col>
      <xdr:colOff>1025236</xdr:colOff>
      <xdr:row>49</xdr:row>
      <xdr:rowOff>61356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36612</xdr:rowOff>
    </xdr:from>
    <xdr:to>
      <xdr:col>4</xdr:col>
      <xdr:colOff>1094509</xdr:colOff>
      <xdr:row>80</xdr:row>
      <xdr:rowOff>177137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23</xdr:row>
      <xdr:rowOff>32657</xdr:rowOff>
    </xdr:from>
    <xdr:to>
      <xdr:col>4</xdr:col>
      <xdr:colOff>1025236</xdr:colOff>
      <xdr:row>50</xdr:row>
      <xdr:rowOff>53440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56</xdr:row>
      <xdr:rowOff>81146</xdr:rowOff>
    </xdr:from>
    <xdr:to>
      <xdr:col>4</xdr:col>
      <xdr:colOff>1094509</xdr:colOff>
      <xdr:row>82</xdr:row>
      <xdr:rowOff>25728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7D"/>
  </sheetPr>
  <dimension ref="A1:U69"/>
  <sheetViews>
    <sheetView showGridLines="0" tabSelected="1" zoomScale="70" zoomScaleNormal="70" workbookViewId="0">
      <pane xSplit="3" ySplit="2" topLeftCell="G30" activePane="bottomRight" state="frozen"/>
      <selection pane="topRight" activeCell="D1" sqref="D1"/>
      <selection pane="bottomLeft" activeCell="A3" sqref="A3"/>
      <selection pane="bottomRight" activeCell="A64" sqref="A64"/>
    </sheetView>
  </sheetViews>
  <sheetFormatPr defaultRowHeight="14.4" x14ac:dyDescent="0.3"/>
  <cols>
    <col min="1" max="1" width="41.44140625" style="7" customWidth="1"/>
    <col min="2" max="2" width="16.33203125" style="7" customWidth="1"/>
    <col min="3" max="3" width="64.44140625" style="7" customWidth="1"/>
    <col min="4" max="4" width="13.109375" bestFit="1" customWidth="1"/>
    <col min="5" max="5" width="12.6640625" customWidth="1"/>
    <col min="6" max="6" width="17.77734375" customWidth="1"/>
    <col min="7" max="7" width="14.109375" customWidth="1"/>
    <col min="8" max="8" width="1.5546875" customWidth="1"/>
    <col min="9" max="10" width="13" customWidth="1"/>
    <col min="11" max="12" width="16.33203125" customWidth="1"/>
    <col min="13" max="13" width="1.5546875" customWidth="1"/>
    <col min="14" max="15" width="16.6640625" customWidth="1"/>
    <col min="16" max="16" width="1.5546875" customWidth="1"/>
    <col min="17" max="17" width="14.77734375" customWidth="1"/>
    <col min="18" max="18" width="16.5546875" customWidth="1"/>
    <col min="19" max="19" width="15.5546875" customWidth="1"/>
  </cols>
  <sheetData>
    <row r="1" spans="1:21" ht="19.8" customHeight="1" x14ac:dyDescent="0.3">
      <c r="A1" s="25">
        <v>43921</v>
      </c>
      <c r="B1" s="26"/>
      <c r="C1" s="27"/>
      <c r="D1" s="73" t="s">
        <v>126</v>
      </c>
      <c r="E1" s="31" t="s">
        <v>92</v>
      </c>
      <c r="F1" s="73" t="s">
        <v>100</v>
      </c>
      <c r="G1" s="73" t="s">
        <v>87</v>
      </c>
      <c r="H1" s="28"/>
      <c r="I1" s="71" t="s">
        <v>88</v>
      </c>
      <c r="J1" s="72"/>
      <c r="K1" s="72"/>
      <c r="L1" s="72"/>
      <c r="M1" s="29"/>
      <c r="N1" s="75" t="s">
        <v>91</v>
      </c>
      <c r="O1" s="76"/>
      <c r="P1" s="29"/>
      <c r="Q1" s="71" t="s">
        <v>143</v>
      </c>
      <c r="R1" s="72"/>
      <c r="S1" s="72"/>
    </row>
    <row r="2" spans="1:21" ht="88.2" x14ac:dyDescent="0.3">
      <c r="A2" s="24" t="s">
        <v>43</v>
      </c>
      <c r="B2" s="24" t="s">
        <v>44</v>
      </c>
      <c r="C2" s="24" t="s">
        <v>45</v>
      </c>
      <c r="D2" s="74"/>
      <c r="E2" s="24" t="s">
        <v>112</v>
      </c>
      <c r="F2" s="74"/>
      <c r="G2" s="74"/>
      <c r="H2" s="28"/>
      <c r="I2" s="61" t="s">
        <v>110</v>
      </c>
      <c r="J2" s="24" t="s">
        <v>129</v>
      </c>
      <c r="K2" s="24" t="s">
        <v>111</v>
      </c>
      <c r="L2" s="24" t="s">
        <v>130</v>
      </c>
      <c r="M2" s="30"/>
      <c r="N2" s="24" t="s">
        <v>131</v>
      </c>
      <c r="O2" s="24" t="s">
        <v>132</v>
      </c>
      <c r="P2" s="30"/>
      <c r="Q2" s="24" t="s">
        <v>140</v>
      </c>
      <c r="R2" s="24" t="s">
        <v>141</v>
      </c>
      <c r="S2" s="24" t="s">
        <v>142</v>
      </c>
      <c r="T2" s="47"/>
    </row>
    <row r="3" spans="1:21" s="46" customFormat="1" ht="18.600000000000001" customHeight="1" x14ac:dyDescent="0.3">
      <c r="A3" s="70" t="s">
        <v>46</v>
      </c>
      <c r="B3" s="70"/>
      <c r="C3" s="70"/>
      <c r="D3" s="43"/>
      <c r="E3" s="43"/>
      <c r="F3" s="44"/>
      <c r="G3" s="45" t="s">
        <v>113</v>
      </c>
      <c r="H3" s="43"/>
      <c r="I3" s="66">
        <v>-17.332428015393425</v>
      </c>
      <c r="J3" s="66">
        <v>1.6088997080235994</v>
      </c>
      <c r="K3" s="66">
        <v>-18.454412372308543</v>
      </c>
      <c r="L3" s="66">
        <v>2.1687665647873855</v>
      </c>
      <c r="M3" s="43"/>
      <c r="N3" s="43"/>
      <c r="O3" s="43"/>
      <c r="P3" s="43"/>
    </row>
    <row r="4" spans="1:21" x14ac:dyDescent="0.3">
      <c r="A4" s="32" t="s">
        <v>36</v>
      </c>
      <c r="B4" s="32" t="s">
        <v>4</v>
      </c>
      <c r="C4" s="32" t="s">
        <v>47</v>
      </c>
      <c r="D4" s="64" t="s">
        <v>128</v>
      </c>
      <c r="E4" s="64">
        <v>90</v>
      </c>
      <c r="F4" s="33">
        <v>1.8299925899</v>
      </c>
      <c r="G4" s="35">
        <v>6079</v>
      </c>
      <c r="H4" s="22"/>
      <c r="I4" s="36">
        <v>-17.367651835011365</v>
      </c>
      <c r="J4" s="36">
        <v>1.7700000000000049</v>
      </c>
      <c r="K4" s="36">
        <v>-18.251079706811126</v>
      </c>
      <c r="L4" s="36">
        <v>1.8164000000000069</v>
      </c>
      <c r="M4" s="23"/>
      <c r="N4" s="36">
        <v>15.520908957918172</v>
      </c>
      <c r="O4" s="36">
        <v>16.985190614186223</v>
      </c>
      <c r="P4" s="23"/>
      <c r="Q4" s="33">
        <v>0.78</v>
      </c>
      <c r="R4" s="33">
        <v>1.2</v>
      </c>
      <c r="S4" s="33" t="s">
        <v>139</v>
      </c>
      <c r="T4" s="56"/>
      <c r="U4" s="56"/>
    </row>
    <row r="5" spans="1:21" x14ac:dyDescent="0.3">
      <c r="A5" s="32" t="s">
        <v>123</v>
      </c>
      <c r="B5" s="32" t="s">
        <v>2</v>
      </c>
      <c r="C5" s="32" t="s">
        <v>48</v>
      </c>
      <c r="D5" s="64" t="s">
        <v>128</v>
      </c>
      <c r="E5" s="64">
        <v>97</v>
      </c>
      <c r="F5" s="33">
        <v>4.7324482284</v>
      </c>
      <c r="G5" s="35">
        <v>9366</v>
      </c>
      <c r="H5" s="22"/>
      <c r="I5" s="36">
        <v>-17.363606664488717</v>
      </c>
      <c r="J5" s="36">
        <v>1.1800000000000033</v>
      </c>
      <c r="K5" s="36">
        <v>-20.032072804947465</v>
      </c>
      <c r="L5" s="36">
        <v>3.2199999999993345E-2</v>
      </c>
      <c r="M5" s="23"/>
      <c r="N5" s="36">
        <v>15.48449172486934</v>
      </c>
      <c r="O5" s="36">
        <v>18.033285777439996</v>
      </c>
      <c r="P5" s="23"/>
      <c r="Q5" s="33">
        <v>0.79</v>
      </c>
      <c r="R5" s="33" t="s">
        <v>139</v>
      </c>
      <c r="S5" s="33">
        <v>1.1000000000000001</v>
      </c>
      <c r="T5" s="56"/>
      <c r="U5" s="56"/>
    </row>
    <row r="6" spans="1:21" x14ac:dyDescent="0.3">
      <c r="A6" s="32" t="s">
        <v>122</v>
      </c>
      <c r="B6" s="32" t="s">
        <v>1</v>
      </c>
      <c r="C6" s="32" t="s">
        <v>49</v>
      </c>
      <c r="D6" s="64" t="s">
        <v>128</v>
      </c>
      <c r="E6" s="64">
        <v>98</v>
      </c>
      <c r="F6" s="33">
        <v>6.2662444199999996</v>
      </c>
      <c r="G6" s="35">
        <v>11804</v>
      </c>
      <c r="H6" s="22"/>
      <c r="I6" s="36">
        <v>-18.160735705717702</v>
      </c>
      <c r="J6" s="36">
        <v>2.3400000000000087</v>
      </c>
      <c r="K6" s="36">
        <v>-19.09758914553057</v>
      </c>
      <c r="L6" s="36">
        <v>2.1290999999999949</v>
      </c>
      <c r="M6" s="23"/>
      <c r="N6" s="36">
        <v>16.889127450593019</v>
      </c>
      <c r="O6" s="36">
        <v>17.590209510595731</v>
      </c>
      <c r="P6" s="23"/>
      <c r="Q6" s="33">
        <v>0.79</v>
      </c>
      <c r="R6" s="33">
        <v>1.0900000000000001</v>
      </c>
      <c r="S6" s="33" t="s">
        <v>139</v>
      </c>
      <c r="T6" s="56"/>
      <c r="U6" s="56"/>
    </row>
    <row r="7" spans="1:21" x14ac:dyDescent="0.3">
      <c r="A7" s="32" t="s">
        <v>124</v>
      </c>
      <c r="B7" s="32" t="s">
        <v>3</v>
      </c>
      <c r="C7" s="32" t="s">
        <v>106</v>
      </c>
      <c r="D7" s="64" t="s">
        <v>128</v>
      </c>
      <c r="E7" s="64">
        <v>90</v>
      </c>
      <c r="F7" s="33">
        <v>14.66306541</v>
      </c>
      <c r="G7" s="35">
        <v>30182</v>
      </c>
      <c r="H7" s="22"/>
      <c r="I7" s="36">
        <v>-17.172974767596283</v>
      </c>
      <c r="J7" s="36">
        <v>2.0451988955926037</v>
      </c>
      <c r="K7" s="36">
        <v>-17.740847358546997</v>
      </c>
      <c r="L7" s="36">
        <v>2.8485621740603984</v>
      </c>
      <c r="M7" s="23"/>
      <c r="N7" s="36">
        <v>15.411673025871764</v>
      </c>
      <c r="O7" s="36">
        <v>16.252109322914034</v>
      </c>
      <c r="P7" s="23"/>
      <c r="Q7" s="33">
        <v>0.75</v>
      </c>
      <c r="R7" s="33">
        <v>0.92730000000000001</v>
      </c>
      <c r="S7" s="33" t="s">
        <v>139</v>
      </c>
      <c r="T7" s="56"/>
      <c r="U7" s="56"/>
    </row>
    <row r="8" spans="1:21" x14ac:dyDescent="0.3">
      <c r="A8" s="32" t="s">
        <v>37</v>
      </c>
      <c r="B8" s="32" t="s">
        <v>5</v>
      </c>
      <c r="C8" s="32" t="s">
        <v>50</v>
      </c>
      <c r="D8" s="64" t="s">
        <v>128</v>
      </c>
      <c r="E8" s="64">
        <v>90</v>
      </c>
      <c r="F8" s="33">
        <v>4.6711833299999999</v>
      </c>
      <c r="G8" s="35">
        <v>11579</v>
      </c>
      <c r="H8" s="22"/>
      <c r="I8" s="36">
        <v>-16.676423852136825</v>
      </c>
      <c r="J8" s="36">
        <v>-0.37000000000000366</v>
      </c>
      <c r="K8" s="36">
        <v>-18.312831236053484</v>
      </c>
      <c r="L8" s="36">
        <v>2.3906999999999901</v>
      </c>
      <c r="M8" s="23"/>
      <c r="N8" s="36">
        <v>15.949909245447044</v>
      </c>
      <c r="O8" s="36">
        <v>17.533124571125459</v>
      </c>
      <c r="P8" s="23"/>
      <c r="Q8" s="33">
        <v>0.79</v>
      </c>
      <c r="R8" s="33" t="s">
        <v>139</v>
      </c>
      <c r="S8" s="33">
        <v>1.46</v>
      </c>
      <c r="T8" s="56"/>
      <c r="U8" s="56"/>
    </row>
    <row r="9" spans="1:21" s="46" customFormat="1" ht="18.600000000000001" customHeight="1" x14ac:dyDescent="0.3">
      <c r="A9" s="70" t="s">
        <v>51</v>
      </c>
      <c r="B9" s="70"/>
      <c r="C9" s="70"/>
      <c r="D9" s="69"/>
      <c r="E9" s="69"/>
      <c r="F9" s="44"/>
      <c r="G9" s="45" t="s">
        <v>113</v>
      </c>
      <c r="H9" s="43"/>
      <c r="I9" s="66">
        <v>-17.270590601424541</v>
      </c>
      <c r="J9" s="66">
        <v>1.6914714025170092</v>
      </c>
      <c r="K9" s="66">
        <v>-18.487959720583227</v>
      </c>
      <c r="L9" s="66">
        <v>2.1149381724380847</v>
      </c>
      <c r="M9" s="43"/>
      <c r="N9" s="43"/>
      <c r="O9" s="43"/>
      <c r="P9" s="43"/>
      <c r="Q9" s="43"/>
      <c r="R9" s="43"/>
      <c r="S9" s="43"/>
      <c r="T9" s="56"/>
      <c r="U9" s="56"/>
    </row>
    <row r="10" spans="1:21" x14ac:dyDescent="0.3">
      <c r="A10" s="32" t="s">
        <v>36</v>
      </c>
      <c r="B10" s="32" t="s">
        <v>9</v>
      </c>
      <c r="C10" s="32" t="s">
        <v>52</v>
      </c>
      <c r="D10" s="64" t="s">
        <v>128</v>
      </c>
      <c r="E10" s="64">
        <v>90</v>
      </c>
      <c r="F10" s="33">
        <v>18.403021606500001</v>
      </c>
      <c r="G10" s="35">
        <v>17724</v>
      </c>
      <c r="H10" s="22"/>
      <c r="I10" s="36">
        <v>-17.522095191761935</v>
      </c>
      <c r="J10" s="36">
        <v>1.7200000000000104</v>
      </c>
      <c r="K10" s="36">
        <v>-18.251079706811126</v>
      </c>
      <c r="L10" s="36">
        <v>1.8164000000000069</v>
      </c>
      <c r="M10" s="23"/>
      <c r="N10" s="36">
        <v>15.592656978385449</v>
      </c>
      <c r="O10" s="36">
        <v>16.985190614186223</v>
      </c>
      <c r="P10" s="23"/>
      <c r="Q10" s="33">
        <v>0.78</v>
      </c>
      <c r="R10" s="33">
        <v>1.37</v>
      </c>
      <c r="S10" s="33" t="s">
        <v>139</v>
      </c>
      <c r="T10" s="56"/>
      <c r="U10" s="56"/>
    </row>
    <row r="11" spans="1:21" x14ac:dyDescent="0.3">
      <c r="A11" s="32" t="s">
        <v>123</v>
      </c>
      <c r="B11" s="32" t="s">
        <v>7</v>
      </c>
      <c r="C11" s="32" t="s">
        <v>53</v>
      </c>
      <c r="D11" s="64" t="s">
        <v>128</v>
      </c>
      <c r="E11" s="64">
        <v>97</v>
      </c>
      <c r="F11" s="33">
        <v>39.392853644399999</v>
      </c>
      <c r="G11" s="35">
        <v>31054</v>
      </c>
      <c r="H11" s="22"/>
      <c r="I11" s="36">
        <v>-17.727717923604313</v>
      </c>
      <c r="J11" s="36">
        <v>0.80000000000000071</v>
      </c>
      <c r="K11" s="36">
        <v>-20.032072804947465</v>
      </c>
      <c r="L11" s="36">
        <v>3.2199999999993345E-2</v>
      </c>
      <c r="M11" s="23"/>
      <c r="N11" s="36">
        <v>15.768448498249166</v>
      </c>
      <c r="O11" s="36">
        <v>18.033285777439996</v>
      </c>
      <c r="P11" s="23"/>
      <c r="Q11" s="33">
        <v>0.79</v>
      </c>
      <c r="R11" s="33" t="s">
        <v>139</v>
      </c>
      <c r="S11" s="33">
        <v>1.08</v>
      </c>
      <c r="T11" s="56"/>
      <c r="U11" s="56"/>
    </row>
    <row r="12" spans="1:21" x14ac:dyDescent="0.3">
      <c r="A12" s="32" t="s">
        <v>122</v>
      </c>
      <c r="B12" s="32" t="s">
        <v>6</v>
      </c>
      <c r="C12" s="32" t="s">
        <v>54</v>
      </c>
      <c r="D12" s="64" t="s">
        <v>128</v>
      </c>
      <c r="E12" s="64">
        <v>98</v>
      </c>
      <c r="F12" s="33">
        <v>46.971955950000002</v>
      </c>
      <c r="G12" s="35">
        <v>38732</v>
      </c>
      <c r="H12" s="22"/>
      <c r="I12" s="36">
        <v>-18.008372242795044</v>
      </c>
      <c r="J12" s="36">
        <v>1.8499999999999961</v>
      </c>
      <c r="K12" s="36">
        <v>-19.09758914553057</v>
      </c>
      <c r="L12" s="36">
        <v>2.1290999999999949</v>
      </c>
      <c r="M12" s="23"/>
      <c r="N12" s="36">
        <v>16.644581548661623</v>
      </c>
      <c r="O12" s="36">
        <v>17.590209510595731</v>
      </c>
      <c r="P12" s="23"/>
      <c r="Q12" s="33">
        <v>0.79</v>
      </c>
      <c r="R12" s="33">
        <v>1.25</v>
      </c>
      <c r="S12" s="33" t="s">
        <v>139</v>
      </c>
      <c r="T12" s="56"/>
      <c r="U12" s="56"/>
    </row>
    <row r="13" spans="1:21" x14ac:dyDescent="0.3">
      <c r="A13" s="32" t="s">
        <v>124</v>
      </c>
      <c r="B13" s="32" t="s">
        <v>8</v>
      </c>
      <c r="C13" s="32" t="s">
        <v>105</v>
      </c>
      <c r="D13" s="64" t="s">
        <v>128</v>
      </c>
      <c r="E13" s="64">
        <v>90</v>
      </c>
      <c r="F13" s="33">
        <v>106.44098414</v>
      </c>
      <c r="G13" s="35">
        <v>86941</v>
      </c>
      <c r="H13" s="22"/>
      <c r="I13" s="36">
        <v>-16.853932584269661</v>
      </c>
      <c r="J13" s="36">
        <v>3.0215530576466865</v>
      </c>
      <c r="K13" s="36">
        <v>-17.740847358546997</v>
      </c>
      <c r="L13" s="36">
        <v>2.8485621740603984</v>
      </c>
      <c r="M13" s="23"/>
      <c r="N13" s="36">
        <v>15.354508373996453</v>
      </c>
      <c r="O13" s="36">
        <v>16.252109322914034</v>
      </c>
      <c r="P13" s="23"/>
      <c r="Q13" s="33">
        <v>0.75</v>
      </c>
      <c r="R13" s="33">
        <v>0.93179999999999996</v>
      </c>
      <c r="S13" s="33" t="s">
        <v>139</v>
      </c>
      <c r="T13" s="56"/>
      <c r="U13" s="56"/>
    </row>
    <row r="14" spans="1:21" x14ac:dyDescent="0.3">
      <c r="A14" s="32" t="s">
        <v>37</v>
      </c>
      <c r="B14" s="32" t="s">
        <v>10</v>
      </c>
      <c r="C14" s="32" t="s">
        <v>55</v>
      </c>
      <c r="D14" s="64" t="s">
        <v>128</v>
      </c>
      <c r="E14" s="64">
        <v>90</v>
      </c>
      <c r="F14" s="33">
        <v>31.86131692</v>
      </c>
      <c r="G14" s="35">
        <v>30243</v>
      </c>
      <c r="H14" s="22"/>
      <c r="I14" s="36">
        <v>-16.86440677966101</v>
      </c>
      <c r="J14" s="36">
        <v>-1.9000000000000017</v>
      </c>
      <c r="K14" s="36">
        <v>-18.312831236053484</v>
      </c>
      <c r="L14" s="36">
        <v>2.3906999999999901</v>
      </c>
      <c r="M14" s="23"/>
      <c r="N14" s="36">
        <v>15.834818546667378</v>
      </c>
      <c r="O14" s="36">
        <v>17.533124571125459</v>
      </c>
      <c r="P14" s="23"/>
      <c r="Q14" s="33">
        <v>0.79</v>
      </c>
      <c r="R14" s="33" t="s">
        <v>139</v>
      </c>
      <c r="S14" s="33">
        <v>1.5</v>
      </c>
      <c r="T14" s="56"/>
      <c r="U14" s="56"/>
    </row>
    <row r="15" spans="1:21" s="46" customFormat="1" ht="18.600000000000001" customHeight="1" x14ac:dyDescent="0.3">
      <c r="A15" s="70" t="s">
        <v>56</v>
      </c>
      <c r="B15" s="70"/>
      <c r="C15" s="70"/>
      <c r="D15" s="69"/>
      <c r="E15" s="69"/>
      <c r="F15" s="44"/>
      <c r="G15" s="45" t="s">
        <v>113</v>
      </c>
      <c r="H15" s="43"/>
      <c r="I15" s="66">
        <v>-17.281712045141063</v>
      </c>
      <c r="J15" s="66">
        <v>1.6454496206857807</v>
      </c>
      <c r="K15" s="66">
        <v>-18.608938196665779</v>
      </c>
      <c r="L15" s="66">
        <v>2.0249217497082355</v>
      </c>
      <c r="M15" s="43"/>
      <c r="N15" s="43"/>
      <c r="O15" s="43"/>
      <c r="P15" s="43"/>
      <c r="Q15" s="43"/>
      <c r="R15" s="43"/>
      <c r="S15" s="43"/>
      <c r="T15" s="56"/>
      <c r="U15" s="56"/>
    </row>
    <row r="16" spans="1:21" x14ac:dyDescent="0.3">
      <c r="A16" s="32" t="s">
        <v>36</v>
      </c>
      <c r="B16" s="32" t="s">
        <v>14</v>
      </c>
      <c r="C16" s="32" t="s">
        <v>57</v>
      </c>
      <c r="D16" s="64" t="s">
        <v>128</v>
      </c>
      <c r="E16" s="64">
        <v>90</v>
      </c>
      <c r="F16" s="33">
        <v>47.213261645800003</v>
      </c>
      <c r="G16" s="35">
        <v>26173</v>
      </c>
      <c r="H16" s="22"/>
      <c r="I16" s="36">
        <v>-17.542861785975461</v>
      </c>
      <c r="J16" s="36">
        <v>1.4799999999999924</v>
      </c>
      <c r="K16" s="36">
        <v>-18.251079706811126</v>
      </c>
      <c r="L16" s="36">
        <v>1.8164000000000069</v>
      </c>
      <c r="M16" s="23"/>
      <c r="N16" s="36">
        <v>15.553360856443591</v>
      </c>
      <c r="O16" s="36">
        <v>16.985190614186223</v>
      </c>
      <c r="P16" s="23"/>
      <c r="Q16" s="33">
        <v>0.78</v>
      </c>
      <c r="R16" s="33">
        <v>1.5</v>
      </c>
      <c r="S16" s="33" t="s">
        <v>139</v>
      </c>
      <c r="T16" s="56"/>
      <c r="U16" s="56"/>
    </row>
    <row r="17" spans="1:21" x14ac:dyDescent="0.3">
      <c r="A17" s="32" t="s">
        <v>123</v>
      </c>
      <c r="B17" s="32" t="s">
        <v>12</v>
      </c>
      <c r="C17" s="32" t="s">
        <v>58</v>
      </c>
      <c r="D17" s="64" t="s">
        <v>128</v>
      </c>
      <c r="E17" s="64">
        <v>97</v>
      </c>
      <c r="F17" s="33">
        <v>92.204876354000007</v>
      </c>
      <c r="G17" s="35">
        <v>41287</v>
      </c>
      <c r="H17" s="22"/>
      <c r="I17" s="36">
        <v>-17.628756243347254</v>
      </c>
      <c r="J17" s="36">
        <v>0.60000000000000053</v>
      </c>
      <c r="K17" s="36">
        <v>-20.032072804947465</v>
      </c>
      <c r="L17" s="36">
        <v>3.2199999999993345E-2</v>
      </c>
      <c r="M17" s="23"/>
      <c r="N17" s="36">
        <v>15.639511428062866</v>
      </c>
      <c r="O17" s="36">
        <v>18.033285777439996</v>
      </c>
      <c r="P17" s="23"/>
      <c r="Q17" s="33">
        <v>0.79</v>
      </c>
      <c r="R17" s="33" t="s">
        <v>139</v>
      </c>
      <c r="S17" s="33">
        <v>1.0900000000000001</v>
      </c>
      <c r="T17" s="56"/>
      <c r="U17" s="56"/>
    </row>
    <row r="18" spans="1:21" x14ac:dyDescent="0.3">
      <c r="A18" s="32" t="s">
        <v>122</v>
      </c>
      <c r="B18" s="32" t="s">
        <v>11</v>
      </c>
      <c r="C18" s="32" t="s">
        <v>59</v>
      </c>
      <c r="D18" s="64" t="s">
        <v>128</v>
      </c>
      <c r="E18" s="64">
        <v>98</v>
      </c>
      <c r="F18" s="33">
        <v>139.61097594999998</v>
      </c>
      <c r="G18" s="35">
        <v>69279</v>
      </c>
      <c r="H18" s="22"/>
      <c r="I18" s="36">
        <v>-17.896262886597935</v>
      </c>
      <c r="J18" s="36">
        <v>1.9400000000000084</v>
      </c>
      <c r="K18" s="36">
        <v>-19.09758914553057</v>
      </c>
      <c r="L18" s="36">
        <v>2.1290999999999949</v>
      </c>
      <c r="M18" s="23"/>
      <c r="N18" s="36">
        <v>16.552635835539601</v>
      </c>
      <c r="O18" s="36">
        <v>17.590209510595731</v>
      </c>
      <c r="P18" s="23"/>
      <c r="Q18" s="33">
        <v>0.79</v>
      </c>
      <c r="R18" s="33">
        <v>1.23</v>
      </c>
      <c r="S18" s="33" t="s">
        <v>139</v>
      </c>
      <c r="T18" s="56"/>
      <c r="U18" s="56"/>
    </row>
    <row r="19" spans="1:21" x14ac:dyDescent="0.3">
      <c r="A19" s="32" t="s">
        <v>124</v>
      </c>
      <c r="B19" s="32" t="s">
        <v>13</v>
      </c>
      <c r="C19" s="32" t="s">
        <v>104</v>
      </c>
      <c r="D19" s="64" t="s">
        <v>128</v>
      </c>
      <c r="E19" s="64">
        <v>90</v>
      </c>
      <c r="F19" s="33">
        <v>186.79752865</v>
      </c>
      <c r="G19" s="35">
        <v>104736</v>
      </c>
      <c r="H19" s="22"/>
      <c r="I19" s="36">
        <v>-16.758287522905214</v>
      </c>
      <c r="J19" s="36">
        <v>3.1905007743933789</v>
      </c>
      <c r="K19" s="36">
        <v>-17.740847358546997</v>
      </c>
      <c r="L19" s="36">
        <v>2.8485621740603984</v>
      </c>
      <c r="M19" s="23"/>
      <c r="N19" s="36">
        <v>15.336042136049416</v>
      </c>
      <c r="O19" s="36">
        <v>16.252109322914034</v>
      </c>
      <c r="P19" s="23"/>
      <c r="Q19" s="33">
        <v>0.75</v>
      </c>
      <c r="R19" s="33">
        <v>0.92930000000000001</v>
      </c>
      <c r="S19" s="33" t="s">
        <v>139</v>
      </c>
      <c r="T19" s="56"/>
      <c r="U19" s="56"/>
    </row>
    <row r="20" spans="1:21" x14ac:dyDescent="0.3">
      <c r="A20" s="32" t="s">
        <v>37</v>
      </c>
      <c r="B20" s="32" t="s">
        <v>15</v>
      </c>
      <c r="C20" s="32" t="s">
        <v>60</v>
      </c>
      <c r="D20" s="64" t="s">
        <v>128</v>
      </c>
      <c r="E20" s="64">
        <v>90</v>
      </c>
      <c r="F20" s="33">
        <v>68.853824650000007</v>
      </c>
      <c r="G20" s="35">
        <v>43470</v>
      </c>
      <c r="H20" s="22"/>
      <c r="I20" s="36">
        <v>-16.811839323467236</v>
      </c>
      <c r="J20" s="36">
        <v>-1.6299999999999981</v>
      </c>
      <c r="K20" s="36">
        <v>-18.312831236053484</v>
      </c>
      <c r="L20" s="36">
        <v>2.3906999999999901</v>
      </c>
      <c r="M20" s="23"/>
      <c r="N20" s="36">
        <v>15.779749753532396</v>
      </c>
      <c r="O20" s="36">
        <v>17.533124571125459</v>
      </c>
      <c r="P20" s="23"/>
      <c r="Q20" s="33">
        <v>0.79</v>
      </c>
      <c r="R20" s="33" t="s">
        <v>139</v>
      </c>
      <c r="S20" s="33">
        <v>1.52</v>
      </c>
      <c r="T20" s="56"/>
      <c r="U20" s="56"/>
    </row>
    <row r="21" spans="1:21" s="46" customFormat="1" ht="18.600000000000001" customHeight="1" x14ac:dyDescent="0.3">
      <c r="A21" s="70" t="s">
        <v>61</v>
      </c>
      <c r="B21" s="70"/>
      <c r="C21" s="70"/>
      <c r="D21" s="69"/>
      <c r="E21" s="69"/>
      <c r="F21" s="44"/>
      <c r="G21" s="45" t="s">
        <v>113</v>
      </c>
      <c r="H21" s="43"/>
      <c r="I21" s="66">
        <v>-17.324923871492505</v>
      </c>
      <c r="J21" s="66">
        <v>2.2696049768716318</v>
      </c>
      <c r="K21" s="66">
        <v>-18.567373635947501</v>
      </c>
      <c r="L21" s="66">
        <v>2.8783885620574523</v>
      </c>
      <c r="M21" s="43"/>
      <c r="N21" s="43"/>
      <c r="O21" s="43"/>
      <c r="P21" s="43"/>
      <c r="Q21" s="43"/>
      <c r="R21" s="43"/>
      <c r="S21" s="43"/>
      <c r="T21" s="56"/>
      <c r="U21" s="56"/>
    </row>
    <row r="22" spans="1:21" x14ac:dyDescent="0.3">
      <c r="A22" s="32" t="s">
        <v>36</v>
      </c>
      <c r="B22" s="32" t="s">
        <v>19</v>
      </c>
      <c r="C22" s="32" t="s">
        <v>62</v>
      </c>
      <c r="D22" s="64" t="s">
        <v>128</v>
      </c>
      <c r="E22" s="64">
        <v>90</v>
      </c>
      <c r="F22" s="33">
        <v>64.193252618399995</v>
      </c>
      <c r="G22" s="35">
        <v>22157</v>
      </c>
      <c r="H22" s="22"/>
      <c r="I22" s="36">
        <v>-17.538712306438477</v>
      </c>
      <c r="J22" s="36">
        <v>1.1800000000000033</v>
      </c>
      <c r="K22" s="36">
        <v>-18.251079706811126</v>
      </c>
      <c r="L22" s="36">
        <v>1.8164000000000069</v>
      </c>
      <c r="M22" s="23"/>
      <c r="N22" s="36">
        <v>15.429699252433792</v>
      </c>
      <c r="O22" s="36">
        <v>16.985190614186223</v>
      </c>
      <c r="P22" s="23"/>
      <c r="Q22" s="33">
        <v>0.78</v>
      </c>
      <c r="R22" s="33">
        <v>1.51</v>
      </c>
      <c r="S22" s="33" t="s">
        <v>139</v>
      </c>
      <c r="T22" s="56"/>
      <c r="U22" s="56"/>
    </row>
    <row r="23" spans="1:21" x14ac:dyDescent="0.3">
      <c r="A23" s="32" t="s">
        <v>123</v>
      </c>
      <c r="B23" s="32" t="s">
        <v>17</v>
      </c>
      <c r="C23" s="32" t="s">
        <v>63</v>
      </c>
      <c r="D23" s="64" t="s">
        <v>128</v>
      </c>
      <c r="E23" s="64">
        <v>97</v>
      </c>
      <c r="F23" s="33">
        <v>107.7701128292</v>
      </c>
      <c r="G23" s="35">
        <v>26979</v>
      </c>
      <c r="H23" s="22"/>
      <c r="I23" s="36">
        <v>-17.636037797328108</v>
      </c>
      <c r="J23" s="36">
        <v>1.110000000000011</v>
      </c>
      <c r="K23" s="36">
        <v>-20.032072804947465</v>
      </c>
      <c r="L23" s="36">
        <v>3.2199999999993345E-2</v>
      </c>
      <c r="M23" s="23"/>
      <c r="N23" s="36">
        <v>15.801469212419628</v>
      </c>
      <c r="O23" s="36">
        <v>18.033285777439996</v>
      </c>
      <c r="P23" s="23"/>
      <c r="Q23" s="33">
        <v>0.79</v>
      </c>
      <c r="R23" s="33" t="s">
        <v>139</v>
      </c>
      <c r="S23" s="33">
        <v>1.0900000000000001</v>
      </c>
      <c r="T23" s="56"/>
      <c r="U23" s="56"/>
    </row>
    <row r="24" spans="1:21" x14ac:dyDescent="0.3">
      <c r="A24" s="32" t="s">
        <v>122</v>
      </c>
      <c r="B24" s="32" t="s">
        <v>16</v>
      </c>
      <c r="C24" s="32" t="s">
        <v>64</v>
      </c>
      <c r="D24" s="64" t="s">
        <v>128</v>
      </c>
      <c r="E24" s="64">
        <v>98</v>
      </c>
      <c r="F24" s="33">
        <v>202.4987744</v>
      </c>
      <c r="G24" s="35">
        <v>60888</v>
      </c>
      <c r="H24" s="22"/>
      <c r="I24" s="36">
        <v>-17.903620159318567</v>
      </c>
      <c r="J24" s="36">
        <v>4.0899999999999936</v>
      </c>
      <c r="K24" s="36">
        <v>-19.09783728432749</v>
      </c>
      <c r="L24" s="36">
        <v>4.9995999999999929</v>
      </c>
      <c r="M24" s="23"/>
      <c r="N24" s="36">
        <v>17.28432824805229</v>
      </c>
      <c r="O24" s="36">
        <v>18.564176401778546</v>
      </c>
      <c r="P24" s="23"/>
      <c r="Q24" s="33">
        <v>0.79</v>
      </c>
      <c r="R24" s="33">
        <v>1.24</v>
      </c>
      <c r="S24" s="33" t="s">
        <v>139</v>
      </c>
      <c r="T24" s="56"/>
      <c r="U24" s="56"/>
    </row>
    <row r="25" spans="1:21" x14ac:dyDescent="0.3">
      <c r="A25" s="32" t="s">
        <v>124</v>
      </c>
      <c r="B25" s="32" t="s">
        <v>18</v>
      </c>
      <c r="C25" s="32" t="s">
        <v>103</v>
      </c>
      <c r="D25" s="64" t="s">
        <v>128</v>
      </c>
      <c r="E25" s="64">
        <v>90</v>
      </c>
      <c r="F25" s="33">
        <v>266.90443586999999</v>
      </c>
      <c r="G25" s="35">
        <v>96794</v>
      </c>
      <c r="H25" s="22"/>
      <c r="I25" s="36">
        <v>-16.818295634755021</v>
      </c>
      <c r="J25" s="36">
        <v>3.1677018633540444</v>
      </c>
      <c r="K25" s="36">
        <v>-17.740847358546997</v>
      </c>
      <c r="L25" s="36">
        <v>2.8485621740603984</v>
      </c>
      <c r="M25" s="23"/>
      <c r="N25" s="36">
        <v>15.389733457723477</v>
      </c>
      <c r="O25" s="36">
        <v>16.252109322914034</v>
      </c>
      <c r="P25" s="23"/>
      <c r="Q25" s="33">
        <v>0.75</v>
      </c>
      <c r="R25" s="33">
        <v>0.92930000000000001</v>
      </c>
      <c r="S25" s="33" t="s">
        <v>139</v>
      </c>
      <c r="T25" s="56"/>
      <c r="U25" s="56"/>
    </row>
    <row r="26" spans="1:21" x14ac:dyDescent="0.3">
      <c r="A26" s="32" t="s">
        <v>37</v>
      </c>
      <c r="B26" s="32" t="s">
        <v>20</v>
      </c>
      <c r="C26" s="32" t="s">
        <v>65</v>
      </c>
      <c r="D26" s="64" t="s">
        <v>128</v>
      </c>
      <c r="E26" s="64">
        <v>90</v>
      </c>
      <c r="F26" s="33">
        <v>95.707306439999996</v>
      </c>
      <c r="G26" s="35">
        <v>39061</v>
      </c>
      <c r="H26" s="22"/>
      <c r="I26" s="36">
        <v>-17.019654354456105</v>
      </c>
      <c r="J26" s="36">
        <v>-2.0499999999999963</v>
      </c>
      <c r="K26" s="36">
        <v>-18.312831236053484</v>
      </c>
      <c r="L26" s="36">
        <v>2.3906999999999901</v>
      </c>
      <c r="M26" s="23"/>
      <c r="N26" s="36">
        <v>15.890148457276704</v>
      </c>
      <c r="O26" s="36">
        <v>17.533124571125459</v>
      </c>
      <c r="P26" s="23"/>
      <c r="Q26" s="33">
        <v>0.79</v>
      </c>
      <c r="R26" s="33" t="s">
        <v>139</v>
      </c>
      <c r="S26" s="33">
        <v>1.52</v>
      </c>
      <c r="T26" s="56"/>
      <c r="U26" s="56"/>
    </row>
    <row r="27" spans="1:21" s="46" customFormat="1" ht="18.600000000000001" customHeight="1" x14ac:dyDescent="0.3">
      <c r="A27" s="70" t="s">
        <v>66</v>
      </c>
      <c r="B27" s="70"/>
      <c r="C27" s="70"/>
      <c r="D27" s="69"/>
      <c r="E27" s="69"/>
      <c r="F27" s="44"/>
      <c r="G27" s="45" t="s">
        <v>113</v>
      </c>
      <c r="H27" s="43"/>
      <c r="I27" s="66">
        <v>-16.671834616522926</v>
      </c>
      <c r="J27" s="66">
        <v>1.9641704261927548</v>
      </c>
      <c r="K27" s="66">
        <v>-17.482446928243437</v>
      </c>
      <c r="L27" s="66">
        <v>2.8673221826808866</v>
      </c>
      <c r="M27" s="43"/>
      <c r="N27" s="43"/>
      <c r="O27" s="43"/>
      <c r="P27" s="43"/>
      <c r="Q27" s="43"/>
      <c r="R27" s="43"/>
      <c r="S27" s="43"/>
      <c r="T27" s="56"/>
      <c r="U27" s="56"/>
    </row>
    <row r="28" spans="1:21" x14ac:dyDescent="0.3">
      <c r="A28" s="32" t="s">
        <v>36</v>
      </c>
      <c r="B28" s="32" t="s">
        <v>24</v>
      </c>
      <c r="C28" s="32" t="s">
        <v>67</v>
      </c>
      <c r="D28" s="64" t="s">
        <v>128</v>
      </c>
      <c r="E28" s="64">
        <v>90</v>
      </c>
      <c r="F28" s="33">
        <v>66.879017115500005</v>
      </c>
      <c r="G28" s="35">
        <v>20984</v>
      </c>
      <c r="H28" s="22"/>
      <c r="I28" s="36">
        <v>-17.630362501013707</v>
      </c>
      <c r="J28" s="36">
        <v>1.5700000000000047</v>
      </c>
      <c r="K28" s="36">
        <v>-18.251079706811126</v>
      </c>
      <c r="L28" s="36">
        <v>1.8164000000000069</v>
      </c>
      <c r="M28" s="23"/>
      <c r="N28" s="36">
        <v>15.575664541226523</v>
      </c>
      <c r="O28" s="36">
        <v>16.985190614186223</v>
      </c>
      <c r="P28" s="23"/>
      <c r="Q28" s="33">
        <v>0.78</v>
      </c>
      <c r="R28" s="33">
        <v>1.56</v>
      </c>
      <c r="S28" s="33" t="s">
        <v>139</v>
      </c>
      <c r="T28" s="56"/>
      <c r="U28" s="56"/>
    </row>
    <row r="29" spans="1:21" x14ac:dyDescent="0.3">
      <c r="A29" s="32" t="s">
        <v>123</v>
      </c>
      <c r="B29" s="32" t="s">
        <v>22</v>
      </c>
      <c r="C29" s="32" t="s">
        <v>68</v>
      </c>
      <c r="D29" s="64" t="s">
        <v>128</v>
      </c>
      <c r="E29" s="64">
        <v>85</v>
      </c>
      <c r="F29" s="33">
        <v>102.0131579975</v>
      </c>
      <c r="G29" s="35">
        <v>23047</v>
      </c>
      <c r="H29" s="22"/>
      <c r="I29" s="36">
        <v>-16.098842459568175</v>
      </c>
      <c r="J29" s="36">
        <v>2.200000000000002</v>
      </c>
      <c r="K29" s="36">
        <v>-18.403976663888557</v>
      </c>
      <c r="L29" s="36">
        <v>1.4280999999999988</v>
      </c>
      <c r="M29" s="23"/>
      <c r="N29" s="36">
        <v>14.758708972164369</v>
      </c>
      <c r="O29" s="36">
        <v>16.938967509162474</v>
      </c>
      <c r="P29" s="23"/>
      <c r="Q29" s="33">
        <v>0.79</v>
      </c>
      <c r="R29" s="33" t="s">
        <v>139</v>
      </c>
      <c r="S29" s="33">
        <v>1.08</v>
      </c>
      <c r="T29" s="56"/>
      <c r="U29" s="56"/>
    </row>
    <row r="30" spans="1:21" x14ac:dyDescent="0.3">
      <c r="A30" s="32" t="s">
        <v>122</v>
      </c>
      <c r="B30" s="32" t="s">
        <v>21</v>
      </c>
      <c r="C30" s="32" t="s">
        <v>69</v>
      </c>
      <c r="D30" s="64" t="s">
        <v>128</v>
      </c>
      <c r="E30" s="64">
        <v>87.9</v>
      </c>
      <c r="F30" s="33">
        <v>196.43491778999999</v>
      </c>
      <c r="G30" s="35">
        <v>52362</v>
      </c>
      <c r="H30" s="22"/>
      <c r="I30" s="36">
        <v>-16.866202879792901</v>
      </c>
      <c r="J30" s="36">
        <v>2.7700000000000058</v>
      </c>
      <c r="K30" s="36">
        <v>-17.301761058552799</v>
      </c>
      <c r="L30" s="36">
        <v>3.4985000000000044</v>
      </c>
      <c r="M30" s="23"/>
      <c r="N30" s="36">
        <v>15.915720240132188</v>
      </c>
      <c r="O30" s="36">
        <v>16.280965880910323</v>
      </c>
      <c r="P30" s="23"/>
      <c r="Q30" s="33">
        <v>0.79</v>
      </c>
      <c r="R30" s="33">
        <v>1.2</v>
      </c>
      <c r="S30" s="33" t="s">
        <v>139</v>
      </c>
      <c r="T30" s="56"/>
      <c r="U30" s="56"/>
    </row>
    <row r="31" spans="1:21" x14ac:dyDescent="0.3">
      <c r="A31" s="32" t="s">
        <v>124</v>
      </c>
      <c r="B31" s="32" t="s">
        <v>23</v>
      </c>
      <c r="C31" s="32" t="s">
        <v>102</v>
      </c>
      <c r="D31" s="64" t="s">
        <v>128</v>
      </c>
      <c r="E31" s="64">
        <v>90</v>
      </c>
      <c r="F31" s="33">
        <v>286.22468610999999</v>
      </c>
      <c r="G31" s="35">
        <v>95518</v>
      </c>
      <c r="H31" s="22"/>
      <c r="I31" s="36">
        <v>-16.819164864415235</v>
      </c>
      <c r="J31" s="36">
        <v>3.1778786628146927</v>
      </c>
      <c r="K31" s="36">
        <v>-17.740847358546997</v>
      </c>
      <c r="L31" s="36">
        <v>2.8485621740603984</v>
      </c>
      <c r="M31" s="23"/>
      <c r="N31" s="36">
        <v>15.39761367967035</v>
      </c>
      <c r="O31" s="36">
        <v>16.252109322914034</v>
      </c>
      <c r="P31" s="23"/>
      <c r="Q31" s="33">
        <v>0.75</v>
      </c>
      <c r="R31" s="33">
        <v>0.92949999999999999</v>
      </c>
      <c r="S31" s="33" t="s">
        <v>139</v>
      </c>
      <c r="T31" s="56"/>
      <c r="U31" s="56"/>
    </row>
    <row r="32" spans="1:21" x14ac:dyDescent="0.3">
      <c r="A32" s="32" t="s">
        <v>37</v>
      </c>
      <c r="B32" s="32" t="s">
        <v>25</v>
      </c>
      <c r="C32" s="32" t="s">
        <v>70</v>
      </c>
      <c r="D32" s="64" t="s">
        <v>128</v>
      </c>
      <c r="E32" s="64">
        <v>78</v>
      </c>
      <c r="F32" s="33">
        <v>114.81814462</v>
      </c>
      <c r="G32" s="35">
        <v>40279</v>
      </c>
      <c r="H32" s="22"/>
      <c r="I32" s="36">
        <v>-15.922798552472861</v>
      </c>
      <c r="J32" s="36">
        <v>-2.42</v>
      </c>
      <c r="K32" s="36">
        <v>-15.880948036413034</v>
      </c>
      <c r="L32" s="36">
        <v>3.7250999999999923</v>
      </c>
      <c r="M32" s="23"/>
      <c r="N32" s="36">
        <v>14.773492445667433</v>
      </c>
      <c r="O32" s="36">
        <v>15.562649034911589</v>
      </c>
      <c r="P32" s="23"/>
      <c r="Q32" s="33">
        <v>0.79</v>
      </c>
      <c r="R32" s="33" t="s">
        <v>139</v>
      </c>
      <c r="S32" s="33">
        <v>1.48</v>
      </c>
      <c r="T32" s="56"/>
      <c r="U32" s="56"/>
    </row>
    <row r="33" spans="1:21" s="46" customFormat="1" ht="18.600000000000001" customHeight="1" x14ac:dyDescent="0.3">
      <c r="A33" s="70" t="s">
        <v>71</v>
      </c>
      <c r="B33" s="70"/>
      <c r="C33" s="70"/>
      <c r="D33" s="69"/>
      <c r="E33" s="69"/>
      <c r="F33" s="44"/>
      <c r="G33" s="45" t="s">
        <v>113</v>
      </c>
      <c r="H33" s="43"/>
      <c r="I33" s="66">
        <v>-11.624319405167135</v>
      </c>
      <c r="J33" s="66">
        <v>1.753592228891335</v>
      </c>
      <c r="K33" s="66">
        <v>-11.823273740289395</v>
      </c>
      <c r="L33" s="66">
        <v>3.1956932883977718</v>
      </c>
      <c r="M33" s="43"/>
      <c r="N33" s="43"/>
      <c r="O33" s="43"/>
      <c r="P33" s="43"/>
      <c r="Q33" s="43"/>
      <c r="R33" s="43"/>
      <c r="S33" s="43"/>
      <c r="T33" s="56"/>
      <c r="U33" s="56"/>
    </row>
    <row r="34" spans="1:21" x14ac:dyDescent="0.3">
      <c r="A34" s="32" t="s">
        <v>36</v>
      </c>
      <c r="B34" s="32" t="s">
        <v>27</v>
      </c>
      <c r="C34" s="32" t="s">
        <v>72</v>
      </c>
      <c r="D34" s="64" t="s">
        <v>128</v>
      </c>
      <c r="E34" s="64">
        <v>55.000000000000007</v>
      </c>
      <c r="F34" s="33">
        <v>62.773976252099999</v>
      </c>
      <c r="G34" s="35">
        <v>19266</v>
      </c>
      <c r="H34" s="22"/>
      <c r="I34" s="36">
        <v>-12.915918227696521</v>
      </c>
      <c r="J34" s="36">
        <v>1.8100000000000005</v>
      </c>
      <c r="K34" s="36">
        <v>-13.456246467973209</v>
      </c>
      <c r="L34" s="36">
        <v>3.217099999999995</v>
      </c>
      <c r="M34" s="23"/>
      <c r="N34" s="36">
        <v>11.937764684364318</v>
      </c>
      <c r="O34" s="36">
        <v>12.670854468899293</v>
      </c>
      <c r="P34" s="23"/>
      <c r="Q34" s="33">
        <v>0.78</v>
      </c>
      <c r="R34" s="33">
        <v>1.53</v>
      </c>
      <c r="S34" s="33" t="s">
        <v>139</v>
      </c>
      <c r="T34" s="56"/>
      <c r="U34" s="56"/>
    </row>
    <row r="35" spans="1:21" x14ac:dyDescent="0.3">
      <c r="A35" s="32" t="s">
        <v>123</v>
      </c>
      <c r="B35" s="32" t="s">
        <v>29</v>
      </c>
      <c r="C35" s="32" t="s">
        <v>73</v>
      </c>
      <c r="D35" s="64" t="s">
        <v>128</v>
      </c>
      <c r="E35" s="64">
        <v>50</v>
      </c>
      <c r="F35" s="33">
        <v>77.631938957700001</v>
      </c>
      <c r="G35" s="35">
        <v>18346</v>
      </c>
      <c r="H35" s="22"/>
      <c r="I35" s="36">
        <v>-12.431729518855651</v>
      </c>
      <c r="J35" s="36">
        <v>1.0099999999999998</v>
      </c>
      <c r="K35" s="36">
        <v>-13.121007776603133</v>
      </c>
      <c r="L35" s="36">
        <v>1.574399999999998</v>
      </c>
      <c r="M35" s="23"/>
      <c r="N35" s="36">
        <v>11.137628560843851</v>
      </c>
      <c r="O35" s="36">
        <v>12.090239413582315</v>
      </c>
      <c r="P35" s="23"/>
      <c r="Q35" s="33">
        <v>0.79</v>
      </c>
      <c r="R35" s="33" t="s">
        <v>139</v>
      </c>
      <c r="S35" s="33">
        <v>0.97</v>
      </c>
      <c r="T35" s="56"/>
      <c r="U35" s="56"/>
    </row>
    <row r="36" spans="1:21" x14ac:dyDescent="0.3">
      <c r="A36" s="32" t="s">
        <v>122</v>
      </c>
      <c r="B36" s="32" t="s">
        <v>28</v>
      </c>
      <c r="C36" s="32" t="s">
        <v>74</v>
      </c>
      <c r="D36" s="64" t="s">
        <v>128</v>
      </c>
      <c r="E36" s="64">
        <v>53.800000000000004</v>
      </c>
      <c r="F36" s="33">
        <v>177.60429413</v>
      </c>
      <c r="G36" s="35">
        <v>46489</v>
      </c>
      <c r="H36" s="22"/>
      <c r="I36" s="36">
        <v>-12.806609863155183</v>
      </c>
      <c r="J36" s="36">
        <v>1.309999999999989</v>
      </c>
      <c r="K36" s="36">
        <v>-12.268180333058531</v>
      </c>
      <c r="L36" s="36">
        <v>3.6475999999999953</v>
      </c>
      <c r="M36" s="23"/>
      <c r="N36" s="36">
        <v>11.818209615061299</v>
      </c>
      <c r="O36" s="36">
        <v>11.673084407384318</v>
      </c>
      <c r="P36" s="23"/>
      <c r="Q36" s="33">
        <v>0.79</v>
      </c>
      <c r="R36" s="33">
        <v>1.1399999999999999</v>
      </c>
      <c r="S36" s="33" t="s">
        <v>139</v>
      </c>
      <c r="T36" s="56"/>
      <c r="U36" s="56"/>
    </row>
    <row r="37" spans="1:21" x14ac:dyDescent="0.3">
      <c r="A37" s="32" t="s">
        <v>124</v>
      </c>
      <c r="B37" s="32" t="s">
        <v>26</v>
      </c>
      <c r="C37" s="32" t="s">
        <v>101</v>
      </c>
      <c r="D37" s="64" t="s">
        <v>128</v>
      </c>
      <c r="E37" s="64">
        <v>54.999999999999986</v>
      </c>
      <c r="F37" s="33">
        <v>260.98670283000001</v>
      </c>
      <c r="G37" s="35">
        <v>84899</v>
      </c>
      <c r="H37" s="22"/>
      <c r="I37" s="36">
        <v>-11.8202482951565</v>
      </c>
      <c r="J37" s="36">
        <v>2.9183673469387772</v>
      </c>
      <c r="K37" s="36">
        <v>-12.594479530720449</v>
      </c>
      <c r="L37" s="36">
        <v>3.3943440805950909</v>
      </c>
      <c r="M37" s="23"/>
      <c r="N37" s="36">
        <v>10.874194599336196</v>
      </c>
      <c r="O37" s="36">
        <v>11.671253476537032</v>
      </c>
      <c r="P37" s="23"/>
      <c r="Q37" s="33">
        <v>0.75</v>
      </c>
      <c r="R37" s="33">
        <v>0.85170000000000001</v>
      </c>
      <c r="S37" s="33" t="s">
        <v>139</v>
      </c>
      <c r="T37" s="56"/>
      <c r="U37" s="56"/>
    </row>
    <row r="38" spans="1:21" x14ac:dyDescent="0.3">
      <c r="A38" s="32" t="s">
        <v>37</v>
      </c>
      <c r="B38" s="32" t="s">
        <v>30</v>
      </c>
      <c r="C38" s="32" t="s">
        <v>75</v>
      </c>
      <c r="D38" s="64" t="s">
        <v>128</v>
      </c>
      <c r="E38" s="64">
        <v>39</v>
      </c>
      <c r="F38" s="33">
        <v>127.28665943999999</v>
      </c>
      <c r="G38" s="35">
        <v>39454</v>
      </c>
      <c r="H38" s="22"/>
      <c r="I38" s="36">
        <v>-8.4435123552475631</v>
      </c>
      <c r="J38" s="36">
        <v>0.40999999999999925</v>
      </c>
      <c r="K38" s="36">
        <v>-8.0244029029502233</v>
      </c>
      <c r="L38" s="36">
        <v>3.1360999999999972</v>
      </c>
      <c r="M38" s="23"/>
      <c r="N38" s="36">
        <v>8.1256001891318199</v>
      </c>
      <c r="O38" s="36">
        <v>8.0057526115249154</v>
      </c>
      <c r="P38" s="23"/>
      <c r="Q38" s="33">
        <v>0.79</v>
      </c>
      <c r="R38" s="33" t="s">
        <v>139</v>
      </c>
      <c r="S38" s="33">
        <v>1.17</v>
      </c>
      <c r="T38" s="56"/>
      <c r="U38" s="56"/>
    </row>
    <row r="39" spans="1:21" s="46" customFormat="1" ht="18.600000000000001" customHeight="1" x14ac:dyDescent="0.3">
      <c r="A39" s="70" t="s">
        <v>76</v>
      </c>
      <c r="B39" s="70"/>
      <c r="C39" s="70"/>
      <c r="D39" s="69"/>
      <c r="E39" s="69"/>
      <c r="F39" s="44"/>
      <c r="G39" s="45" t="s">
        <v>113</v>
      </c>
      <c r="H39" s="43"/>
      <c r="I39" s="66">
        <v>-6.1151196729076798</v>
      </c>
      <c r="J39" s="66">
        <v>1.2543967986880331</v>
      </c>
      <c r="K39" s="66">
        <v>-5.9793927228665611</v>
      </c>
      <c r="L39" s="66">
        <v>3.2922531478313313</v>
      </c>
      <c r="M39" s="43"/>
      <c r="N39" s="43"/>
      <c r="O39" s="43"/>
      <c r="P39" s="43"/>
      <c r="Q39" s="43"/>
      <c r="R39" s="43"/>
      <c r="S39" s="43"/>
      <c r="T39" s="56"/>
      <c r="U39" s="56"/>
    </row>
    <row r="40" spans="1:21" x14ac:dyDescent="0.3">
      <c r="A40" s="32" t="s">
        <v>36</v>
      </c>
      <c r="B40" s="32" t="s">
        <v>32</v>
      </c>
      <c r="C40" s="32" t="s">
        <v>77</v>
      </c>
      <c r="D40" s="64" t="s">
        <v>128</v>
      </c>
      <c r="E40" s="64">
        <v>20</v>
      </c>
      <c r="F40" s="33">
        <v>31.728505035300003</v>
      </c>
      <c r="G40" s="35">
        <v>9403</v>
      </c>
      <c r="H40" s="22"/>
      <c r="I40" s="36">
        <v>-7.981349424026341</v>
      </c>
      <c r="J40" s="36">
        <v>0.64999999999999503</v>
      </c>
      <c r="K40" s="36">
        <v>-7.8914488700831953</v>
      </c>
      <c r="L40" s="36">
        <v>4.3144999999999989</v>
      </c>
      <c r="M40" s="23"/>
      <c r="N40" s="36">
        <v>8.3257895070183086</v>
      </c>
      <c r="O40" s="36">
        <v>8.7584197210725883</v>
      </c>
      <c r="P40" s="23"/>
      <c r="Q40" s="33">
        <v>0.78</v>
      </c>
      <c r="R40" s="33">
        <v>1.5</v>
      </c>
      <c r="S40" s="33" t="s">
        <v>139</v>
      </c>
      <c r="T40" s="56"/>
      <c r="U40" s="56"/>
    </row>
    <row r="41" spans="1:21" x14ac:dyDescent="0.3">
      <c r="A41" s="32" t="s">
        <v>123</v>
      </c>
      <c r="B41" s="32" t="s">
        <v>35</v>
      </c>
      <c r="C41" s="32" t="s">
        <v>78</v>
      </c>
      <c r="D41" s="64" t="s">
        <v>128</v>
      </c>
      <c r="E41" s="64">
        <v>10</v>
      </c>
      <c r="F41" s="33">
        <v>27.164219428599999</v>
      </c>
      <c r="G41" s="35">
        <v>6327</v>
      </c>
      <c r="H41" s="22"/>
      <c r="I41" s="36">
        <v>-5.8348044225587596</v>
      </c>
      <c r="J41" s="36">
        <v>1.3500000000000068</v>
      </c>
      <c r="K41" s="36">
        <v>-5.911909541957816</v>
      </c>
      <c r="L41" s="36">
        <v>1.4167999999999958</v>
      </c>
      <c r="M41" s="23"/>
      <c r="N41" s="36">
        <v>5.66144293718071</v>
      </c>
      <c r="O41" s="36">
        <v>5.9647115326250679</v>
      </c>
      <c r="P41" s="23"/>
      <c r="Q41" s="33">
        <v>0.79</v>
      </c>
      <c r="R41" s="33" t="s">
        <v>139</v>
      </c>
      <c r="S41" s="33">
        <v>0.87</v>
      </c>
      <c r="T41" s="56"/>
      <c r="U41" s="56"/>
    </row>
    <row r="42" spans="1:21" x14ac:dyDescent="0.3">
      <c r="A42" s="32" t="s">
        <v>122</v>
      </c>
      <c r="B42" s="32" t="s">
        <v>33</v>
      </c>
      <c r="C42" s="32" t="s">
        <v>79</v>
      </c>
      <c r="D42" s="64" t="s">
        <v>128</v>
      </c>
      <c r="E42" s="64">
        <v>18.5</v>
      </c>
      <c r="F42" s="33">
        <v>87.213065540000002</v>
      </c>
      <c r="G42" s="35">
        <v>21704</v>
      </c>
      <c r="H42" s="22"/>
      <c r="I42" s="36">
        <v>-6.6581071166544437</v>
      </c>
      <c r="J42" s="36">
        <v>1.7800000000000038</v>
      </c>
      <c r="K42" s="36">
        <v>-5.9099507383830296</v>
      </c>
      <c r="L42" s="36">
        <v>4.3054999999999843</v>
      </c>
      <c r="M42" s="23"/>
      <c r="N42" s="36">
        <v>6.9462315886933927</v>
      </c>
      <c r="O42" s="36">
        <v>6.7141280101074452</v>
      </c>
      <c r="P42" s="23"/>
      <c r="Q42" s="33">
        <v>0.79</v>
      </c>
      <c r="R42" s="33">
        <v>0.98</v>
      </c>
      <c r="S42" s="33" t="s">
        <v>139</v>
      </c>
      <c r="T42" s="56"/>
      <c r="U42" s="56"/>
    </row>
    <row r="43" spans="1:21" x14ac:dyDescent="0.3">
      <c r="A43" s="32" t="s">
        <v>124</v>
      </c>
      <c r="B43" s="32" t="s">
        <v>31</v>
      </c>
      <c r="C43" s="32" t="s">
        <v>80</v>
      </c>
      <c r="D43" s="64" t="s">
        <v>128</v>
      </c>
      <c r="E43" s="64">
        <v>19.999999999999986</v>
      </c>
      <c r="F43" s="33">
        <v>120.83514114</v>
      </c>
      <c r="G43" s="35">
        <v>36010</v>
      </c>
      <c r="H43" s="22"/>
      <c r="I43" s="36">
        <v>-5.9957173447537482</v>
      </c>
      <c r="J43" s="36">
        <v>0.97000000000000419</v>
      </c>
      <c r="K43" s="36">
        <v>-6.6193631449649288</v>
      </c>
      <c r="L43" s="36">
        <v>3.4282999999999841</v>
      </c>
      <c r="M43" s="23"/>
      <c r="N43" s="36">
        <v>5.3816722573221707</v>
      </c>
      <c r="O43" s="36">
        <v>6.8188951950409349</v>
      </c>
      <c r="P43" s="23"/>
      <c r="Q43" s="33">
        <v>0.75</v>
      </c>
      <c r="R43" s="33">
        <v>0.79359999999999997</v>
      </c>
      <c r="S43" s="33" t="s">
        <v>139</v>
      </c>
      <c r="T43" s="56"/>
      <c r="U43" s="56"/>
    </row>
    <row r="44" spans="1:21" x14ac:dyDescent="0.3">
      <c r="A44" s="32" t="s">
        <v>37</v>
      </c>
      <c r="B44" s="32" t="s">
        <v>34</v>
      </c>
      <c r="C44" s="32" t="s">
        <v>81</v>
      </c>
      <c r="D44" s="64" t="s">
        <v>128</v>
      </c>
      <c r="E44" s="64">
        <v>19</v>
      </c>
      <c r="F44" s="33">
        <v>67.527317740000001</v>
      </c>
      <c r="G44" s="35">
        <v>20039</v>
      </c>
      <c r="H44" s="22"/>
      <c r="I44" s="36">
        <v>-4.8633931086282889</v>
      </c>
      <c r="J44" s="36">
        <v>1.330000000000009</v>
      </c>
      <c r="K44" s="36">
        <v>-4.0526432613013803</v>
      </c>
      <c r="L44" s="36">
        <v>2.0143000000000022</v>
      </c>
      <c r="M44" s="23"/>
      <c r="N44" s="36">
        <v>4.9778978962447029</v>
      </c>
      <c r="O44" s="36">
        <v>4.1783441028860313</v>
      </c>
      <c r="P44" s="23"/>
      <c r="Q44" s="33">
        <v>0.79</v>
      </c>
      <c r="R44" s="33" t="s">
        <v>139</v>
      </c>
      <c r="S44" s="33">
        <v>1</v>
      </c>
    </row>
    <row r="45" spans="1:21" s="46" customFormat="1" ht="18.600000000000001" customHeight="1" x14ac:dyDescent="0.3">
      <c r="A45" s="70" t="s">
        <v>82</v>
      </c>
      <c r="B45" s="70"/>
      <c r="C45" s="70"/>
      <c r="D45" s="69"/>
      <c r="E45" s="69"/>
      <c r="F45" s="44"/>
      <c r="G45" s="45" t="s">
        <v>113</v>
      </c>
      <c r="H45" s="43"/>
      <c r="I45" s="66">
        <v>-4.922591152762875</v>
      </c>
      <c r="J45" s="66">
        <v>0.74067933158404176</v>
      </c>
      <c r="K45" s="66">
        <v>-4.6000360588337932</v>
      </c>
      <c r="L45" s="66">
        <v>1.9934789493248304</v>
      </c>
      <c r="M45" s="43"/>
      <c r="N45" s="43"/>
      <c r="O45" s="43"/>
      <c r="P45" s="43"/>
      <c r="Q45" s="43"/>
      <c r="R45" s="43"/>
      <c r="S45" s="43"/>
    </row>
    <row r="46" spans="1:21" x14ac:dyDescent="0.3">
      <c r="A46" s="32" t="s">
        <v>36</v>
      </c>
      <c r="B46" s="32" t="s">
        <v>41</v>
      </c>
      <c r="C46" s="32" t="s">
        <v>83</v>
      </c>
      <c r="D46" s="64" t="s">
        <v>128</v>
      </c>
      <c r="E46" s="64">
        <v>10</v>
      </c>
      <c r="F46" s="33">
        <v>1.4741450906</v>
      </c>
      <c r="G46" s="35">
        <v>940</v>
      </c>
      <c r="H46" s="22"/>
      <c r="I46" s="36">
        <v>-5.2089188682780456</v>
      </c>
      <c r="J46" s="36">
        <v>1.1800000000000033</v>
      </c>
      <c r="K46" s="36">
        <v>-4.9907772376937887</v>
      </c>
      <c r="L46" s="36">
        <v>4.2006999999999906</v>
      </c>
      <c r="M46" s="23"/>
      <c r="N46" s="36">
        <v>5.9055860992178815</v>
      </c>
      <c r="O46" s="36">
        <v>7.0465852761957546</v>
      </c>
      <c r="P46" s="23"/>
      <c r="Q46" s="33">
        <v>0.19</v>
      </c>
      <c r="R46" s="33">
        <v>0.52</v>
      </c>
      <c r="S46" s="33" t="s">
        <v>139</v>
      </c>
    </row>
    <row r="47" spans="1:21" x14ac:dyDescent="0.3">
      <c r="A47" s="32" t="s">
        <v>123</v>
      </c>
      <c r="B47" s="32" t="s">
        <v>39</v>
      </c>
      <c r="C47" s="32" t="s">
        <v>84</v>
      </c>
      <c r="D47" s="64" t="s">
        <v>128</v>
      </c>
      <c r="E47" s="64">
        <v>17</v>
      </c>
      <c r="F47" s="33">
        <v>3.3238393396999997</v>
      </c>
      <c r="G47" s="35">
        <v>847</v>
      </c>
      <c r="H47" s="22"/>
      <c r="I47" s="36">
        <v>-5.0902661455425218</v>
      </c>
      <c r="J47" s="36">
        <v>1.9900000000000029</v>
      </c>
      <c r="K47" s="36">
        <v>-6.8878407753088062</v>
      </c>
      <c r="L47" s="36">
        <v>0.91980000000000395</v>
      </c>
      <c r="M47" s="23"/>
      <c r="N47" s="36">
        <v>4.7095088702504171</v>
      </c>
      <c r="O47" s="36">
        <v>6.5070492119677663</v>
      </c>
      <c r="P47" s="23"/>
      <c r="Q47" s="33">
        <v>0.2</v>
      </c>
      <c r="R47" s="33" t="s">
        <v>139</v>
      </c>
      <c r="S47" s="33">
        <v>0.3</v>
      </c>
    </row>
    <row r="48" spans="1:21" x14ac:dyDescent="0.3">
      <c r="A48" s="32" t="s">
        <v>122</v>
      </c>
      <c r="B48" s="32" t="s">
        <v>38</v>
      </c>
      <c r="C48" s="32" t="s">
        <v>85</v>
      </c>
      <c r="D48" s="64" t="s">
        <v>128</v>
      </c>
      <c r="E48" s="64">
        <v>15</v>
      </c>
      <c r="F48" s="33">
        <v>9.6421355099999992</v>
      </c>
      <c r="G48" s="35">
        <v>2528</v>
      </c>
      <c r="H48" s="22"/>
      <c r="I48" s="36">
        <v>-5.5853314527503422</v>
      </c>
      <c r="J48" s="36">
        <v>0.40999999999999925</v>
      </c>
      <c r="K48" s="36">
        <v>-5.2779775415571102</v>
      </c>
      <c r="L48" s="36">
        <v>1.156299999999999</v>
      </c>
      <c r="M48" s="23"/>
      <c r="N48" s="36">
        <v>5.5124985932634107</v>
      </c>
      <c r="O48" s="36">
        <v>5.5374716650019087</v>
      </c>
      <c r="P48" s="23"/>
      <c r="Q48" s="33">
        <v>0.2</v>
      </c>
      <c r="R48" s="33">
        <v>0.39</v>
      </c>
      <c r="S48" s="33" t="s">
        <v>139</v>
      </c>
    </row>
    <row r="49" spans="1:19" x14ac:dyDescent="0.3">
      <c r="A49" s="32" t="s">
        <v>124</v>
      </c>
      <c r="B49" s="32" t="s">
        <v>40</v>
      </c>
      <c r="C49" s="32" t="s">
        <v>86</v>
      </c>
      <c r="D49" s="64" t="s">
        <v>128</v>
      </c>
      <c r="E49" s="64">
        <v>15</v>
      </c>
      <c r="F49" s="33">
        <v>13.326853079999999</v>
      </c>
      <c r="G49" s="35">
        <v>3007</v>
      </c>
      <c r="H49" s="22"/>
      <c r="I49" s="36">
        <v>-5.1226209639238736</v>
      </c>
      <c r="J49" s="36">
        <v>0.20000000000000018</v>
      </c>
      <c r="K49" s="36">
        <v>-4.9249116607773864</v>
      </c>
      <c r="L49" s="36">
        <v>3.3199999999999896</v>
      </c>
      <c r="M49" s="23"/>
      <c r="N49" s="36">
        <v>4.6655748451427632</v>
      </c>
      <c r="O49" s="36">
        <v>5.6608425033761982</v>
      </c>
      <c r="P49" s="23"/>
      <c r="Q49" s="33">
        <v>0.2</v>
      </c>
      <c r="R49" s="33">
        <v>0.2268</v>
      </c>
      <c r="S49" s="33" t="s">
        <v>139</v>
      </c>
    </row>
    <row r="50" spans="1:19" x14ac:dyDescent="0.3">
      <c r="A50" s="32" t="s">
        <v>37</v>
      </c>
      <c r="B50" s="32" t="s">
        <v>42</v>
      </c>
      <c r="C50" s="32" t="s">
        <v>125</v>
      </c>
      <c r="D50" s="64" t="s">
        <v>128</v>
      </c>
      <c r="E50" s="64">
        <v>10</v>
      </c>
      <c r="F50" s="33">
        <v>4.47750965</v>
      </c>
      <c r="G50" s="35">
        <v>2487</v>
      </c>
      <c r="H50" s="22"/>
      <c r="I50" s="36">
        <v>-2.681297709923669</v>
      </c>
      <c r="J50" s="36">
        <v>1.9900000000000029</v>
      </c>
      <c r="K50" s="36">
        <v>-0.34618088973774608</v>
      </c>
      <c r="L50" s="36">
        <v>-8.1599999999992789E-2</v>
      </c>
      <c r="M50" s="23"/>
      <c r="N50" s="36">
        <v>3.8163056284715671</v>
      </c>
      <c r="O50" s="36">
        <v>0.66885768485353947</v>
      </c>
      <c r="P50" s="23"/>
      <c r="Q50" s="33">
        <v>0.2</v>
      </c>
      <c r="R50" s="33" t="s">
        <v>139</v>
      </c>
      <c r="S50" s="33">
        <v>0.35</v>
      </c>
    </row>
    <row r="51" spans="1:19" x14ac:dyDescent="0.3">
      <c r="D51" s="8"/>
      <c r="E51" s="20"/>
      <c r="F51" s="21"/>
      <c r="G51" s="9"/>
      <c r="H51" s="7"/>
      <c r="I51" s="10"/>
      <c r="J51" s="10"/>
      <c r="K51" s="11"/>
      <c r="L51" s="11"/>
      <c r="M51" s="12"/>
      <c r="N51" s="13"/>
      <c r="O51" s="14"/>
      <c r="P51" s="12"/>
      <c r="Q51" s="14"/>
      <c r="R51" s="14"/>
      <c r="S51" s="14"/>
    </row>
    <row r="52" spans="1:19" s="42" customFormat="1" x14ac:dyDescent="0.3">
      <c r="A52" s="37"/>
      <c r="B52" s="37"/>
      <c r="C52" s="37"/>
      <c r="D52" s="37"/>
      <c r="E52" s="38"/>
      <c r="F52" s="39"/>
      <c r="G52" s="40" t="s">
        <v>121</v>
      </c>
      <c r="H52" s="41"/>
      <c r="I52" s="41">
        <v>-14.752229904008805</v>
      </c>
      <c r="J52" s="41">
        <v>1.831705526199527</v>
      </c>
      <c r="K52" s="41">
        <v>-15.538728282299301</v>
      </c>
      <c r="L52" s="41">
        <v>2.778218793404891</v>
      </c>
      <c r="M52" s="41"/>
      <c r="N52" s="41"/>
      <c r="O52" s="41"/>
      <c r="P52" s="41"/>
      <c r="Q52" s="41"/>
      <c r="R52" s="41"/>
      <c r="S52" s="41"/>
    </row>
    <row r="53" spans="1:19" x14ac:dyDescent="0.3">
      <c r="B53" s="15"/>
      <c r="C53" s="15"/>
      <c r="D53" s="15"/>
      <c r="E53" s="15"/>
      <c r="F53" s="15"/>
      <c r="G53" s="15"/>
      <c r="H53" s="15"/>
      <c r="I53" s="15"/>
      <c r="J53" s="15"/>
      <c r="K53" s="15"/>
      <c r="L53" s="15"/>
      <c r="M53" s="15"/>
      <c r="N53" s="15"/>
      <c r="O53" s="2"/>
      <c r="P53" s="15"/>
    </row>
    <row r="54" spans="1:19" s="49" customFormat="1" ht="13.8" x14ac:dyDescent="0.3">
      <c r="A54" s="48" t="s">
        <v>115</v>
      </c>
      <c r="B54" s="48"/>
      <c r="C54" s="48"/>
      <c r="D54" s="48"/>
      <c r="E54" s="48"/>
      <c r="F54" s="48"/>
      <c r="G54" s="48"/>
      <c r="H54" s="48"/>
      <c r="I54" s="48"/>
      <c r="J54" s="48"/>
      <c r="K54" s="48"/>
      <c r="L54" s="48"/>
      <c r="M54" s="48"/>
      <c r="N54" s="48"/>
      <c r="P54" s="48"/>
    </row>
    <row r="55" spans="1:19" s="49" customFormat="1" ht="13.8" x14ac:dyDescent="0.3">
      <c r="A55" s="48" t="s">
        <v>97</v>
      </c>
      <c r="B55" s="48"/>
      <c r="C55" s="48"/>
      <c r="D55" s="48"/>
      <c r="E55" s="48"/>
      <c r="F55" s="48"/>
      <c r="G55" s="48"/>
      <c r="H55" s="48"/>
      <c r="I55" s="48"/>
      <c r="J55" s="48"/>
      <c r="K55" s="48"/>
      <c r="L55" s="48"/>
      <c r="M55" s="48"/>
      <c r="N55" s="48"/>
      <c r="P55" s="48"/>
    </row>
    <row r="56" spans="1:19" s="49" customFormat="1" ht="13.8" x14ac:dyDescent="0.3">
      <c r="A56" s="48" t="s">
        <v>109</v>
      </c>
      <c r="B56" s="48"/>
      <c r="C56" s="48"/>
      <c r="D56" s="48"/>
      <c r="E56" s="48"/>
      <c r="F56" s="48"/>
      <c r="G56" s="48"/>
      <c r="H56" s="48"/>
      <c r="I56" s="48"/>
      <c r="J56" s="48"/>
      <c r="K56" s="48"/>
      <c r="L56" s="48"/>
      <c r="M56" s="48"/>
      <c r="N56" s="48"/>
      <c r="P56" s="48"/>
    </row>
    <row r="57" spans="1:19" s="49" customFormat="1" ht="13.8" x14ac:dyDescent="0.3">
      <c r="A57" s="48" t="s">
        <v>108</v>
      </c>
      <c r="B57" s="48"/>
      <c r="C57" s="48"/>
      <c r="D57" s="48"/>
      <c r="E57" s="48"/>
      <c r="F57" s="48"/>
      <c r="G57" s="48"/>
      <c r="H57" s="48"/>
      <c r="I57" s="48"/>
      <c r="J57" s="48"/>
      <c r="K57" s="48"/>
      <c r="L57" s="48"/>
      <c r="M57" s="48"/>
      <c r="N57" s="48"/>
      <c r="P57" s="48"/>
    </row>
    <row r="58" spans="1:19" s="49" customFormat="1" ht="13.8" x14ac:dyDescent="0.3">
      <c r="A58" s="48" t="s">
        <v>136</v>
      </c>
      <c r="B58" s="48"/>
      <c r="C58" s="48"/>
      <c r="D58" s="48"/>
      <c r="E58" s="48"/>
      <c r="F58" s="48"/>
      <c r="G58" s="48"/>
      <c r="H58" s="48"/>
      <c r="I58" s="48"/>
      <c r="J58" s="48"/>
      <c r="K58" s="48"/>
      <c r="L58" s="48"/>
      <c r="M58" s="48"/>
      <c r="N58" s="48"/>
      <c r="P58" s="48"/>
    </row>
    <row r="59" spans="1:19" s="49" customFormat="1" ht="13.8" x14ac:dyDescent="0.3">
      <c r="A59" s="48" t="s">
        <v>137</v>
      </c>
      <c r="B59" s="48"/>
      <c r="C59" s="48"/>
      <c r="D59" s="48"/>
      <c r="E59" s="48"/>
      <c r="F59" s="48"/>
      <c r="G59" s="48"/>
      <c r="H59" s="48"/>
      <c r="I59" s="48"/>
      <c r="J59" s="48"/>
      <c r="K59" s="48"/>
      <c r="L59" s="48"/>
      <c r="M59" s="48"/>
      <c r="N59" s="48"/>
      <c r="P59" s="48"/>
    </row>
    <row r="60" spans="1:19" s="49" customFormat="1" ht="13.8" x14ac:dyDescent="0.3">
      <c r="A60" s="48" t="s">
        <v>107</v>
      </c>
      <c r="B60" s="48"/>
      <c r="C60" s="48"/>
      <c r="D60" s="48"/>
      <c r="E60" s="48"/>
      <c r="F60" s="48"/>
      <c r="G60" s="48"/>
      <c r="H60" s="48"/>
      <c r="I60" s="48"/>
      <c r="J60" s="48"/>
      <c r="K60" s="48"/>
      <c r="L60" s="48"/>
      <c r="M60" s="48"/>
      <c r="N60" s="48"/>
      <c r="P60" s="48"/>
    </row>
    <row r="61" spans="1:19" s="49" customFormat="1" ht="13.8" x14ac:dyDescent="0.3">
      <c r="A61" s="48" t="s">
        <v>114</v>
      </c>
      <c r="B61" s="48"/>
      <c r="C61" s="48"/>
      <c r="D61" s="48"/>
      <c r="E61" s="48"/>
      <c r="F61" s="48"/>
      <c r="G61" s="48"/>
      <c r="H61" s="48"/>
      <c r="I61" s="48"/>
      <c r="J61" s="48"/>
      <c r="K61" s="48"/>
      <c r="L61" s="48"/>
      <c r="M61" s="48"/>
      <c r="N61" s="48"/>
      <c r="P61" s="48"/>
    </row>
    <row r="62" spans="1:19" s="49" customFormat="1" ht="13.8" x14ac:dyDescent="0.3">
      <c r="A62" s="48" t="s">
        <v>127</v>
      </c>
      <c r="B62" s="48"/>
      <c r="C62" s="48"/>
      <c r="D62" s="48"/>
      <c r="E62" s="48"/>
      <c r="F62" s="48"/>
      <c r="G62" s="48"/>
      <c r="H62" s="48"/>
      <c r="I62" s="48"/>
      <c r="J62" s="48"/>
      <c r="K62" s="48"/>
      <c r="L62" s="48"/>
      <c r="M62" s="48"/>
      <c r="N62" s="48"/>
      <c r="P62" s="48"/>
    </row>
    <row r="63" spans="1:19" x14ac:dyDescent="0.3">
      <c r="A63" s="48" t="s">
        <v>144</v>
      </c>
    </row>
    <row r="64" spans="1:19" x14ac:dyDescent="0.3">
      <c r="A64" s="48" t="s">
        <v>145</v>
      </c>
    </row>
    <row r="65" spans="4:16" x14ac:dyDescent="0.3">
      <c r="E65" s="63"/>
      <c r="F65" s="63"/>
      <c r="G65" s="63"/>
    </row>
    <row r="66" spans="4:16" x14ac:dyDescent="0.3">
      <c r="E66" s="63"/>
      <c r="F66" s="63"/>
      <c r="G66" s="63"/>
      <c r="I66" s="57"/>
      <c r="J66" s="57"/>
      <c r="K66" s="57"/>
      <c r="L66" s="57"/>
      <c r="M66" s="57"/>
      <c r="N66" s="57"/>
      <c r="O66" s="57"/>
      <c r="P66" s="57"/>
    </row>
    <row r="67" spans="4:16" x14ac:dyDescent="0.3">
      <c r="E67" s="6"/>
      <c r="F67" s="63"/>
      <c r="G67" s="58"/>
      <c r="I67" s="60"/>
      <c r="J67" s="60"/>
      <c r="K67" s="59"/>
      <c r="L67" s="59"/>
      <c r="M67" s="57"/>
      <c r="N67" s="57"/>
      <c r="O67" s="57"/>
      <c r="P67" s="57"/>
    </row>
    <row r="68" spans="4:16" x14ac:dyDescent="0.3">
      <c r="E68" s="47"/>
      <c r="F68" s="47"/>
      <c r="G68" s="47"/>
      <c r="I68" s="47"/>
      <c r="J68" s="56"/>
      <c r="K68" s="59"/>
      <c r="L68" s="59"/>
    </row>
    <row r="69" spans="4:16" x14ac:dyDescent="0.3">
      <c r="D69" s="1"/>
      <c r="E69" s="1"/>
    </row>
  </sheetData>
  <mergeCells count="14">
    <mergeCell ref="Q1:S1"/>
    <mergeCell ref="D1:D2"/>
    <mergeCell ref="F1:F2"/>
    <mergeCell ref="G1:G2"/>
    <mergeCell ref="N1:O1"/>
    <mergeCell ref="I1:L1"/>
    <mergeCell ref="A33:C33"/>
    <mergeCell ref="A39:C39"/>
    <mergeCell ref="A45:C45"/>
    <mergeCell ref="A3:C3"/>
    <mergeCell ref="A9:C9"/>
    <mergeCell ref="A15:C15"/>
    <mergeCell ref="A21:C21"/>
    <mergeCell ref="A27:C27"/>
  </mergeCells>
  <conditionalFormatting sqref="I51:J51">
    <cfRule type="top10" dxfId="158" priority="322" percent="1" rank="10"/>
  </conditionalFormatting>
  <conditionalFormatting sqref="N46:O50 N4:O8 N10:O14 N16:O20 N22:O26 N28:O32 N34:O38 N40:O44">
    <cfRule type="cellIs" dxfId="157" priority="243" operator="greaterThanOrEqual">
      <formula>0</formula>
    </cfRule>
    <cfRule type="cellIs" dxfId="156" priority="244" operator="lessThan">
      <formula>0</formula>
    </cfRule>
  </conditionalFormatting>
  <conditionalFormatting sqref="I4:I8">
    <cfRule type="cellIs" dxfId="155" priority="125" operator="greaterThanOrEqual">
      <formula>0</formula>
    </cfRule>
    <cfRule type="cellIs" dxfId="154" priority="126" operator="lessThan">
      <formula>0</formula>
    </cfRule>
  </conditionalFormatting>
  <conditionalFormatting sqref="J4:L8">
    <cfRule type="cellIs" dxfId="153" priority="123" operator="greaterThanOrEqual">
      <formula>0</formula>
    </cfRule>
    <cfRule type="cellIs" dxfId="152" priority="124" operator="lessThan">
      <formula>0</formula>
    </cfRule>
  </conditionalFormatting>
  <conditionalFormatting sqref="I10:I14">
    <cfRule type="cellIs" dxfId="151" priority="121" operator="greaterThanOrEqual">
      <formula>0</formula>
    </cfRule>
    <cfRule type="cellIs" dxfId="150" priority="122" operator="lessThan">
      <formula>0</formula>
    </cfRule>
  </conditionalFormatting>
  <conditionalFormatting sqref="K10:K14">
    <cfRule type="cellIs" dxfId="149" priority="119" operator="greaterThanOrEqual">
      <formula>0</formula>
    </cfRule>
    <cfRule type="cellIs" dxfId="148" priority="120" operator="lessThan">
      <formula>0</formula>
    </cfRule>
  </conditionalFormatting>
  <conditionalFormatting sqref="I16:I20">
    <cfRule type="cellIs" dxfId="147" priority="117" operator="greaterThanOrEqual">
      <formula>0</formula>
    </cfRule>
    <cfRule type="cellIs" dxfId="146" priority="118" operator="lessThan">
      <formula>0</formula>
    </cfRule>
  </conditionalFormatting>
  <conditionalFormatting sqref="K16:K20">
    <cfRule type="cellIs" dxfId="145" priority="115" operator="greaterThanOrEqual">
      <formula>0</formula>
    </cfRule>
    <cfRule type="cellIs" dxfId="144" priority="116" operator="lessThan">
      <formula>0</formula>
    </cfRule>
  </conditionalFormatting>
  <conditionalFormatting sqref="I22:I26">
    <cfRule type="cellIs" dxfId="143" priority="113" operator="greaterThanOrEqual">
      <formula>0</formula>
    </cfRule>
    <cfRule type="cellIs" dxfId="142" priority="114" operator="lessThan">
      <formula>0</formula>
    </cfRule>
  </conditionalFormatting>
  <conditionalFormatting sqref="K22:K26">
    <cfRule type="cellIs" dxfId="141" priority="111" operator="greaterThanOrEqual">
      <formula>0</formula>
    </cfRule>
    <cfRule type="cellIs" dxfId="140" priority="112" operator="lessThan">
      <formula>0</formula>
    </cfRule>
  </conditionalFormatting>
  <conditionalFormatting sqref="I28:I32">
    <cfRule type="cellIs" dxfId="139" priority="109" operator="greaterThanOrEqual">
      <formula>0</formula>
    </cfRule>
    <cfRule type="cellIs" dxfId="138" priority="110" operator="lessThan">
      <formula>0</formula>
    </cfRule>
  </conditionalFormatting>
  <conditionalFormatting sqref="K28:K32">
    <cfRule type="cellIs" dxfId="137" priority="107" operator="greaterThanOrEqual">
      <formula>0</formula>
    </cfRule>
    <cfRule type="cellIs" dxfId="136" priority="108" operator="lessThan">
      <formula>0</formula>
    </cfRule>
  </conditionalFormatting>
  <conditionalFormatting sqref="I34:I38">
    <cfRule type="cellIs" dxfId="135" priority="105" operator="greaterThanOrEqual">
      <formula>0</formula>
    </cfRule>
    <cfRule type="cellIs" dxfId="134" priority="106" operator="lessThan">
      <formula>0</formula>
    </cfRule>
  </conditionalFormatting>
  <conditionalFormatting sqref="K34:K38">
    <cfRule type="cellIs" dxfId="133" priority="103" operator="greaterThanOrEqual">
      <formula>0</formula>
    </cfRule>
    <cfRule type="cellIs" dxfId="132" priority="104" operator="lessThan">
      <formula>0</formula>
    </cfRule>
  </conditionalFormatting>
  <conditionalFormatting sqref="I40:I44">
    <cfRule type="cellIs" dxfId="131" priority="101" operator="greaterThanOrEqual">
      <formula>0</formula>
    </cfRule>
    <cfRule type="cellIs" dxfId="130" priority="102" operator="lessThan">
      <formula>0</formula>
    </cfRule>
  </conditionalFormatting>
  <conditionalFormatting sqref="K40:K44">
    <cfRule type="cellIs" dxfId="129" priority="99" operator="greaterThanOrEqual">
      <formula>0</formula>
    </cfRule>
    <cfRule type="cellIs" dxfId="128" priority="100" operator="lessThan">
      <formula>0</formula>
    </cfRule>
  </conditionalFormatting>
  <conditionalFormatting sqref="I46:I50">
    <cfRule type="cellIs" dxfId="127" priority="97" operator="greaterThanOrEqual">
      <formula>0</formula>
    </cfRule>
    <cfRule type="cellIs" dxfId="126" priority="98" operator="lessThan">
      <formula>0</formula>
    </cfRule>
  </conditionalFormatting>
  <conditionalFormatting sqref="K46:K50">
    <cfRule type="cellIs" dxfId="125" priority="95" operator="greaterThanOrEqual">
      <formula>0</formula>
    </cfRule>
    <cfRule type="cellIs" dxfId="124" priority="96" operator="lessThan">
      <formula>0</formula>
    </cfRule>
  </conditionalFormatting>
  <conditionalFormatting sqref="J10:J14">
    <cfRule type="cellIs" dxfId="123" priority="93" operator="greaterThanOrEqual">
      <formula>0</formula>
    </cfRule>
    <cfRule type="cellIs" dxfId="122" priority="94" operator="lessThan">
      <formula>0</formula>
    </cfRule>
  </conditionalFormatting>
  <conditionalFormatting sqref="J16:J20">
    <cfRule type="cellIs" dxfId="121" priority="91" operator="greaterThanOrEqual">
      <formula>0</formula>
    </cfRule>
    <cfRule type="cellIs" dxfId="120" priority="92" operator="lessThan">
      <formula>0</formula>
    </cfRule>
  </conditionalFormatting>
  <conditionalFormatting sqref="J22:J26">
    <cfRule type="cellIs" dxfId="119" priority="89" operator="greaterThanOrEqual">
      <formula>0</formula>
    </cfRule>
    <cfRule type="cellIs" dxfId="118" priority="90" operator="lessThan">
      <formula>0</formula>
    </cfRule>
  </conditionalFormatting>
  <conditionalFormatting sqref="J28:J32">
    <cfRule type="cellIs" dxfId="117" priority="87" operator="greaterThanOrEqual">
      <formula>0</formula>
    </cfRule>
    <cfRule type="cellIs" dxfId="116" priority="88" operator="lessThan">
      <formula>0</formula>
    </cfRule>
  </conditionalFormatting>
  <conditionalFormatting sqref="J34:J38">
    <cfRule type="cellIs" dxfId="115" priority="85" operator="greaterThanOrEqual">
      <formula>0</formula>
    </cfRule>
    <cfRule type="cellIs" dxfId="114" priority="86" operator="lessThan">
      <formula>0</formula>
    </cfRule>
  </conditionalFormatting>
  <conditionalFormatting sqref="J40:J44">
    <cfRule type="cellIs" dxfId="113" priority="83" operator="greaterThanOrEqual">
      <formula>0</formula>
    </cfRule>
    <cfRule type="cellIs" dxfId="112" priority="84" operator="lessThan">
      <formula>0</formula>
    </cfRule>
  </conditionalFormatting>
  <conditionalFormatting sqref="J46:J50">
    <cfRule type="cellIs" dxfId="111" priority="81" operator="greaterThanOrEqual">
      <formula>0</formula>
    </cfRule>
    <cfRule type="cellIs" dxfId="110" priority="82" operator="lessThan">
      <formula>0</formula>
    </cfRule>
  </conditionalFormatting>
  <conditionalFormatting sqref="L10:L14">
    <cfRule type="cellIs" dxfId="109" priority="79" operator="greaterThanOrEqual">
      <formula>0</formula>
    </cfRule>
    <cfRule type="cellIs" dxfId="108" priority="80" operator="lessThan">
      <formula>0</formula>
    </cfRule>
  </conditionalFormatting>
  <conditionalFormatting sqref="L16:L20">
    <cfRule type="cellIs" dxfId="107" priority="77" operator="greaterThanOrEqual">
      <formula>0</formula>
    </cfRule>
    <cfRule type="cellIs" dxfId="106" priority="78" operator="lessThan">
      <formula>0</formula>
    </cfRule>
  </conditionalFormatting>
  <conditionalFormatting sqref="L22:L26">
    <cfRule type="cellIs" dxfId="105" priority="75" operator="greaterThanOrEqual">
      <formula>0</formula>
    </cfRule>
    <cfRule type="cellIs" dxfId="104" priority="76" operator="lessThan">
      <formula>0</formula>
    </cfRule>
  </conditionalFormatting>
  <conditionalFormatting sqref="L28:L32">
    <cfRule type="cellIs" dxfId="103" priority="73" operator="greaterThanOrEqual">
      <formula>0</formula>
    </cfRule>
    <cfRule type="cellIs" dxfId="102" priority="74" operator="lessThan">
      <formula>0</formula>
    </cfRule>
  </conditionalFormatting>
  <conditionalFormatting sqref="L34:L38">
    <cfRule type="cellIs" dxfId="101" priority="71" operator="greaterThanOrEqual">
      <formula>0</formula>
    </cfRule>
    <cfRule type="cellIs" dxfId="100" priority="72" operator="lessThan">
      <formula>0</formula>
    </cfRule>
  </conditionalFormatting>
  <conditionalFormatting sqref="L40:L44">
    <cfRule type="cellIs" dxfId="99" priority="69" operator="greaterThanOrEqual">
      <formula>0</formula>
    </cfRule>
    <cfRule type="cellIs" dxfId="98" priority="70" operator="lessThan">
      <formula>0</formula>
    </cfRule>
  </conditionalFormatting>
  <conditionalFormatting sqref="L46:L50">
    <cfRule type="cellIs" dxfId="97" priority="67" operator="greaterThanOrEqual">
      <formula>0</formula>
    </cfRule>
    <cfRule type="cellIs" dxfId="96" priority="68" operator="lessThan">
      <formula>0</formula>
    </cfRule>
  </conditionalFormatting>
  <conditionalFormatting sqref="I3">
    <cfRule type="cellIs" dxfId="95" priority="65" operator="greaterThanOrEqual">
      <formula>0</formula>
    </cfRule>
    <cfRule type="cellIs" dxfId="94" priority="66" operator="lessThan">
      <formula>0</formula>
    </cfRule>
  </conditionalFormatting>
  <conditionalFormatting sqref="J3:L3">
    <cfRule type="cellIs" dxfId="93" priority="63" operator="greaterThanOrEqual">
      <formula>0</formula>
    </cfRule>
    <cfRule type="cellIs" dxfId="92" priority="64" operator="lessThan">
      <formula>0</formula>
    </cfRule>
  </conditionalFormatting>
  <conditionalFormatting sqref="I9">
    <cfRule type="cellIs" dxfId="91" priority="33" operator="greaterThanOrEqual">
      <formula>0</formula>
    </cfRule>
    <cfRule type="cellIs" dxfId="90" priority="34" operator="lessThan">
      <formula>0</formula>
    </cfRule>
  </conditionalFormatting>
  <conditionalFormatting sqref="J9:L9">
    <cfRule type="cellIs" dxfId="89" priority="31" operator="greaterThanOrEqual">
      <formula>0</formula>
    </cfRule>
    <cfRule type="cellIs" dxfId="88" priority="32" operator="lessThan">
      <formula>0</formula>
    </cfRule>
  </conditionalFormatting>
  <conditionalFormatting sqref="I15">
    <cfRule type="cellIs" dxfId="87" priority="29" operator="greaterThanOrEqual">
      <formula>0</formula>
    </cfRule>
    <cfRule type="cellIs" dxfId="86" priority="30" operator="lessThan">
      <formula>0</formula>
    </cfRule>
  </conditionalFormatting>
  <conditionalFormatting sqref="J15:L15">
    <cfRule type="cellIs" dxfId="85" priority="27" operator="greaterThanOrEqual">
      <formula>0</formula>
    </cfRule>
    <cfRule type="cellIs" dxfId="84" priority="28" operator="lessThan">
      <formula>0</formula>
    </cfRule>
  </conditionalFormatting>
  <conditionalFormatting sqref="I21">
    <cfRule type="cellIs" dxfId="83" priority="25" operator="greaterThanOrEqual">
      <formula>0</formula>
    </cfRule>
    <cfRule type="cellIs" dxfId="82" priority="26" operator="lessThan">
      <formula>0</formula>
    </cfRule>
  </conditionalFormatting>
  <conditionalFormatting sqref="J21:L21">
    <cfRule type="cellIs" dxfId="81" priority="23" operator="greaterThanOrEqual">
      <formula>0</formula>
    </cfRule>
    <cfRule type="cellIs" dxfId="80" priority="24" operator="lessThan">
      <formula>0</formula>
    </cfRule>
  </conditionalFormatting>
  <conditionalFormatting sqref="I27">
    <cfRule type="cellIs" dxfId="79" priority="21" operator="greaterThanOrEqual">
      <formula>0</formula>
    </cfRule>
    <cfRule type="cellIs" dxfId="78" priority="22" operator="lessThan">
      <formula>0</formula>
    </cfRule>
  </conditionalFormatting>
  <conditionalFormatting sqref="J27:L27">
    <cfRule type="cellIs" dxfId="77" priority="19" operator="greaterThanOrEqual">
      <formula>0</formula>
    </cfRule>
    <cfRule type="cellIs" dxfId="76" priority="20" operator="lessThan">
      <formula>0</formula>
    </cfRule>
  </conditionalFormatting>
  <conditionalFormatting sqref="I33">
    <cfRule type="cellIs" dxfId="75" priority="17" operator="greaterThanOrEqual">
      <formula>0</formula>
    </cfRule>
    <cfRule type="cellIs" dxfId="74" priority="18" operator="lessThan">
      <formula>0</formula>
    </cfRule>
  </conditionalFormatting>
  <conditionalFormatting sqref="J33:L33">
    <cfRule type="cellIs" dxfId="73" priority="15" operator="greaterThanOrEqual">
      <formula>0</formula>
    </cfRule>
    <cfRule type="cellIs" dxfId="72" priority="16" operator="lessThan">
      <formula>0</formula>
    </cfRule>
  </conditionalFormatting>
  <conditionalFormatting sqref="I39">
    <cfRule type="cellIs" dxfId="71" priority="13" operator="greaterThanOrEqual">
      <formula>0</formula>
    </cfRule>
    <cfRule type="cellIs" dxfId="70" priority="14" operator="lessThan">
      <formula>0</formula>
    </cfRule>
  </conditionalFormatting>
  <conditionalFormatting sqref="J39:L39">
    <cfRule type="cellIs" dxfId="69" priority="11" operator="greaterThanOrEqual">
      <formula>0</formula>
    </cfRule>
    <cfRule type="cellIs" dxfId="68" priority="12" operator="lessThan">
      <formula>0</formula>
    </cfRule>
  </conditionalFormatting>
  <conditionalFormatting sqref="I45">
    <cfRule type="cellIs" dxfId="67" priority="9" operator="greaterThanOrEqual">
      <formula>0</formula>
    </cfRule>
    <cfRule type="cellIs" dxfId="66" priority="10" operator="lessThan">
      <formula>0</formula>
    </cfRule>
  </conditionalFormatting>
  <conditionalFormatting sqref="J45:L45">
    <cfRule type="cellIs" dxfId="65" priority="7" operator="greaterThanOrEqual">
      <formula>0</formula>
    </cfRule>
    <cfRule type="cellIs" dxfId="64" priority="8" operator="lessThan">
      <formula>0</formula>
    </cfRule>
  </conditionalFormatting>
  <hyperlinks>
    <hyperlink ref="E1" location="Strategijų_palyginimas!A1" display="Strategija "/>
    <hyperlink ref="A3" location="'1996-2002'!A1" display="Tikslinės pensijų fondų dalyvių grupės pensijų fondai, 1996-2002"/>
    <hyperlink ref="A9" location="'1989-1995'!A1" display="Tikslinės pensijų fondų dalyvių grupės pensijų fondai, 1989-1995"/>
    <hyperlink ref="A15" location="'1982-1988'!A1" display="Tikslinės pensijų fondų dalyvių grupės pensijų fondai, 1982-1988"/>
    <hyperlink ref="A21" location="'1975-1981'!A1" display="Tikslinės pensijų fondų dalyvių grupės pensijų fondai, 1975-1981"/>
    <hyperlink ref="A27" location="'1968-1974'!A1" display="Tikslinės pensijų fondų dalyvių grupės pensijų fondai, 1968-1974"/>
    <hyperlink ref="A33" location="'1961-1967'!A1" display="Tikslinės pensijų fondų dalyvių grupės pensijų fondai, 1961-1967"/>
    <hyperlink ref="A39" location="'1954-1960'!A1" display="Tikslinės pensijų fondų dalyvių grupės pensijų fondai, 1954-1960"/>
    <hyperlink ref="A45" location="TIF!A1" display="Pensijų turto išsaugojimo pensijų fondai"/>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0" zoomScaleNormal="70" workbookViewId="0">
      <selection activeCell="A19" sqref="A19"/>
    </sheetView>
  </sheetViews>
  <sheetFormatPr defaultRowHeight="15.6" x14ac:dyDescent="0.3"/>
  <cols>
    <col min="1" max="1" width="45.6640625" style="16" customWidth="1"/>
    <col min="2" max="2" width="14.88671875" style="16" bestFit="1" customWidth="1"/>
    <col min="3" max="3" width="64.109375" style="16" customWidth="1"/>
    <col min="4" max="4" width="15.5546875" style="16" customWidth="1"/>
    <col min="5" max="5" width="16.109375" style="16" bestFit="1" customWidth="1"/>
    <col min="6" max="6" width="17" style="16" customWidth="1"/>
    <col min="7" max="7" width="11.77734375" style="16" customWidth="1"/>
    <col min="8" max="8" width="1.109375" style="16" customWidth="1"/>
    <col min="9" max="9" width="16.6640625" style="16" customWidth="1"/>
    <col min="10" max="10" width="17.44140625" style="16" customWidth="1"/>
    <col min="11" max="11" width="17.33203125" style="16" customWidth="1"/>
    <col min="12" max="12" width="16.77734375" style="16" customWidth="1"/>
    <col min="13" max="13" width="1.21875" style="16" customWidth="1"/>
    <col min="14" max="14" width="15.88671875" style="16" customWidth="1"/>
    <col min="15" max="15" width="18.109375" style="16" customWidth="1"/>
    <col min="16" max="16" width="1.109375" style="16" customWidth="1"/>
    <col min="17" max="17" width="14.5546875" style="16" customWidth="1"/>
    <col min="18" max="18" width="11.77734375" style="16" customWidth="1"/>
    <col min="19" max="19" width="12.33203125" style="16"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1" t="s">
        <v>110</v>
      </c>
      <c r="J2" s="24" t="s">
        <v>129</v>
      </c>
      <c r="K2" s="24" t="s">
        <v>111</v>
      </c>
      <c r="L2" s="24" t="s">
        <v>130</v>
      </c>
      <c r="M2" s="30"/>
      <c r="N2" s="24" t="s">
        <v>131</v>
      </c>
      <c r="O2" s="24" t="s">
        <v>132</v>
      </c>
      <c r="Q2" s="24" t="s">
        <v>140</v>
      </c>
      <c r="R2" s="24" t="s">
        <v>141</v>
      </c>
      <c r="S2" s="24" t="s">
        <v>142</v>
      </c>
    </row>
    <row r="3" spans="1:21" ht="28.95" customHeight="1" x14ac:dyDescent="0.3">
      <c r="A3" s="70" t="s">
        <v>46</v>
      </c>
      <c r="B3" s="70"/>
      <c r="C3" s="70"/>
      <c r="D3" s="43"/>
      <c r="E3" s="43"/>
      <c r="F3" s="44"/>
      <c r="G3" s="68" t="s">
        <v>113</v>
      </c>
      <c r="H3" s="44"/>
      <c r="I3" s="65">
        <v>-17.332428015393425</v>
      </c>
      <c r="J3" s="65">
        <v>1.6088997080235994</v>
      </c>
      <c r="K3" s="65">
        <v>-18.454412372308543</v>
      </c>
      <c r="L3" s="65">
        <v>2.1687665647873855</v>
      </c>
      <c r="M3" s="44"/>
      <c r="N3" s="44"/>
      <c r="O3" s="44"/>
    </row>
    <row r="4" spans="1:21" customFormat="1" ht="14.4" x14ac:dyDescent="0.3">
      <c r="A4" s="32" t="s">
        <v>36</v>
      </c>
      <c r="B4" s="32" t="s">
        <v>4</v>
      </c>
      <c r="C4" s="32" t="s">
        <v>47</v>
      </c>
      <c r="D4" s="64" t="s">
        <v>128</v>
      </c>
      <c r="E4" s="34">
        <v>90</v>
      </c>
      <c r="F4" s="33">
        <v>1.8299925899</v>
      </c>
      <c r="G4" s="35">
        <v>6079</v>
      </c>
      <c r="H4" s="22"/>
      <c r="I4" s="36">
        <v>-17.367651835011365</v>
      </c>
      <c r="J4" s="36">
        <v>1.7700000000000049</v>
      </c>
      <c r="K4" s="36">
        <v>-18.251079706811126</v>
      </c>
      <c r="L4" s="36">
        <v>1.8164000000000069</v>
      </c>
      <c r="M4" s="23"/>
      <c r="N4" s="36">
        <v>15.520908957918172</v>
      </c>
      <c r="O4" s="36">
        <v>16.985190614186223</v>
      </c>
      <c r="Q4" s="33">
        <v>0.78</v>
      </c>
      <c r="R4" s="33">
        <v>1.2</v>
      </c>
      <c r="S4" s="33" t="s">
        <v>139</v>
      </c>
      <c r="T4" s="56"/>
      <c r="U4" s="56"/>
    </row>
    <row r="5" spans="1:21" customFormat="1" ht="14.4" x14ac:dyDescent="0.3">
      <c r="A5" s="32" t="s">
        <v>123</v>
      </c>
      <c r="B5" s="32" t="s">
        <v>2</v>
      </c>
      <c r="C5" s="32" t="s">
        <v>48</v>
      </c>
      <c r="D5" s="64" t="s">
        <v>128</v>
      </c>
      <c r="E5" s="34">
        <v>97</v>
      </c>
      <c r="F5" s="33">
        <v>4.7324482284</v>
      </c>
      <c r="G5" s="35">
        <v>9366</v>
      </c>
      <c r="H5" s="22"/>
      <c r="I5" s="36">
        <v>-17.363606664488717</v>
      </c>
      <c r="J5" s="36">
        <v>1.1800000000000033</v>
      </c>
      <c r="K5" s="36">
        <v>-20.032072804947465</v>
      </c>
      <c r="L5" s="36">
        <v>3.2199999999993345E-2</v>
      </c>
      <c r="M5" s="23"/>
      <c r="N5" s="36">
        <v>15.48449172486934</v>
      </c>
      <c r="O5" s="36">
        <v>18.033285777439996</v>
      </c>
      <c r="Q5" s="33">
        <v>0.79</v>
      </c>
      <c r="R5" s="33" t="s">
        <v>139</v>
      </c>
      <c r="S5" s="33">
        <v>1.1000000000000001</v>
      </c>
      <c r="T5" s="56"/>
      <c r="U5" s="56"/>
    </row>
    <row r="6" spans="1:21" customFormat="1" ht="14.4" x14ac:dyDescent="0.3">
      <c r="A6" s="32" t="s">
        <v>122</v>
      </c>
      <c r="B6" s="32" t="s">
        <v>1</v>
      </c>
      <c r="C6" s="32" t="s">
        <v>49</v>
      </c>
      <c r="D6" s="64" t="s">
        <v>128</v>
      </c>
      <c r="E6" s="34">
        <v>98</v>
      </c>
      <c r="F6" s="33">
        <v>6.2662444199999996</v>
      </c>
      <c r="G6" s="35">
        <v>11804</v>
      </c>
      <c r="H6" s="22"/>
      <c r="I6" s="36">
        <v>-18.160735705717702</v>
      </c>
      <c r="J6" s="36">
        <v>2.3400000000000087</v>
      </c>
      <c r="K6" s="36">
        <v>-19.09758914553057</v>
      </c>
      <c r="L6" s="36">
        <v>2.1290999999999949</v>
      </c>
      <c r="M6" s="23"/>
      <c r="N6" s="36">
        <v>16.889127450593019</v>
      </c>
      <c r="O6" s="36">
        <v>17.590209510595731</v>
      </c>
      <c r="Q6" s="33">
        <v>0.79</v>
      </c>
      <c r="R6" s="33">
        <v>1.0900000000000001</v>
      </c>
      <c r="S6" s="33" t="s">
        <v>139</v>
      </c>
      <c r="T6" s="56"/>
      <c r="U6" s="56"/>
    </row>
    <row r="7" spans="1:21" customFormat="1" ht="14.4" x14ac:dyDescent="0.3">
      <c r="A7" s="32" t="s">
        <v>124</v>
      </c>
      <c r="B7" s="32" t="s">
        <v>3</v>
      </c>
      <c r="C7" s="32" t="s">
        <v>106</v>
      </c>
      <c r="D7" s="64" t="s">
        <v>128</v>
      </c>
      <c r="E7" s="34">
        <v>90</v>
      </c>
      <c r="F7" s="33">
        <v>14.66306541</v>
      </c>
      <c r="G7" s="35">
        <v>30182</v>
      </c>
      <c r="H7" s="22"/>
      <c r="I7" s="36">
        <v>-17.172974767596283</v>
      </c>
      <c r="J7" s="36">
        <v>2.0451988955926037</v>
      </c>
      <c r="K7" s="36">
        <v>-17.740847358546997</v>
      </c>
      <c r="L7" s="36">
        <v>2.8485621740603984</v>
      </c>
      <c r="M7" s="23"/>
      <c r="N7" s="36">
        <v>15.411673025871764</v>
      </c>
      <c r="O7" s="36">
        <v>16.252109322914034</v>
      </c>
      <c r="Q7" s="33">
        <v>0.75</v>
      </c>
      <c r="R7" s="33">
        <v>0.92730000000000001</v>
      </c>
      <c r="S7" s="33" t="s">
        <v>139</v>
      </c>
      <c r="T7" s="56"/>
      <c r="U7" s="56"/>
    </row>
    <row r="8" spans="1:21" customFormat="1" ht="14.4" x14ac:dyDescent="0.3">
      <c r="A8" s="32" t="s">
        <v>37</v>
      </c>
      <c r="B8" s="32" t="s">
        <v>5</v>
      </c>
      <c r="C8" s="32" t="s">
        <v>50</v>
      </c>
      <c r="D8" s="64" t="s">
        <v>128</v>
      </c>
      <c r="E8" s="34">
        <v>90</v>
      </c>
      <c r="F8" s="33">
        <v>4.6711833299999999</v>
      </c>
      <c r="G8" s="35">
        <v>11579</v>
      </c>
      <c r="H8" s="22"/>
      <c r="I8" s="36">
        <v>-16.676423852136825</v>
      </c>
      <c r="J8" s="36">
        <v>-0.37000000000000366</v>
      </c>
      <c r="K8" s="36">
        <v>-18.312831236053484</v>
      </c>
      <c r="L8" s="36">
        <v>2.3906999999999901</v>
      </c>
      <c r="M8" s="23"/>
      <c r="N8" s="36">
        <v>15.949909245447044</v>
      </c>
      <c r="O8" s="36">
        <v>17.533124571125459</v>
      </c>
      <c r="Q8" s="33">
        <v>0.79</v>
      </c>
      <c r="R8" s="33" t="s">
        <v>139</v>
      </c>
      <c r="S8" s="33">
        <v>1.46</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3.8" x14ac:dyDescent="0.3">
      <c r="A17" s="53" t="s">
        <v>138</v>
      </c>
    </row>
    <row r="18" spans="1:5" s="52" customFormat="1" ht="13.8" x14ac:dyDescent="0.3">
      <c r="A18" s="48" t="s">
        <v>144</v>
      </c>
    </row>
    <row r="19" spans="1:5" x14ac:dyDescent="0.3">
      <c r="A19" s="48" t="s">
        <v>145</v>
      </c>
    </row>
    <row r="20" spans="1:5" x14ac:dyDescent="0.3">
      <c r="A20" s="37" t="s">
        <v>133</v>
      </c>
      <c r="B20" s="37"/>
      <c r="C20" s="37"/>
      <c r="D20" s="37"/>
      <c r="E20" s="37"/>
    </row>
    <row r="21" spans="1:5" s="52" customFormat="1" ht="13.8" x14ac:dyDescent="0.3">
      <c r="A21" s="50" t="s">
        <v>116</v>
      </c>
      <c r="B21" s="51"/>
      <c r="C21" s="51"/>
    </row>
    <row r="22" spans="1:5" s="52" customFormat="1" ht="13.8" x14ac:dyDescent="0.3">
      <c r="A22" s="50" t="s">
        <v>117</v>
      </c>
      <c r="B22" s="51"/>
      <c r="C22" s="51"/>
    </row>
    <row r="23" spans="1:5" x14ac:dyDescent="0.3">
      <c r="A23" s="18"/>
      <c r="B23" s="18"/>
      <c r="C23" s="18"/>
    </row>
    <row r="30" spans="1:5" x14ac:dyDescent="0.3">
      <c r="A30" s="37" t="s">
        <v>0</v>
      </c>
      <c r="B30" s="37" t="s">
        <v>89</v>
      </c>
      <c r="C30" s="37" t="s">
        <v>88</v>
      </c>
    </row>
    <row r="31" spans="1:5" x14ac:dyDescent="0.3">
      <c r="A31" s="32" t="s">
        <v>4</v>
      </c>
      <c r="B31" s="33">
        <v>15.520908957918172</v>
      </c>
      <c r="C31" s="33">
        <v>1.7700000000000049</v>
      </c>
    </row>
    <row r="32" spans="1:5" x14ac:dyDescent="0.3">
      <c r="A32" s="32" t="s">
        <v>2</v>
      </c>
      <c r="B32" s="33">
        <v>15.48449172486934</v>
      </c>
      <c r="C32" s="33">
        <v>1.1800000000000033</v>
      </c>
    </row>
    <row r="33" spans="1:3" x14ac:dyDescent="0.3">
      <c r="A33" s="32" t="s">
        <v>1</v>
      </c>
      <c r="B33" s="33">
        <v>16.889127450593019</v>
      </c>
      <c r="C33" s="33">
        <v>2.3400000000000087</v>
      </c>
    </row>
    <row r="34" spans="1:3" x14ac:dyDescent="0.3">
      <c r="A34" s="32" t="s">
        <v>3</v>
      </c>
      <c r="B34" s="33">
        <v>15.411673025871764</v>
      </c>
      <c r="C34" s="33">
        <v>2.0451988955926037</v>
      </c>
    </row>
    <row r="35" spans="1:3" x14ac:dyDescent="0.3">
      <c r="A35" s="32" t="s">
        <v>5</v>
      </c>
      <c r="B35" s="33">
        <v>15.949909245447044</v>
      </c>
      <c r="C35" s="33">
        <v>-0.37000000000000366</v>
      </c>
    </row>
    <row r="52" spans="1:5" x14ac:dyDescent="0.3">
      <c r="A52" s="37" t="s">
        <v>134</v>
      </c>
      <c r="B52" s="37"/>
      <c r="C52" s="37"/>
      <c r="D52" s="37"/>
      <c r="E52" s="37"/>
    </row>
    <row r="53" spans="1:5" s="52" customFormat="1" ht="13.8" x14ac:dyDescent="0.3">
      <c r="A53" s="50" t="s">
        <v>118</v>
      </c>
      <c r="B53" s="51"/>
      <c r="C53" s="51"/>
    </row>
    <row r="54" spans="1:5" s="52" customFormat="1" ht="13.8" x14ac:dyDescent="0.3">
      <c r="A54" s="50" t="s">
        <v>119</v>
      </c>
      <c r="B54" s="51"/>
      <c r="C54" s="51"/>
    </row>
    <row r="55" spans="1:5" s="52" customFormat="1" ht="13.8" x14ac:dyDescent="0.3">
      <c r="A55" s="50" t="s">
        <v>120</v>
      </c>
      <c r="B55" s="51"/>
      <c r="C55" s="51"/>
    </row>
    <row r="60" spans="1:5" x14ac:dyDescent="0.3">
      <c r="A60" s="37" t="s">
        <v>0</v>
      </c>
      <c r="B60" s="37" t="s">
        <v>94</v>
      </c>
      <c r="C60" s="37" t="s">
        <v>95</v>
      </c>
      <c r="D60" s="37" t="s">
        <v>96</v>
      </c>
    </row>
    <row r="61" spans="1:5" x14ac:dyDescent="0.3">
      <c r="A61" s="32" t="s">
        <v>4</v>
      </c>
      <c r="B61" s="33">
        <v>6.0789999999999997</v>
      </c>
      <c r="C61" s="33">
        <v>1.7700000000000049</v>
      </c>
      <c r="D61" s="33">
        <v>1.8299925899</v>
      </c>
    </row>
    <row r="62" spans="1:5" x14ac:dyDescent="0.3">
      <c r="A62" s="32" t="s">
        <v>2</v>
      </c>
      <c r="B62" s="33">
        <v>9.3659999999999997</v>
      </c>
      <c r="C62" s="33">
        <v>1.1800000000000033</v>
      </c>
      <c r="D62" s="33">
        <v>4.7324482284</v>
      </c>
    </row>
    <row r="63" spans="1:5" x14ac:dyDescent="0.3">
      <c r="A63" s="32" t="s">
        <v>1</v>
      </c>
      <c r="B63" s="33">
        <v>11.804</v>
      </c>
      <c r="C63" s="33">
        <v>2.3400000000000087</v>
      </c>
      <c r="D63" s="33">
        <v>6.2662444199999996</v>
      </c>
    </row>
    <row r="64" spans="1:5" x14ac:dyDescent="0.3">
      <c r="A64" s="32" t="s">
        <v>3</v>
      </c>
      <c r="B64" s="33">
        <v>30.181999999999999</v>
      </c>
      <c r="C64" s="33">
        <v>2.0451988955926037</v>
      </c>
      <c r="D64" s="33">
        <v>14.66306541</v>
      </c>
    </row>
    <row r="65" spans="1:4" x14ac:dyDescent="0.3">
      <c r="A65" s="32" t="s">
        <v>5</v>
      </c>
      <c r="B65" s="33">
        <v>11.579000000000001</v>
      </c>
      <c r="C65" s="33">
        <v>-0.37000000000000366</v>
      </c>
      <c r="D65" s="33">
        <v>4.6711833299999999</v>
      </c>
    </row>
  </sheetData>
  <mergeCells count="7">
    <mergeCell ref="Q1:S1"/>
    <mergeCell ref="N1:O1"/>
    <mergeCell ref="A3:C3"/>
    <mergeCell ref="D1:D2"/>
    <mergeCell ref="F1:F2"/>
    <mergeCell ref="G1:G2"/>
    <mergeCell ref="I1:L1"/>
  </mergeCells>
  <conditionalFormatting sqref="N4:O8">
    <cfRule type="cellIs" dxfId="63" priority="7" operator="greaterThanOrEqual">
      <formula>0</formula>
    </cfRule>
    <cfRule type="cellIs" dxfId="62" priority="8" operator="lessThan">
      <formula>0</formula>
    </cfRule>
  </conditionalFormatting>
  <conditionalFormatting sqref="I4:I8">
    <cfRule type="cellIs" dxfId="61" priority="5" operator="greaterThanOrEqual">
      <formula>0</formula>
    </cfRule>
    <cfRule type="cellIs" dxfId="60" priority="6" operator="lessThan">
      <formula>0</formula>
    </cfRule>
  </conditionalFormatting>
  <conditionalFormatting sqref="J4:L8">
    <cfRule type="cellIs" dxfId="59" priority="3" operator="greaterThanOrEqual">
      <formula>0</formula>
    </cfRule>
    <cfRule type="cellIs" dxfId="58" priority="4" operator="lessThan">
      <formula>0</formula>
    </cfRule>
  </conditionalFormatting>
  <conditionalFormatting sqref="I3:L3">
    <cfRule type="cellIs" dxfId="57" priority="1" operator="greaterThanOrEqual">
      <formula>0</formula>
    </cfRule>
    <cfRule type="cellIs" dxfId="56" priority="2" operator="lessThan">
      <formula>0</formula>
    </cfRule>
  </conditionalFormatting>
  <hyperlinks>
    <hyperlink ref="C1" location="GCF_2020!A1" display="Grįžti į pagrindinį puslapį"/>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0" zoomScaleNormal="70" workbookViewId="0">
      <selection activeCell="A18" sqref="A18:A19"/>
    </sheetView>
  </sheetViews>
  <sheetFormatPr defaultRowHeight="15.6" x14ac:dyDescent="0.3"/>
  <cols>
    <col min="1" max="1" width="45.6640625" style="16" customWidth="1"/>
    <col min="2" max="2" width="14.88671875" style="16" bestFit="1" customWidth="1"/>
    <col min="3" max="3" width="65.44140625" style="16" customWidth="1"/>
    <col min="4" max="4" width="13.109375" style="16" customWidth="1"/>
    <col min="5" max="5" width="14.6640625" style="16" customWidth="1"/>
    <col min="6" max="6" width="18.109375" style="16" customWidth="1"/>
    <col min="7" max="7" width="11.33203125" style="16" customWidth="1"/>
    <col min="8" max="8" width="2.109375" style="16" customWidth="1"/>
    <col min="9" max="9" width="16.88671875" style="16" customWidth="1"/>
    <col min="10" max="10" width="15.6640625" style="16" customWidth="1"/>
    <col min="11" max="11" width="13.77734375" style="16" customWidth="1"/>
    <col min="12" max="12" width="15.77734375" style="16" customWidth="1"/>
    <col min="13" max="13" width="2.109375" style="16" customWidth="1"/>
    <col min="14" max="14" width="19.33203125" style="16" customWidth="1"/>
    <col min="15" max="15" width="15.6640625" style="16" customWidth="1"/>
    <col min="16" max="16" width="2.109375" style="16" customWidth="1"/>
    <col min="17" max="17" width="8.88671875" style="16"/>
    <col min="18" max="18" width="11.5546875" style="16" customWidth="1"/>
    <col min="19" max="19" width="12.33203125" style="16"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2" t="s">
        <v>110</v>
      </c>
      <c r="J2" s="24" t="s">
        <v>129</v>
      </c>
      <c r="K2" s="24" t="s">
        <v>111</v>
      </c>
      <c r="L2" s="24" t="s">
        <v>130</v>
      </c>
      <c r="M2" s="30"/>
      <c r="N2" s="24" t="s">
        <v>131</v>
      </c>
      <c r="O2" s="24" t="s">
        <v>132</v>
      </c>
      <c r="Q2" s="24" t="s">
        <v>140</v>
      </c>
      <c r="R2" s="24" t="s">
        <v>141</v>
      </c>
      <c r="S2" s="24" t="s">
        <v>142</v>
      </c>
    </row>
    <row r="3" spans="1:21" ht="28.95" customHeight="1" x14ac:dyDescent="0.3">
      <c r="A3" s="70" t="s">
        <v>51</v>
      </c>
      <c r="B3" s="70">
        <v>0</v>
      </c>
      <c r="C3" s="70">
        <v>0</v>
      </c>
      <c r="D3" s="43"/>
      <c r="E3" s="43"/>
      <c r="F3" s="44"/>
      <c r="G3" s="68" t="s">
        <v>113</v>
      </c>
      <c r="H3" s="44"/>
      <c r="I3" s="65">
        <v>-17.270590601424541</v>
      </c>
      <c r="J3" s="65">
        <v>1.6914714025170092</v>
      </c>
      <c r="K3" s="65">
        <v>-18.487959720583227</v>
      </c>
      <c r="L3" s="65">
        <v>2.1149381724380847</v>
      </c>
      <c r="M3" s="44"/>
      <c r="N3" s="44"/>
      <c r="O3" s="44"/>
    </row>
    <row r="4" spans="1:21" customFormat="1" ht="14.4" x14ac:dyDescent="0.3">
      <c r="A4" s="32" t="s">
        <v>36</v>
      </c>
      <c r="B4" s="32" t="s">
        <v>9</v>
      </c>
      <c r="C4" s="32" t="s">
        <v>52</v>
      </c>
      <c r="D4" s="64" t="s">
        <v>128</v>
      </c>
      <c r="E4" s="34">
        <v>90</v>
      </c>
      <c r="F4" s="33">
        <v>18.403021606500001</v>
      </c>
      <c r="G4" s="35">
        <v>17724</v>
      </c>
      <c r="H4" s="22"/>
      <c r="I4" s="36">
        <v>-17.522095191761935</v>
      </c>
      <c r="J4" s="36">
        <v>1.7200000000000104</v>
      </c>
      <c r="K4" s="36">
        <v>-18.251079706811126</v>
      </c>
      <c r="L4" s="36">
        <v>1.8164000000000069</v>
      </c>
      <c r="M4" s="22"/>
      <c r="N4" s="36">
        <v>15.592656978385449</v>
      </c>
      <c r="O4" s="36">
        <v>16.985190614186223</v>
      </c>
      <c r="Q4" s="33">
        <v>0.78</v>
      </c>
      <c r="R4" s="33">
        <v>1.37</v>
      </c>
      <c r="S4" s="33" t="s">
        <v>139</v>
      </c>
      <c r="T4" s="56"/>
      <c r="U4" s="56"/>
    </row>
    <row r="5" spans="1:21" customFormat="1" ht="14.4" x14ac:dyDescent="0.3">
      <c r="A5" s="32" t="s">
        <v>123</v>
      </c>
      <c r="B5" s="32" t="s">
        <v>7</v>
      </c>
      <c r="C5" s="32" t="s">
        <v>53</v>
      </c>
      <c r="D5" s="64" t="s">
        <v>128</v>
      </c>
      <c r="E5" s="34">
        <v>97</v>
      </c>
      <c r="F5" s="33">
        <v>39.392853644399999</v>
      </c>
      <c r="G5" s="35">
        <v>31054</v>
      </c>
      <c r="H5" s="22"/>
      <c r="I5" s="36">
        <v>-17.727717923604313</v>
      </c>
      <c r="J5" s="36">
        <v>0.80000000000000071</v>
      </c>
      <c r="K5" s="36">
        <v>-20.032072804947465</v>
      </c>
      <c r="L5" s="36">
        <v>3.2199999999993345E-2</v>
      </c>
      <c r="M5" s="22"/>
      <c r="N5" s="36">
        <v>15.768448498249166</v>
      </c>
      <c r="O5" s="36">
        <v>18.033285777439996</v>
      </c>
      <c r="Q5" s="33">
        <v>0.79</v>
      </c>
      <c r="R5" s="33" t="s">
        <v>139</v>
      </c>
      <c r="S5" s="33">
        <v>1.08</v>
      </c>
      <c r="T5" s="56"/>
      <c r="U5" s="56"/>
    </row>
    <row r="6" spans="1:21" customFormat="1" ht="14.4" x14ac:dyDescent="0.3">
      <c r="A6" s="32" t="s">
        <v>122</v>
      </c>
      <c r="B6" s="32" t="s">
        <v>6</v>
      </c>
      <c r="C6" s="32" t="s">
        <v>54</v>
      </c>
      <c r="D6" s="64" t="s">
        <v>128</v>
      </c>
      <c r="E6" s="34">
        <v>98</v>
      </c>
      <c r="F6" s="33">
        <v>46.971955950000002</v>
      </c>
      <c r="G6" s="35">
        <v>38732</v>
      </c>
      <c r="H6" s="22"/>
      <c r="I6" s="36">
        <v>-18.008372242795044</v>
      </c>
      <c r="J6" s="36">
        <v>1.8499999999999961</v>
      </c>
      <c r="K6" s="36">
        <v>-19.09758914553057</v>
      </c>
      <c r="L6" s="36">
        <v>2.1290999999999949</v>
      </c>
      <c r="M6" s="22"/>
      <c r="N6" s="36">
        <v>16.644581548661623</v>
      </c>
      <c r="O6" s="36">
        <v>17.590209510595731</v>
      </c>
      <c r="Q6" s="33">
        <v>0.79</v>
      </c>
      <c r="R6" s="33">
        <v>1.25</v>
      </c>
      <c r="S6" s="33" t="s">
        <v>139</v>
      </c>
      <c r="T6" s="56"/>
      <c r="U6" s="56"/>
    </row>
    <row r="7" spans="1:21" customFormat="1" ht="14.4" x14ac:dyDescent="0.3">
      <c r="A7" s="32" t="s">
        <v>124</v>
      </c>
      <c r="B7" s="32" t="s">
        <v>8</v>
      </c>
      <c r="C7" s="32" t="s">
        <v>105</v>
      </c>
      <c r="D7" s="64" t="s">
        <v>128</v>
      </c>
      <c r="E7" s="34">
        <v>90</v>
      </c>
      <c r="F7" s="33">
        <v>106.44098414</v>
      </c>
      <c r="G7" s="35">
        <v>86941</v>
      </c>
      <c r="H7" s="22"/>
      <c r="I7" s="36">
        <v>-16.853932584269661</v>
      </c>
      <c r="J7" s="36">
        <v>3.0215530576466865</v>
      </c>
      <c r="K7" s="36">
        <v>-17.740847358546997</v>
      </c>
      <c r="L7" s="36">
        <v>2.8485621740603984</v>
      </c>
      <c r="M7" s="22"/>
      <c r="N7" s="36">
        <v>15.354508373996453</v>
      </c>
      <c r="O7" s="36">
        <v>16.252109322914034</v>
      </c>
      <c r="Q7" s="33">
        <v>0.75</v>
      </c>
      <c r="R7" s="33">
        <v>0.93179999999999996</v>
      </c>
      <c r="S7" s="33" t="s">
        <v>139</v>
      </c>
      <c r="T7" s="56"/>
      <c r="U7" s="56"/>
    </row>
    <row r="8" spans="1:21" customFormat="1" ht="14.4" x14ac:dyDescent="0.3">
      <c r="A8" s="32" t="s">
        <v>37</v>
      </c>
      <c r="B8" s="32" t="s">
        <v>10</v>
      </c>
      <c r="C8" s="32" t="s">
        <v>55</v>
      </c>
      <c r="D8" s="64" t="s">
        <v>128</v>
      </c>
      <c r="E8" s="34">
        <v>90</v>
      </c>
      <c r="F8" s="33">
        <v>31.86131692</v>
      </c>
      <c r="G8" s="35">
        <v>30243</v>
      </c>
      <c r="H8" s="22"/>
      <c r="I8" s="36">
        <v>-16.86440677966101</v>
      </c>
      <c r="J8" s="36">
        <v>-1.9000000000000017</v>
      </c>
      <c r="K8" s="36">
        <v>-18.312831236053484</v>
      </c>
      <c r="L8" s="36">
        <v>2.3906999999999901</v>
      </c>
      <c r="M8" s="22"/>
      <c r="N8" s="36">
        <v>15.834818546667378</v>
      </c>
      <c r="O8" s="36">
        <v>17.533124571125459</v>
      </c>
      <c r="Q8" s="33">
        <v>0.79</v>
      </c>
      <c r="R8" s="33" t="s">
        <v>139</v>
      </c>
      <c r="S8" s="33">
        <v>1.5</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4.4" customHeight="1" x14ac:dyDescent="0.3">
      <c r="A17" s="53" t="s">
        <v>138</v>
      </c>
    </row>
    <row r="18" spans="1:5" s="52" customFormat="1" ht="14.4" customHeight="1" x14ac:dyDescent="0.3">
      <c r="A18" s="48" t="s">
        <v>144</v>
      </c>
    </row>
    <row r="19" spans="1:5" x14ac:dyDescent="0.3">
      <c r="A19" s="48" t="s">
        <v>145</v>
      </c>
    </row>
    <row r="20" spans="1:5" x14ac:dyDescent="0.3">
      <c r="A20" s="37" t="s">
        <v>133</v>
      </c>
      <c r="B20" s="37"/>
      <c r="C20" s="37"/>
      <c r="D20" s="37"/>
      <c r="E20" s="37"/>
    </row>
    <row r="21" spans="1:5" s="52" customFormat="1" ht="13.8" x14ac:dyDescent="0.3">
      <c r="A21" s="50" t="s">
        <v>116</v>
      </c>
      <c r="B21" s="51"/>
      <c r="C21" s="51"/>
    </row>
    <row r="22" spans="1:5" s="52" customFormat="1" ht="13.8" x14ac:dyDescent="0.3">
      <c r="A22" s="50" t="s">
        <v>117</v>
      </c>
      <c r="B22" s="51"/>
      <c r="C22" s="51"/>
    </row>
    <row r="23" spans="1:5" x14ac:dyDescent="0.3">
      <c r="A23" s="18"/>
      <c r="B23" s="18"/>
      <c r="C23" s="18"/>
    </row>
    <row r="30" spans="1:5" x14ac:dyDescent="0.3">
      <c r="A30" s="37" t="s">
        <v>0</v>
      </c>
      <c r="B30" s="37" t="s">
        <v>89</v>
      </c>
      <c r="C30" s="37" t="s">
        <v>88</v>
      </c>
    </row>
    <row r="31" spans="1:5" x14ac:dyDescent="0.3">
      <c r="A31" s="32" t="s">
        <v>9</v>
      </c>
      <c r="B31" s="33">
        <v>15.592656978385449</v>
      </c>
      <c r="C31" s="33">
        <v>1.7200000000000104</v>
      </c>
    </row>
    <row r="32" spans="1:5" x14ac:dyDescent="0.3">
      <c r="A32" s="32" t="s">
        <v>7</v>
      </c>
      <c r="B32" s="33">
        <v>15.768448498249166</v>
      </c>
      <c r="C32" s="33">
        <v>0.80000000000000071</v>
      </c>
    </row>
    <row r="33" spans="1:3" x14ac:dyDescent="0.3">
      <c r="A33" s="32" t="s">
        <v>6</v>
      </c>
      <c r="B33" s="33">
        <v>16.644581548661623</v>
      </c>
      <c r="C33" s="33">
        <v>1.8499999999999961</v>
      </c>
    </row>
    <row r="34" spans="1:3" x14ac:dyDescent="0.3">
      <c r="A34" s="32" t="s">
        <v>8</v>
      </c>
      <c r="B34" s="33">
        <v>15.354508373996453</v>
      </c>
      <c r="C34" s="33">
        <v>3.0215530576466865</v>
      </c>
    </row>
    <row r="35" spans="1:3" x14ac:dyDescent="0.3">
      <c r="A35" s="32" t="s">
        <v>10</v>
      </c>
      <c r="B35" s="33">
        <v>15.834818546667378</v>
      </c>
      <c r="C35" s="33">
        <v>-1.9000000000000017</v>
      </c>
    </row>
    <row r="52" spans="1:5" x14ac:dyDescent="0.3">
      <c r="A52" s="37" t="s">
        <v>134</v>
      </c>
      <c r="B52" s="37"/>
      <c r="C52" s="37"/>
      <c r="D52" s="37"/>
      <c r="E52" s="37"/>
    </row>
    <row r="53" spans="1:5" s="52" customFormat="1" ht="13.8" x14ac:dyDescent="0.3">
      <c r="A53" s="50" t="s">
        <v>118</v>
      </c>
      <c r="B53" s="51"/>
      <c r="C53" s="51"/>
    </row>
    <row r="54" spans="1:5" s="52" customFormat="1" ht="13.8" x14ac:dyDescent="0.3">
      <c r="A54" s="50" t="s">
        <v>119</v>
      </c>
      <c r="B54" s="51"/>
      <c r="C54" s="51"/>
    </row>
    <row r="55" spans="1:5" s="52" customFormat="1" ht="13.8" x14ac:dyDescent="0.3">
      <c r="A55" s="50" t="s">
        <v>120</v>
      </c>
      <c r="B55" s="51"/>
      <c r="C55" s="51"/>
    </row>
    <row r="60" spans="1:5" x14ac:dyDescent="0.3">
      <c r="A60" s="37" t="s">
        <v>0</v>
      </c>
      <c r="B60" s="37" t="s">
        <v>94</v>
      </c>
      <c r="C60" s="37" t="s">
        <v>95</v>
      </c>
      <c r="D60" s="37" t="s">
        <v>96</v>
      </c>
    </row>
    <row r="61" spans="1:5" x14ac:dyDescent="0.3">
      <c r="A61" s="32" t="s">
        <v>9</v>
      </c>
      <c r="B61" s="33">
        <v>17.724</v>
      </c>
      <c r="C61" s="33">
        <v>1.7200000000000104</v>
      </c>
      <c r="D61" s="33">
        <v>18.403021606500001</v>
      </c>
    </row>
    <row r="62" spans="1:5" x14ac:dyDescent="0.3">
      <c r="A62" s="32" t="s">
        <v>7</v>
      </c>
      <c r="B62" s="33">
        <v>31.053999999999998</v>
      </c>
      <c r="C62" s="33">
        <v>0.80000000000000071</v>
      </c>
      <c r="D62" s="33">
        <v>39.392853644399999</v>
      </c>
    </row>
    <row r="63" spans="1:5" x14ac:dyDescent="0.3">
      <c r="A63" s="32" t="s">
        <v>6</v>
      </c>
      <c r="B63" s="33">
        <v>38.731999999999999</v>
      </c>
      <c r="C63" s="33">
        <v>1.8499999999999961</v>
      </c>
      <c r="D63" s="33">
        <v>46.971955950000002</v>
      </c>
    </row>
    <row r="64" spans="1:5" x14ac:dyDescent="0.3">
      <c r="A64" s="32" t="s">
        <v>8</v>
      </c>
      <c r="B64" s="33">
        <v>86.941000000000003</v>
      </c>
      <c r="C64" s="33">
        <v>3.0215530576466865</v>
      </c>
      <c r="D64" s="33">
        <v>106.44098414</v>
      </c>
    </row>
    <row r="65" spans="1:4" x14ac:dyDescent="0.3">
      <c r="A65" s="32" t="s">
        <v>10</v>
      </c>
      <c r="B65" s="33">
        <v>30.242999999999999</v>
      </c>
      <c r="C65" s="33">
        <v>-1.9000000000000017</v>
      </c>
      <c r="D65" s="33">
        <v>31.86131692</v>
      </c>
    </row>
  </sheetData>
  <mergeCells count="7">
    <mergeCell ref="Q1:S1"/>
    <mergeCell ref="N1:O1"/>
    <mergeCell ref="A3:C3"/>
    <mergeCell ref="D1:D2"/>
    <mergeCell ref="F1:F2"/>
    <mergeCell ref="G1:G2"/>
    <mergeCell ref="I1:L1"/>
  </mergeCells>
  <conditionalFormatting sqref="N4:O8">
    <cfRule type="cellIs" dxfId="55" priority="9" operator="greaterThanOrEqual">
      <formula>0</formula>
    </cfRule>
    <cfRule type="cellIs" dxfId="54" priority="10" operator="lessThan">
      <formula>0</formula>
    </cfRule>
  </conditionalFormatting>
  <conditionalFormatting sqref="I4:I8">
    <cfRule type="cellIs" dxfId="53" priority="7" operator="greaterThanOrEqual">
      <formula>0</formula>
    </cfRule>
    <cfRule type="cellIs" dxfId="52" priority="8" operator="lessThan">
      <formula>0</formula>
    </cfRule>
  </conditionalFormatting>
  <conditionalFormatting sqref="J4:L8">
    <cfRule type="cellIs" dxfId="51" priority="5" operator="greaterThanOrEqual">
      <formula>0</formula>
    </cfRule>
    <cfRule type="cellIs" dxfId="50" priority="6" operator="lessThan">
      <formula>0</formula>
    </cfRule>
  </conditionalFormatting>
  <conditionalFormatting sqref="I3:L3">
    <cfRule type="cellIs" dxfId="49" priority="1" operator="greaterThanOrEqual">
      <formula>0</formula>
    </cfRule>
    <cfRule type="cellIs" dxfId="48"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0" zoomScaleNormal="70" workbookViewId="0">
      <selection activeCell="A18" sqref="A18:A19"/>
    </sheetView>
  </sheetViews>
  <sheetFormatPr defaultRowHeight="15.6" x14ac:dyDescent="0.3"/>
  <cols>
    <col min="1" max="1" width="39.33203125" style="16" customWidth="1"/>
    <col min="2" max="2" width="14.88671875" style="16" bestFit="1" customWidth="1"/>
    <col min="3" max="3" width="64.109375" style="16" customWidth="1"/>
    <col min="4" max="4" width="13.77734375" style="16" customWidth="1"/>
    <col min="5" max="5" width="15.44140625" style="16" customWidth="1"/>
    <col min="6" max="6" width="18.88671875" style="16" customWidth="1"/>
    <col min="7" max="7" width="12.88671875" style="16" customWidth="1"/>
    <col min="8" max="8" width="1.77734375" style="16" customWidth="1"/>
    <col min="9" max="9" width="16" style="16" customWidth="1"/>
    <col min="10" max="10" width="18.33203125" style="16" customWidth="1"/>
    <col min="11" max="11" width="17.44140625" style="16" customWidth="1"/>
    <col min="12" max="12" width="16.88671875" style="16" customWidth="1"/>
    <col min="13" max="13" width="1.77734375" style="16" customWidth="1"/>
    <col min="14" max="14" width="18.44140625" style="16" customWidth="1"/>
    <col min="15" max="15" width="20.109375" style="16" customWidth="1"/>
    <col min="16" max="16" width="1.77734375" style="16" customWidth="1"/>
    <col min="17" max="17" width="8.88671875" style="16"/>
    <col min="18" max="18" width="12.6640625" style="16" customWidth="1"/>
    <col min="19" max="19" width="10.88671875" style="16" bestFit="1"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2" t="s">
        <v>110</v>
      </c>
      <c r="J2" s="24" t="s">
        <v>129</v>
      </c>
      <c r="K2" s="24" t="s">
        <v>111</v>
      </c>
      <c r="L2" s="24" t="s">
        <v>130</v>
      </c>
      <c r="M2" s="30"/>
      <c r="N2" s="24" t="s">
        <v>131</v>
      </c>
      <c r="O2" s="24" t="s">
        <v>132</v>
      </c>
      <c r="Q2" s="24" t="s">
        <v>140</v>
      </c>
      <c r="R2" s="24" t="s">
        <v>141</v>
      </c>
      <c r="S2" s="24" t="s">
        <v>142</v>
      </c>
    </row>
    <row r="3" spans="1:21" ht="28.95" customHeight="1" x14ac:dyDescent="0.3">
      <c r="A3" s="70" t="s">
        <v>56</v>
      </c>
      <c r="B3" s="70"/>
      <c r="C3" s="70"/>
      <c r="D3" s="43"/>
      <c r="E3" s="43"/>
      <c r="F3" s="44"/>
      <c r="G3" s="68" t="s">
        <v>113</v>
      </c>
      <c r="H3" s="44"/>
      <c r="I3" s="65">
        <v>-17.281712045141063</v>
      </c>
      <c r="J3" s="65">
        <v>1.6454496206857807</v>
      </c>
      <c r="K3" s="65">
        <v>-18.608938196665779</v>
      </c>
      <c r="L3" s="65">
        <v>2.0249217497082355</v>
      </c>
      <c r="M3" s="44"/>
      <c r="N3" s="44"/>
      <c r="O3" s="44"/>
    </row>
    <row r="4" spans="1:21" customFormat="1" ht="14.4" x14ac:dyDescent="0.3">
      <c r="A4" s="32" t="s">
        <v>36</v>
      </c>
      <c r="B4" s="32" t="s">
        <v>14</v>
      </c>
      <c r="C4" s="32" t="s">
        <v>57</v>
      </c>
      <c r="D4" s="64" t="s">
        <v>128</v>
      </c>
      <c r="E4" s="34">
        <v>90</v>
      </c>
      <c r="F4" s="33">
        <v>47.213261645800003</v>
      </c>
      <c r="G4" s="35">
        <v>26173</v>
      </c>
      <c r="H4" s="22"/>
      <c r="I4" s="36">
        <v>-17.542861785975461</v>
      </c>
      <c r="J4" s="36">
        <v>1.4799999999999924</v>
      </c>
      <c r="K4" s="36">
        <v>-18.251079706811126</v>
      </c>
      <c r="L4" s="36">
        <v>1.8164000000000069</v>
      </c>
      <c r="M4" s="22"/>
      <c r="N4" s="36">
        <v>15.553360856443591</v>
      </c>
      <c r="O4" s="36">
        <v>16.985190614186223</v>
      </c>
      <c r="Q4" s="33">
        <v>0.78</v>
      </c>
      <c r="R4" s="33">
        <v>1.5</v>
      </c>
      <c r="S4" s="33" t="s">
        <v>139</v>
      </c>
      <c r="T4" s="56"/>
      <c r="U4" s="56"/>
    </row>
    <row r="5" spans="1:21" customFormat="1" ht="14.4" x14ac:dyDescent="0.3">
      <c r="A5" s="32" t="s">
        <v>123</v>
      </c>
      <c r="B5" s="32" t="s">
        <v>12</v>
      </c>
      <c r="C5" s="32" t="s">
        <v>58</v>
      </c>
      <c r="D5" s="64" t="s">
        <v>128</v>
      </c>
      <c r="E5" s="34">
        <v>97</v>
      </c>
      <c r="F5" s="33">
        <v>92.204876354000007</v>
      </c>
      <c r="G5" s="35">
        <v>41287</v>
      </c>
      <c r="H5" s="22"/>
      <c r="I5" s="36">
        <v>-17.628756243347254</v>
      </c>
      <c r="J5" s="36">
        <v>0.60000000000000053</v>
      </c>
      <c r="K5" s="36">
        <v>-20.032072804947465</v>
      </c>
      <c r="L5" s="36">
        <v>3.2199999999993345E-2</v>
      </c>
      <c r="M5" s="22"/>
      <c r="N5" s="36">
        <v>15.639511428062866</v>
      </c>
      <c r="O5" s="36">
        <v>18.033285777439996</v>
      </c>
      <c r="Q5" s="33">
        <v>0.79</v>
      </c>
      <c r="R5" s="33" t="s">
        <v>139</v>
      </c>
      <c r="S5" s="33">
        <v>1.0900000000000001</v>
      </c>
      <c r="T5" s="56"/>
      <c r="U5" s="56"/>
    </row>
    <row r="6" spans="1:21" customFormat="1" ht="14.4" x14ac:dyDescent="0.3">
      <c r="A6" s="32" t="s">
        <v>122</v>
      </c>
      <c r="B6" s="32" t="s">
        <v>11</v>
      </c>
      <c r="C6" s="32" t="s">
        <v>59</v>
      </c>
      <c r="D6" s="64" t="s">
        <v>128</v>
      </c>
      <c r="E6" s="34">
        <v>98</v>
      </c>
      <c r="F6" s="33">
        <v>139.61097594999998</v>
      </c>
      <c r="G6" s="35">
        <v>69279</v>
      </c>
      <c r="H6" s="22"/>
      <c r="I6" s="36">
        <v>-17.896262886597935</v>
      </c>
      <c r="J6" s="36">
        <v>1.9400000000000084</v>
      </c>
      <c r="K6" s="36">
        <v>-19.09758914553057</v>
      </c>
      <c r="L6" s="36">
        <v>2.1290999999999949</v>
      </c>
      <c r="M6" s="22"/>
      <c r="N6" s="36">
        <v>16.552635835539601</v>
      </c>
      <c r="O6" s="36">
        <v>17.590209510595731</v>
      </c>
      <c r="Q6" s="33">
        <v>0.79</v>
      </c>
      <c r="R6" s="33">
        <v>1.23</v>
      </c>
      <c r="S6" s="33" t="s">
        <v>139</v>
      </c>
      <c r="T6" s="56"/>
      <c r="U6" s="56"/>
    </row>
    <row r="7" spans="1:21" customFormat="1" ht="14.4" x14ac:dyDescent="0.3">
      <c r="A7" s="32" t="s">
        <v>124</v>
      </c>
      <c r="B7" s="32" t="s">
        <v>13</v>
      </c>
      <c r="C7" s="32" t="s">
        <v>104</v>
      </c>
      <c r="D7" s="64" t="s">
        <v>128</v>
      </c>
      <c r="E7" s="34">
        <v>90</v>
      </c>
      <c r="F7" s="33">
        <v>186.79752865</v>
      </c>
      <c r="G7" s="35">
        <v>104736</v>
      </c>
      <c r="H7" s="22"/>
      <c r="I7" s="36">
        <v>-16.758287522905214</v>
      </c>
      <c r="J7" s="36">
        <v>3.1905007743933789</v>
      </c>
      <c r="K7" s="36">
        <v>-17.740847358546997</v>
      </c>
      <c r="L7" s="36">
        <v>2.8485621740603984</v>
      </c>
      <c r="M7" s="22"/>
      <c r="N7" s="36">
        <v>15.336042136049416</v>
      </c>
      <c r="O7" s="36">
        <v>16.252109322914034</v>
      </c>
      <c r="Q7" s="33">
        <v>0.75</v>
      </c>
      <c r="R7" s="33">
        <v>0.92930000000000001</v>
      </c>
      <c r="S7" s="33" t="s">
        <v>139</v>
      </c>
      <c r="T7" s="56"/>
      <c r="U7" s="56"/>
    </row>
    <row r="8" spans="1:21" customFormat="1" ht="14.4" x14ac:dyDescent="0.3">
      <c r="A8" s="32" t="s">
        <v>37</v>
      </c>
      <c r="B8" s="32" t="s">
        <v>15</v>
      </c>
      <c r="C8" s="32" t="s">
        <v>60</v>
      </c>
      <c r="D8" s="64" t="s">
        <v>128</v>
      </c>
      <c r="E8" s="34">
        <v>90</v>
      </c>
      <c r="F8" s="33">
        <v>68.853824650000007</v>
      </c>
      <c r="G8" s="35">
        <v>43470</v>
      </c>
      <c r="H8" s="22"/>
      <c r="I8" s="36">
        <v>-16.811839323467236</v>
      </c>
      <c r="J8" s="36">
        <v>-1.6299999999999981</v>
      </c>
      <c r="K8" s="36">
        <v>-18.312831236053484</v>
      </c>
      <c r="L8" s="36">
        <v>2.3906999999999901</v>
      </c>
      <c r="M8" s="22"/>
      <c r="N8" s="36">
        <v>15.779749753532396</v>
      </c>
      <c r="O8" s="36">
        <v>17.533124571125459</v>
      </c>
      <c r="Q8" s="33">
        <v>0.79</v>
      </c>
      <c r="R8" s="33" t="s">
        <v>139</v>
      </c>
      <c r="S8" s="33">
        <v>1.52</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3.8" x14ac:dyDescent="0.3">
      <c r="A17" s="53" t="s">
        <v>138</v>
      </c>
    </row>
    <row r="18" spans="1:5" s="52" customFormat="1" ht="13.8" x14ac:dyDescent="0.3">
      <c r="A18" s="48" t="s">
        <v>144</v>
      </c>
    </row>
    <row r="19" spans="1:5" x14ac:dyDescent="0.3">
      <c r="A19" s="48" t="s">
        <v>145</v>
      </c>
    </row>
    <row r="20" spans="1:5" x14ac:dyDescent="0.3">
      <c r="A20" s="37" t="s">
        <v>133</v>
      </c>
      <c r="B20" s="37"/>
      <c r="C20" s="37"/>
      <c r="D20" s="37"/>
      <c r="E20" s="37"/>
    </row>
    <row r="21" spans="1:5" s="52" customFormat="1" ht="13.8" x14ac:dyDescent="0.3">
      <c r="A21" s="50" t="s">
        <v>116</v>
      </c>
      <c r="B21" s="51"/>
      <c r="C21" s="51"/>
    </row>
    <row r="22" spans="1:5" s="52" customFormat="1" ht="13.8" x14ac:dyDescent="0.3">
      <c r="A22" s="50" t="s">
        <v>117</v>
      </c>
      <c r="B22" s="51"/>
      <c r="C22" s="51"/>
    </row>
    <row r="23" spans="1:5" x14ac:dyDescent="0.3">
      <c r="A23" s="18"/>
      <c r="B23" s="18"/>
      <c r="C23" s="18"/>
    </row>
    <row r="30" spans="1:5" x14ac:dyDescent="0.3">
      <c r="A30" s="37" t="s">
        <v>0</v>
      </c>
      <c r="B30" s="37" t="s">
        <v>89</v>
      </c>
      <c r="C30" s="37" t="s">
        <v>88</v>
      </c>
    </row>
    <row r="31" spans="1:5" x14ac:dyDescent="0.3">
      <c r="A31" s="32" t="s">
        <v>14</v>
      </c>
      <c r="B31" s="33">
        <v>15.553360856443591</v>
      </c>
      <c r="C31" s="33">
        <v>1.4799999999999924</v>
      </c>
    </row>
    <row r="32" spans="1:5" x14ac:dyDescent="0.3">
      <c r="A32" s="32" t="s">
        <v>12</v>
      </c>
      <c r="B32" s="33">
        <v>15.639511428062866</v>
      </c>
      <c r="C32" s="33">
        <v>0.60000000000000053</v>
      </c>
    </row>
    <row r="33" spans="1:3" x14ac:dyDescent="0.3">
      <c r="A33" s="32" t="s">
        <v>11</v>
      </c>
      <c r="B33" s="33">
        <v>16.552635835539601</v>
      </c>
      <c r="C33" s="33">
        <v>1.9400000000000084</v>
      </c>
    </row>
    <row r="34" spans="1:3" x14ac:dyDescent="0.3">
      <c r="A34" s="32" t="s">
        <v>13</v>
      </c>
      <c r="B34" s="33">
        <v>15.336042136049416</v>
      </c>
      <c r="C34" s="33">
        <v>3.1905007743933789</v>
      </c>
    </row>
    <row r="35" spans="1:3" x14ac:dyDescent="0.3">
      <c r="A35" s="32" t="s">
        <v>15</v>
      </c>
      <c r="B35" s="33">
        <v>15.779749753532396</v>
      </c>
      <c r="C35" s="33">
        <v>-1.6299999999999981</v>
      </c>
    </row>
    <row r="52" spans="1:5" x14ac:dyDescent="0.3">
      <c r="A52" s="37" t="s">
        <v>134</v>
      </c>
      <c r="B52" s="37"/>
      <c r="C52" s="37"/>
      <c r="D52" s="37"/>
      <c r="E52" s="37"/>
    </row>
    <row r="53" spans="1:5" s="52" customFormat="1" ht="13.8" x14ac:dyDescent="0.3">
      <c r="A53" s="50" t="s">
        <v>118</v>
      </c>
      <c r="B53" s="51"/>
      <c r="C53" s="51"/>
    </row>
    <row r="54" spans="1:5" s="52" customFormat="1" ht="13.8" x14ac:dyDescent="0.3">
      <c r="A54" s="50" t="s">
        <v>119</v>
      </c>
      <c r="B54" s="51"/>
      <c r="C54" s="51"/>
    </row>
    <row r="55" spans="1:5" s="52" customFormat="1" ht="13.8" x14ac:dyDescent="0.3">
      <c r="A55" s="50" t="s">
        <v>120</v>
      </c>
      <c r="B55" s="51"/>
      <c r="C55" s="51"/>
    </row>
    <row r="60" spans="1:5" x14ac:dyDescent="0.3">
      <c r="A60" s="37" t="s">
        <v>0</v>
      </c>
      <c r="B60" s="37" t="s">
        <v>94</v>
      </c>
      <c r="C60" s="37" t="s">
        <v>95</v>
      </c>
      <c r="D60" s="37" t="s">
        <v>96</v>
      </c>
    </row>
    <row r="61" spans="1:5" x14ac:dyDescent="0.3">
      <c r="A61" s="32" t="s">
        <v>14</v>
      </c>
      <c r="B61" s="33">
        <v>26.172999999999998</v>
      </c>
      <c r="C61" s="33">
        <v>1.4799999999999924</v>
      </c>
      <c r="D61" s="33">
        <v>47.213261645800003</v>
      </c>
    </row>
    <row r="62" spans="1:5" x14ac:dyDescent="0.3">
      <c r="A62" s="32" t="s">
        <v>12</v>
      </c>
      <c r="B62" s="33">
        <v>41.286999999999999</v>
      </c>
      <c r="C62" s="33">
        <v>0.60000000000000053</v>
      </c>
      <c r="D62" s="33">
        <v>92.204876354000007</v>
      </c>
    </row>
    <row r="63" spans="1:5" x14ac:dyDescent="0.3">
      <c r="A63" s="32" t="s">
        <v>11</v>
      </c>
      <c r="B63" s="33">
        <v>69.278999999999996</v>
      </c>
      <c r="C63" s="33">
        <v>1.9400000000000084</v>
      </c>
      <c r="D63" s="33">
        <v>139.61097594999998</v>
      </c>
    </row>
    <row r="64" spans="1:5" x14ac:dyDescent="0.3">
      <c r="A64" s="32" t="s">
        <v>13</v>
      </c>
      <c r="B64" s="33">
        <v>104.736</v>
      </c>
      <c r="C64" s="33">
        <v>3.1905007743933789</v>
      </c>
      <c r="D64" s="33">
        <v>186.79752865</v>
      </c>
    </row>
    <row r="65" spans="1:4" x14ac:dyDescent="0.3">
      <c r="A65" s="32" t="s">
        <v>15</v>
      </c>
      <c r="B65" s="33">
        <v>43.47</v>
      </c>
      <c r="C65" s="33">
        <v>-1.6299999999999981</v>
      </c>
      <c r="D65" s="33">
        <v>68.853824650000007</v>
      </c>
    </row>
  </sheetData>
  <mergeCells count="7">
    <mergeCell ref="Q1:S1"/>
    <mergeCell ref="N1:O1"/>
    <mergeCell ref="A3:C3"/>
    <mergeCell ref="D1:D2"/>
    <mergeCell ref="F1:F2"/>
    <mergeCell ref="G1:G2"/>
    <mergeCell ref="I1:L1"/>
  </mergeCells>
  <conditionalFormatting sqref="N4:O8">
    <cfRule type="cellIs" dxfId="47" priority="11" operator="greaterThanOrEqual">
      <formula>0</formula>
    </cfRule>
    <cfRule type="cellIs" dxfId="46" priority="12" operator="lessThan">
      <formula>0</formula>
    </cfRule>
  </conditionalFormatting>
  <conditionalFormatting sqref="I4:I8">
    <cfRule type="cellIs" dxfId="45" priority="9" operator="greaterThanOrEqual">
      <formula>0</formula>
    </cfRule>
    <cfRule type="cellIs" dxfId="44" priority="10" operator="lessThan">
      <formula>0</formula>
    </cfRule>
  </conditionalFormatting>
  <conditionalFormatting sqref="J4:L8">
    <cfRule type="cellIs" dxfId="43" priority="7" operator="greaterThanOrEqual">
      <formula>0</formula>
    </cfRule>
    <cfRule type="cellIs" dxfId="42" priority="8" operator="lessThan">
      <formula>0</formula>
    </cfRule>
  </conditionalFormatting>
  <conditionalFormatting sqref="I3:L3">
    <cfRule type="cellIs" dxfId="41" priority="1" operator="greaterThanOrEqual">
      <formula>0</formula>
    </cfRule>
    <cfRule type="cellIs" dxfId="4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0" zoomScaleNormal="70" workbookViewId="0">
      <selection activeCell="A18" sqref="A18:A19"/>
    </sheetView>
  </sheetViews>
  <sheetFormatPr defaultRowHeight="15.6" x14ac:dyDescent="0.3"/>
  <cols>
    <col min="1" max="1" width="39.21875" style="16" customWidth="1"/>
    <col min="2" max="2" width="14.88671875" style="16" bestFit="1" customWidth="1"/>
    <col min="3" max="3" width="64.33203125" style="16" customWidth="1"/>
    <col min="4" max="4" width="13.44140625" style="16" customWidth="1"/>
    <col min="5" max="5" width="15.109375" style="16" customWidth="1"/>
    <col min="6" max="6" width="13" style="16" customWidth="1"/>
    <col min="7" max="7" width="11.88671875" style="16" customWidth="1"/>
    <col min="8" max="8" width="1.33203125" style="16" customWidth="1"/>
    <col min="9" max="9" width="18.44140625" style="16" customWidth="1"/>
    <col min="10" max="10" width="17.44140625" style="16" customWidth="1"/>
    <col min="11" max="11" width="18.44140625" style="16" customWidth="1"/>
    <col min="12" max="12" width="17.33203125" style="16" customWidth="1"/>
    <col min="13" max="13" width="1.33203125" style="16" customWidth="1"/>
    <col min="14" max="14" width="18.44140625" style="16" customWidth="1"/>
    <col min="15" max="15" width="18.21875" style="16" customWidth="1"/>
    <col min="16" max="16" width="1.33203125" style="16" customWidth="1"/>
    <col min="17" max="17" width="8.88671875" style="16"/>
    <col min="18" max="18" width="13.109375" style="16" customWidth="1"/>
    <col min="19" max="19" width="10.88671875" style="16" bestFit="1"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2" t="s">
        <v>110</v>
      </c>
      <c r="J2" s="24" t="s">
        <v>129</v>
      </c>
      <c r="K2" s="24" t="s">
        <v>111</v>
      </c>
      <c r="L2" s="24" t="s">
        <v>130</v>
      </c>
      <c r="M2" s="30"/>
      <c r="N2" s="24" t="s">
        <v>131</v>
      </c>
      <c r="O2" s="24" t="s">
        <v>132</v>
      </c>
      <c r="Q2" s="24" t="s">
        <v>140</v>
      </c>
      <c r="R2" s="24" t="s">
        <v>141</v>
      </c>
      <c r="S2" s="24" t="s">
        <v>142</v>
      </c>
    </row>
    <row r="3" spans="1:21" ht="28.95" customHeight="1" x14ac:dyDescent="0.3">
      <c r="A3" s="70" t="s">
        <v>61</v>
      </c>
      <c r="B3" s="70"/>
      <c r="C3" s="70"/>
      <c r="D3" s="43"/>
      <c r="E3" s="43"/>
      <c r="F3" s="44"/>
      <c r="G3" s="68" t="s">
        <v>113</v>
      </c>
      <c r="H3" s="44"/>
      <c r="I3" s="65">
        <v>-17.324923871492505</v>
      </c>
      <c r="J3" s="65">
        <v>2.2696049768716318</v>
      </c>
      <c r="K3" s="65">
        <v>-18.567373635947501</v>
      </c>
      <c r="L3" s="65">
        <v>2.8783885620574523</v>
      </c>
      <c r="M3" s="44"/>
      <c r="N3" s="44"/>
      <c r="O3" s="44"/>
    </row>
    <row r="4" spans="1:21" customFormat="1" ht="14.4" x14ac:dyDescent="0.3">
      <c r="A4" s="32" t="s">
        <v>36</v>
      </c>
      <c r="B4" s="32" t="s">
        <v>19</v>
      </c>
      <c r="C4" s="32" t="s">
        <v>62</v>
      </c>
      <c r="D4" s="64" t="s">
        <v>128</v>
      </c>
      <c r="E4" s="34">
        <v>90</v>
      </c>
      <c r="F4" s="33">
        <v>64.193252618399995</v>
      </c>
      <c r="G4" s="35">
        <v>22157</v>
      </c>
      <c r="H4" s="22"/>
      <c r="I4" s="36">
        <v>-17.538712306438477</v>
      </c>
      <c r="J4" s="36">
        <v>1.1800000000000033</v>
      </c>
      <c r="K4" s="36">
        <v>-18.251079706811126</v>
      </c>
      <c r="L4" s="36">
        <v>1.8164000000000069</v>
      </c>
      <c r="M4" s="23"/>
      <c r="N4" s="36">
        <v>15.429699252433792</v>
      </c>
      <c r="O4" s="36">
        <v>16.985190614186223</v>
      </c>
      <c r="Q4" s="33">
        <v>0.78</v>
      </c>
      <c r="R4" s="33">
        <v>1.51</v>
      </c>
      <c r="S4" s="33" t="s">
        <v>139</v>
      </c>
      <c r="T4" s="56"/>
      <c r="U4" s="56"/>
    </row>
    <row r="5" spans="1:21" customFormat="1" ht="14.4" x14ac:dyDescent="0.3">
      <c r="A5" s="32" t="s">
        <v>123</v>
      </c>
      <c r="B5" s="32" t="s">
        <v>17</v>
      </c>
      <c r="C5" s="32" t="s">
        <v>63</v>
      </c>
      <c r="D5" s="64" t="s">
        <v>128</v>
      </c>
      <c r="E5" s="34">
        <v>97</v>
      </c>
      <c r="F5" s="33">
        <v>107.7701128292</v>
      </c>
      <c r="G5" s="35">
        <v>26979</v>
      </c>
      <c r="H5" s="22"/>
      <c r="I5" s="36">
        <v>-17.636037797328108</v>
      </c>
      <c r="J5" s="36">
        <v>1.110000000000011</v>
      </c>
      <c r="K5" s="36">
        <v>-20.032072804947465</v>
      </c>
      <c r="L5" s="36">
        <v>3.2199999999993345E-2</v>
      </c>
      <c r="M5" s="23"/>
      <c r="N5" s="36">
        <v>15.801469212419628</v>
      </c>
      <c r="O5" s="36">
        <v>18.033285777439996</v>
      </c>
      <c r="Q5" s="33">
        <v>0.79</v>
      </c>
      <c r="R5" s="33" t="s">
        <v>139</v>
      </c>
      <c r="S5" s="33">
        <v>1.0900000000000001</v>
      </c>
      <c r="T5" s="56"/>
      <c r="U5" s="56"/>
    </row>
    <row r="6" spans="1:21" customFormat="1" ht="14.4" x14ac:dyDescent="0.3">
      <c r="A6" s="32" t="s">
        <v>122</v>
      </c>
      <c r="B6" s="32" t="s">
        <v>16</v>
      </c>
      <c r="C6" s="32" t="s">
        <v>64</v>
      </c>
      <c r="D6" s="64" t="s">
        <v>128</v>
      </c>
      <c r="E6" s="34">
        <v>98</v>
      </c>
      <c r="F6" s="33">
        <v>202.4987744</v>
      </c>
      <c r="G6" s="35">
        <v>60888</v>
      </c>
      <c r="H6" s="22"/>
      <c r="I6" s="36">
        <v>-17.903620159318567</v>
      </c>
      <c r="J6" s="36">
        <v>4.0899999999999936</v>
      </c>
      <c r="K6" s="36">
        <v>-19.09783728432749</v>
      </c>
      <c r="L6" s="36">
        <v>4.9995999999999929</v>
      </c>
      <c r="M6" s="23"/>
      <c r="N6" s="36">
        <v>17.28432824805229</v>
      </c>
      <c r="O6" s="36">
        <v>18.564176401778546</v>
      </c>
      <c r="Q6" s="33">
        <v>0.79</v>
      </c>
      <c r="R6" s="33">
        <v>1.24</v>
      </c>
      <c r="S6" s="33" t="s">
        <v>139</v>
      </c>
      <c r="T6" s="56"/>
      <c r="U6" s="56"/>
    </row>
    <row r="7" spans="1:21" customFormat="1" ht="14.4" x14ac:dyDescent="0.3">
      <c r="A7" s="32" t="s">
        <v>124</v>
      </c>
      <c r="B7" s="32" t="s">
        <v>18</v>
      </c>
      <c r="C7" s="32" t="s">
        <v>103</v>
      </c>
      <c r="D7" s="64" t="s">
        <v>128</v>
      </c>
      <c r="E7" s="34">
        <v>90</v>
      </c>
      <c r="F7" s="33">
        <v>266.90443586999999</v>
      </c>
      <c r="G7" s="35">
        <v>96794</v>
      </c>
      <c r="H7" s="22"/>
      <c r="I7" s="36">
        <v>-16.818295634755021</v>
      </c>
      <c r="J7" s="36">
        <v>3.1677018633540444</v>
      </c>
      <c r="K7" s="36">
        <v>-17.740847358546997</v>
      </c>
      <c r="L7" s="36">
        <v>2.8485621740603984</v>
      </c>
      <c r="M7" s="23"/>
      <c r="N7" s="36">
        <v>15.389733457723477</v>
      </c>
      <c r="O7" s="36">
        <v>16.252109322914034</v>
      </c>
      <c r="Q7" s="33">
        <v>0.75</v>
      </c>
      <c r="R7" s="33">
        <v>0.92930000000000001</v>
      </c>
      <c r="S7" s="33" t="s">
        <v>139</v>
      </c>
      <c r="T7" s="56"/>
      <c r="U7" s="56"/>
    </row>
    <row r="8" spans="1:21" customFormat="1" ht="14.4" x14ac:dyDescent="0.3">
      <c r="A8" s="32" t="s">
        <v>37</v>
      </c>
      <c r="B8" s="32" t="s">
        <v>20</v>
      </c>
      <c r="C8" s="32" t="s">
        <v>65</v>
      </c>
      <c r="D8" s="64" t="s">
        <v>128</v>
      </c>
      <c r="E8" s="34">
        <v>90</v>
      </c>
      <c r="F8" s="33">
        <v>95.707306439999996</v>
      </c>
      <c r="G8" s="35">
        <v>39061</v>
      </c>
      <c r="H8" s="22"/>
      <c r="I8" s="36">
        <v>-17.019654354456105</v>
      </c>
      <c r="J8" s="36">
        <v>-2.0499999999999963</v>
      </c>
      <c r="K8" s="36">
        <v>-18.312831236053484</v>
      </c>
      <c r="L8" s="36">
        <v>2.3906999999999901</v>
      </c>
      <c r="M8" s="23"/>
      <c r="N8" s="36">
        <v>15.890148457276704</v>
      </c>
      <c r="O8" s="36">
        <v>17.533124571125459</v>
      </c>
      <c r="Q8" s="33">
        <v>0.79</v>
      </c>
      <c r="R8" s="33" t="s">
        <v>139</v>
      </c>
      <c r="S8" s="33">
        <v>1.52</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3.8" x14ac:dyDescent="0.3">
      <c r="A17" s="53" t="s">
        <v>138</v>
      </c>
    </row>
    <row r="18" spans="1:5" s="52" customFormat="1" ht="13.8" x14ac:dyDescent="0.3">
      <c r="A18" s="48" t="s">
        <v>144</v>
      </c>
    </row>
    <row r="19" spans="1:5" x14ac:dyDescent="0.3">
      <c r="A19" s="48" t="s">
        <v>145</v>
      </c>
    </row>
    <row r="20" spans="1:5" x14ac:dyDescent="0.3">
      <c r="A20" s="37" t="s">
        <v>133</v>
      </c>
      <c r="B20" s="37"/>
      <c r="C20" s="37"/>
      <c r="D20" s="37"/>
      <c r="E20" s="37"/>
    </row>
    <row r="21" spans="1:5" s="52" customFormat="1" ht="13.8" x14ac:dyDescent="0.3">
      <c r="A21" s="50" t="s">
        <v>116</v>
      </c>
      <c r="B21" s="51"/>
      <c r="C21" s="51"/>
    </row>
    <row r="22" spans="1:5" s="52" customFormat="1" ht="13.8" x14ac:dyDescent="0.3">
      <c r="A22" s="50" t="s">
        <v>117</v>
      </c>
      <c r="B22" s="51"/>
      <c r="C22" s="51"/>
    </row>
    <row r="23" spans="1:5" x14ac:dyDescent="0.3">
      <c r="A23" s="18"/>
      <c r="B23" s="18"/>
      <c r="C23" s="18"/>
    </row>
    <row r="30" spans="1:5" x14ac:dyDescent="0.3">
      <c r="A30" s="37" t="s">
        <v>0</v>
      </c>
      <c r="B30" s="37" t="s">
        <v>89</v>
      </c>
      <c r="C30" s="37" t="s">
        <v>88</v>
      </c>
    </row>
    <row r="31" spans="1:5" x14ac:dyDescent="0.3">
      <c r="A31" s="32" t="s">
        <v>19</v>
      </c>
      <c r="B31" s="33">
        <v>15.429699252433792</v>
      </c>
      <c r="C31" s="33">
        <v>1.1800000000000033</v>
      </c>
    </row>
    <row r="32" spans="1:5" x14ac:dyDescent="0.3">
      <c r="A32" s="32" t="s">
        <v>17</v>
      </c>
      <c r="B32" s="33">
        <v>15.801469212419628</v>
      </c>
      <c r="C32" s="33">
        <v>1.110000000000011</v>
      </c>
    </row>
    <row r="33" spans="1:3" x14ac:dyDescent="0.3">
      <c r="A33" s="32" t="s">
        <v>16</v>
      </c>
      <c r="B33" s="33">
        <v>17.28432824805229</v>
      </c>
      <c r="C33" s="33">
        <v>4.0899999999999936</v>
      </c>
    </row>
    <row r="34" spans="1:3" x14ac:dyDescent="0.3">
      <c r="A34" s="32" t="s">
        <v>18</v>
      </c>
      <c r="B34" s="33">
        <v>15.389733457723477</v>
      </c>
      <c r="C34" s="33">
        <v>3.1677018633540444</v>
      </c>
    </row>
    <row r="35" spans="1:3" x14ac:dyDescent="0.3">
      <c r="A35" s="32" t="s">
        <v>20</v>
      </c>
      <c r="B35" s="33">
        <v>15.890148457276704</v>
      </c>
      <c r="C35" s="33">
        <v>-2.0499999999999963</v>
      </c>
    </row>
    <row r="52" spans="1:5" x14ac:dyDescent="0.3">
      <c r="A52" s="37" t="s">
        <v>134</v>
      </c>
      <c r="B52" s="37"/>
      <c r="C52" s="37"/>
      <c r="D52" s="37"/>
      <c r="E52" s="37"/>
    </row>
    <row r="53" spans="1:5" s="52" customFormat="1" ht="13.8" x14ac:dyDescent="0.3">
      <c r="A53" s="50" t="s">
        <v>118</v>
      </c>
      <c r="B53" s="51"/>
      <c r="C53" s="51"/>
    </row>
    <row r="54" spans="1:5" s="52" customFormat="1" ht="13.8" x14ac:dyDescent="0.3">
      <c r="A54" s="50" t="s">
        <v>119</v>
      </c>
      <c r="B54" s="51"/>
      <c r="C54" s="51"/>
    </row>
    <row r="55" spans="1:5" s="52" customFormat="1" ht="13.8" x14ac:dyDescent="0.3">
      <c r="A55" s="50" t="s">
        <v>120</v>
      </c>
      <c r="B55" s="51"/>
      <c r="C55" s="51"/>
    </row>
    <row r="60" spans="1:5" x14ac:dyDescent="0.3">
      <c r="A60" s="37" t="s">
        <v>0</v>
      </c>
      <c r="B60" s="37" t="s">
        <v>94</v>
      </c>
      <c r="C60" s="37" t="s">
        <v>95</v>
      </c>
      <c r="D60" s="37" t="s">
        <v>96</v>
      </c>
    </row>
    <row r="61" spans="1:5" x14ac:dyDescent="0.3">
      <c r="A61" s="32" t="s">
        <v>17</v>
      </c>
      <c r="B61" s="33">
        <v>26.978999999999999</v>
      </c>
      <c r="C61" s="33">
        <v>1.110000000000011</v>
      </c>
      <c r="D61" s="33">
        <v>107.7701128292</v>
      </c>
    </row>
    <row r="62" spans="1:5" x14ac:dyDescent="0.3">
      <c r="A62" s="32" t="s">
        <v>19</v>
      </c>
      <c r="B62" s="33">
        <v>22.157</v>
      </c>
      <c r="C62" s="33">
        <v>1.1800000000000033</v>
      </c>
      <c r="D62" s="33">
        <v>64.193252618399995</v>
      </c>
    </row>
    <row r="63" spans="1:5" x14ac:dyDescent="0.3">
      <c r="A63" s="32" t="s">
        <v>16</v>
      </c>
      <c r="B63" s="33">
        <v>60.887999999999998</v>
      </c>
      <c r="C63" s="33">
        <v>4.0899999999999936</v>
      </c>
      <c r="D63" s="33">
        <v>202.4987744</v>
      </c>
    </row>
    <row r="64" spans="1:5" x14ac:dyDescent="0.3">
      <c r="A64" s="32" t="s">
        <v>18</v>
      </c>
      <c r="B64" s="33">
        <v>96.793999999999997</v>
      </c>
      <c r="C64" s="33">
        <v>3.1677018633540444</v>
      </c>
      <c r="D64" s="33">
        <v>266.90443586999999</v>
      </c>
    </row>
    <row r="65" spans="1:4" x14ac:dyDescent="0.3">
      <c r="A65" s="32" t="s">
        <v>20</v>
      </c>
      <c r="B65" s="33">
        <v>39.061</v>
      </c>
      <c r="C65" s="33">
        <v>-2.0499999999999963</v>
      </c>
      <c r="D65" s="33">
        <v>95.707306439999996</v>
      </c>
    </row>
  </sheetData>
  <mergeCells count="7">
    <mergeCell ref="Q1:S1"/>
    <mergeCell ref="N1:O1"/>
    <mergeCell ref="A3:C3"/>
    <mergeCell ref="D1:D2"/>
    <mergeCell ref="F1:F2"/>
    <mergeCell ref="G1:G2"/>
    <mergeCell ref="I1:L1"/>
  </mergeCells>
  <conditionalFormatting sqref="N4:O8">
    <cfRule type="cellIs" dxfId="39" priority="11" operator="greaterThanOrEqual">
      <formula>0</formula>
    </cfRule>
    <cfRule type="cellIs" dxfId="38" priority="12" operator="lessThan">
      <formula>0</formula>
    </cfRule>
  </conditionalFormatting>
  <conditionalFormatting sqref="I4:I8">
    <cfRule type="cellIs" dxfId="37" priority="9" operator="greaterThanOrEqual">
      <formula>0</formula>
    </cfRule>
    <cfRule type="cellIs" dxfId="36" priority="10" operator="lessThan">
      <formula>0</formula>
    </cfRule>
  </conditionalFormatting>
  <conditionalFormatting sqref="J4:L8">
    <cfRule type="cellIs" dxfId="35" priority="7" operator="greaterThanOrEqual">
      <formula>0</formula>
    </cfRule>
    <cfRule type="cellIs" dxfId="34" priority="8" operator="lessThan">
      <formula>0</formula>
    </cfRule>
  </conditionalFormatting>
  <conditionalFormatting sqref="I3:L3">
    <cfRule type="cellIs" dxfId="33" priority="1" operator="greaterThanOrEqual">
      <formula>0</formula>
    </cfRule>
    <cfRule type="cellIs" dxfId="32"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0" zoomScaleNormal="70" workbookViewId="0">
      <selection activeCell="A18" sqref="A18:A19"/>
    </sheetView>
  </sheetViews>
  <sheetFormatPr defaultRowHeight="15.6" x14ac:dyDescent="0.3"/>
  <cols>
    <col min="1" max="1" width="39" style="16" customWidth="1"/>
    <col min="2" max="2" width="14.88671875" style="16" bestFit="1" customWidth="1"/>
    <col min="3" max="3" width="64.88671875" style="16" customWidth="1"/>
    <col min="4" max="4" width="13.44140625" style="16" customWidth="1"/>
    <col min="5" max="5" width="17.5546875" style="16" customWidth="1"/>
    <col min="6" max="6" width="17" style="16" customWidth="1"/>
    <col min="7" max="7" width="13.33203125" style="16" customWidth="1"/>
    <col min="8" max="8" width="1.109375" style="16" customWidth="1"/>
    <col min="9" max="9" width="16.77734375" style="16" customWidth="1"/>
    <col min="10" max="10" width="17" style="16" customWidth="1"/>
    <col min="11" max="11" width="18.77734375" style="16" customWidth="1"/>
    <col min="12" max="12" width="15.44140625" style="16" customWidth="1"/>
    <col min="13" max="13" width="1.109375" style="16" customWidth="1"/>
    <col min="14" max="14" width="17.88671875" style="16" customWidth="1"/>
    <col min="15" max="15" width="16.33203125" style="16" customWidth="1"/>
    <col min="16" max="16" width="1.109375" style="16" customWidth="1"/>
    <col min="17" max="17" width="8.88671875" style="16"/>
    <col min="18" max="18" width="12.33203125" style="16" customWidth="1"/>
    <col min="19" max="19" width="11.88671875" style="16"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2" t="s">
        <v>110</v>
      </c>
      <c r="J2" s="24" t="s">
        <v>129</v>
      </c>
      <c r="K2" s="24" t="s">
        <v>111</v>
      </c>
      <c r="L2" s="24" t="s">
        <v>130</v>
      </c>
      <c r="M2" s="30"/>
      <c r="N2" s="24" t="s">
        <v>131</v>
      </c>
      <c r="O2" s="24" t="s">
        <v>132</v>
      </c>
      <c r="Q2" s="24" t="s">
        <v>140</v>
      </c>
      <c r="R2" s="24" t="s">
        <v>141</v>
      </c>
      <c r="S2" s="24" t="s">
        <v>142</v>
      </c>
    </row>
    <row r="3" spans="1:21" ht="28.95" customHeight="1" x14ac:dyDescent="0.3">
      <c r="A3" s="70" t="s">
        <v>66</v>
      </c>
      <c r="B3" s="70"/>
      <c r="C3" s="70"/>
      <c r="D3" s="43"/>
      <c r="E3" s="43"/>
      <c r="F3" s="44"/>
      <c r="G3" s="68" t="s">
        <v>113</v>
      </c>
      <c r="H3" s="44"/>
      <c r="I3" s="65">
        <v>-16.671834616522926</v>
      </c>
      <c r="J3" s="65">
        <v>1.9641704261927548</v>
      </c>
      <c r="K3" s="65">
        <v>-17.482446928243437</v>
      </c>
      <c r="L3" s="65">
        <v>2.8673221826808866</v>
      </c>
      <c r="M3" s="44"/>
      <c r="N3" s="44"/>
      <c r="O3" s="44"/>
    </row>
    <row r="4" spans="1:21" customFormat="1" ht="14.4" x14ac:dyDescent="0.3">
      <c r="A4" s="32" t="s">
        <v>36</v>
      </c>
      <c r="B4" s="32" t="s">
        <v>24</v>
      </c>
      <c r="C4" s="32" t="s">
        <v>67</v>
      </c>
      <c r="D4" s="64" t="s">
        <v>128</v>
      </c>
      <c r="E4" s="34">
        <v>90</v>
      </c>
      <c r="F4" s="33">
        <v>66.879017115500005</v>
      </c>
      <c r="G4" s="35">
        <v>20984</v>
      </c>
      <c r="H4" s="22"/>
      <c r="I4" s="36">
        <v>-17.630362501013707</v>
      </c>
      <c r="J4" s="36">
        <v>1.5700000000000047</v>
      </c>
      <c r="K4" s="36">
        <v>-18.251079706811126</v>
      </c>
      <c r="L4" s="36">
        <v>1.8164000000000069</v>
      </c>
      <c r="M4" s="23"/>
      <c r="N4" s="36">
        <v>15.575664541226523</v>
      </c>
      <c r="O4" s="36">
        <v>16.985190614186223</v>
      </c>
      <c r="Q4" s="33">
        <v>0.78</v>
      </c>
      <c r="R4" s="33">
        <v>1.56</v>
      </c>
      <c r="S4" s="33" t="s">
        <v>139</v>
      </c>
      <c r="T4" s="56"/>
      <c r="U4" s="56"/>
    </row>
    <row r="5" spans="1:21" customFormat="1" ht="14.4" x14ac:dyDescent="0.3">
      <c r="A5" s="32" t="s">
        <v>123</v>
      </c>
      <c r="B5" s="32" t="s">
        <v>22</v>
      </c>
      <c r="C5" s="32" t="s">
        <v>68</v>
      </c>
      <c r="D5" s="64" t="s">
        <v>128</v>
      </c>
      <c r="E5" s="34">
        <v>85</v>
      </c>
      <c r="F5" s="33">
        <v>102.0131579975</v>
      </c>
      <c r="G5" s="35">
        <v>23047</v>
      </c>
      <c r="H5" s="22"/>
      <c r="I5" s="36">
        <v>-16.098842459568175</v>
      </c>
      <c r="J5" s="36">
        <v>2.200000000000002</v>
      </c>
      <c r="K5" s="36">
        <v>-18.403976663888557</v>
      </c>
      <c r="L5" s="36">
        <v>1.4280999999999988</v>
      </c>
      <c r="M5" s="23"/>
      <c r="N5" s="36">
        <v>14.758708972164369</v>
      </c>
      <c r="O5" s="36">
        <v>16.938967509162474</v>
      </c>
      <c r="Q5" s="33">
        <v>0.79</v>
      </c>
      <c r="R5" s="33" t="s">
        <v>139</v>
      </c>
      <c r="S5" s="33">
        <v>1.08</v>
      </c>
      <c r="T5" s="56"/>
      <c r="U5" s="56"/>
    </row>
    <row r="6" spans="1:21" customFormat="1" ht="14.4" x14ac:dyDescent="0.3">
      <c r="A6" s="32" t="s">
        <v>122</v>
      </c>
      <c r="B6" s="32" t="s">
        <v>21</v>
      </c>
      <c r="C6" s="32" t="s">
        <v>69</v>
      </c>
      <c r="D6" s="64" t="s">
        <v>128</v>
      </c>
      <c r="E6" s="34">
        <v>87.9</v>
      </c>
      <c r="F6" s="33">
        <v>196.43491778999999</v>
      </c>
      <c r="G6" s="35">
        <v>52362</v>
      </c>
      <c r="H6" s="22"/>
      <c r="I6" s="36">
        <v>-16.866202879792901</v>
      </c>
      <c r="J6" s="36">
        <v>2.7700000000000058</v>
      </c>
      <c r="K6" s="36">
        <v>-17.301761058552799</v>
      </c>
      <c r="L6" s="36">
        <v>3.4985000000000044</v>
      </c>
      <c r="M6" s="23"/>
      <c r="N6" s="36">
        <v>15.915720240132188</v>
      </c>
      <c r="O6" s="36">
        <v>16.280965880910323</v>
      </c>
      <c r="Q6" s="33">
        <v>0.79</v>
      </c>
      <c r="R6" s="33">
        <v>1.2</v>
      </c>
      <c r="S6" s="33" t="s">
        <v>139</v>
      </c>
      <c r="T6" s="56"/>
      <c r="U6" s="56"/>
    </row>
    <row r="7" spans="1:21" customFormat="1" ht="14.4" x14ac:dyDescent="0.3">
      <c r="A7" s="32" t="s">
        <v>124</v>
      </c>
      <c r="B7" s="32" t="s">
        <v>23</v>
      </c>
      <c r="C7" s="32" t="s">
        <v>102</v>
      </c>
      <c r="D7" s="64" t="s">
        <v>128</v>
      </c>
      <c r="E7" s="34">
        <v>90</v>
      </c>
      <c r="F7" s="33">
        <v>286.22468610999999</v>
      </c>
      <c r="G7" s="35">
        <v>95518</v>
      </c>
      <c r="H7" s="22"/>
      <c r="I7" s="36">
        <v>-16.819164864415235</v>
      </c>
      <c r="J7" s="36">
        <v>3.1778786628146927</v>
      </c>
      <c r="K7" s="36">
        <v>-17.740847358546997</v>
      </c>
      <c r="L7" s="36">
        <v>2.8485621740603984</v>
      </c>
      <c r="M7" s="23"/>
      <c r="N7" s="36">
        <v>15.39761367967035</v>
      </c>
      <c r="O7" s="36">
        <v>16.252109322914034</v>
      </c>
      <c r="Q7" s="33">
        <v>0.75</v>
      </c>
      <c r="R7" s="33">
        <v>0.92949999999999999</v>
      </c>
      <c r="S7" s="33" t="s">
        <v>139</v>
      </c>
      <c r="T7" s="56"/>
      <c r="U7" s="56"/>
    </row>
    <row r="8" spans="1:21" customFormat="1" ht="14.4" x14ac:dyDescent="0.3">
      <c r="A8" s="32" t="s">
        <v>37</v>
      </c>
      <c r="B8" s="32" t="s">
        <v>25</v>
      </c>
      <c r="C8" s="32" t="s">
        <v>70</v>
      </c>
      <c r="D8" s="64" t="s">
        <v>128</v>
      </c>
      <c r="E8" s="34">
        <v>78</v>
      </c>
      <c r="F8" s="33">
        <v>114.81814462</v>
      </c>
      <c r="G8" s="35">
        <v>40279</v>
      </c>
      <c r="H8" s="22"/>
      <c r="I8" s="36">
        <v>-15.922798552472861</v>
      </c>
      <c r="J8" s="36">
        <v>-2.42</v>
      </c>
      <c r="K8" s="36">
        <v>-15.880948036413034</v>
      </c>
      <c r="L8" s="36">
        <v>3.7250999999999923</v>
      </c>
      <c r="M8" s="23"/>
      <c r="N8" s="36">
        <v>14.773492445667433</v>
      </c>
      <c r="O8" s="36">
        <v>15.562649034911589</v>
      </c>
      <c r="Q8" s="33">
        <v>0.79</v>
      </c>
      <c r="R8" s="33" t="s">
        <v>139</v>
      </c>
      <c r="S8" s="33">
        <v>1.48</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3.8" x14ac:dyDescent="0.3">
      <c r="A17" s="53" t="s">
        <v>138</v>
      </c>
    </row>
    <row r="18" spans="1:5" s="52" customFormat="1" ht="13.8" x14ac:dyDescent="0.3">
      <c r="A18" s="48" t="s">
        <v>144</v>
      </c>
    </row>
    <row r="19" spans="1:5" x14ac:dyDescent="0.3">
      <c r="A19" s="48" t="s">
        <v>145</v>
      </c>
    </row>
    <row r="20" spans="1:5" x14ac:dyDescent="0.3">
      <c r="A20" s="37" t="s">
        <v>133</v>
      </c>
      <c r="B20" s="37"/>
      <c r="C20" s="37"/>
      <c r="D20" s="37"/>
      <c r="E20" s="37"/>
    </row>
    <row r="21" spans="1:5" s="52" customFormat="1" ht="13.8" x14ac:dyDescent="0.3">
      <c r="A21" s="50" t="s">
        <v>116</v>
      </c>
      <c r="B21" s="51"/>
      <c r="C21" s="51"/>
    </row>
    <row r="22" spans="1:5" s="52" customFormat="1" ht="13.8" x14ac:dyDescent="0.3">
      <c r="A22" s="50" t="s">
        <v>117</v>
      </c>
      <c r="B22" s="51"/>
      <c r="C22" s="51"/>
    </row>
    <row r="23" spans="1:5" x14ac:dyDescent="0.3">
      <c r="A23" s="18"/>
      <c r="B23" s="18"/>
      <c r="C23" s="18"/>
    </row>
    <row r="30" spans="1:5" x14ac:dyDescent="0.3">
      <c r="A30" s="37" t="s">
        <v>0</v>
      </c>
      <c r="B30" s="37" t="s">
        <v>89</v>
      </c>
      <c r="C30" s="37" t="s">
        <v>88</v>
      </c>
    </row>
    <row r="31" spans="1:5" x14ac:dyDescent="0.3">
      <c r="A31" s="32" t="s">
        <v>24</v>
      </c>
      <c r="B31" s="33">
        <v>15.575664541226523</v>
      </c>
      <c r="C31" s="33">
        <v>1.5700000000000047</v>
      </c>
    </row>
    <row r="32" spans="1:5" x14ac:dyDescent="0.3">
      <c r="A32" s="32" t="s">
        <v>22</v>
      </c>
      <c r="B32" s="33">
        <v>14.758708972164369</v>
      </c>
      <c r="C32" s="33">
        <v>2.200000000000002</v>
      </c>
    </row>
    <row r="33" spans="1:3" x14ac:dyDescent="0.3">
      <c r="A33" s="32" t="s">
        <v>21</v>
      </c>
      <c r="B33" s="33">
        <v>15.915720240132188</v>
      </c>
      <c r="C33" s="33">
        <v>2.7700000000000058</v>
      </c>
    </row>
    <row r="34" spans="1:3" x14ac:dyDescent="0.3">
      <c r="A34" s="32" t="s">
        <v>23</v>
      </c>
      <c r="B34" s="33">
        <v>15.39761367967035</v>
      </c>
      <c r="C34" s="33">
        <v>3.1778786628146927</v>
      </c>
    </row>
    <row r="35" spans="1:3" x14ac:dyDescent="0.3">
      <c r="A35" s="32" t="s">
        <v>25</v>
      </c>
      <c r="B35" s="33">
        <v>14.773492445667433</v>
      </c>
      <c r="C35" s="33">
        <v>-2.42</v>
      </c>
    </row>
    <row r="52" spans="1:5" x14ac:dyDescent="0.3">
      <c r="A52" s="37" t="s">
        <v>134</v>
      </c>
      <c r="B52" s="37"/>
      <c r="C52" s="37"/>
      <c r="D52" s="37"/>
      <c r="E52" s="37"/>
    </row>
    <row r="53" spans="1:5" s="52" customFormat="1" ht="13.8" x14ac:dyDescent="0.3">
      <c r="A53" s="50" t="s">
        <v>118</v>
      </c>
      <c r="B53" s="51"/>
      <c r="C53" s="51"/>
    </row>
    <row r="54" spans="1:5" s="52" customFormat="1" ht="13.8" x14ac:dyDescent="0.3">
      <c r="A54" s="50" t="s">
        <v>119</v>
      </c>
      <c r="B54" s="51"/>
      <c r="C54" s="51"/>
    </row>
    <row r="55" spans="1:5" s="52" customFormat="1" ht="13.8" x14ac:dyDescent="0.3">
      <c r="A55" s="50" t="s">
        <v>120</v>
      </c>
      <c r="B55" s="51"/>
      <c r="C55" s="51"/>
    </row>
    <row r="60" spans="1:5" x14ac:dyDescent="0.3">
      <c r="A60" s="37" t="s">
        <v>0</v>
      </c>
      <c r="B60" s="37" t="s">
        <v>94</v>
      </c>
      <c r="C60" s="37" t="s">
        <v>95</v>
      </c>
      <c r="D60" s="37" t="s">
        <v>96</v>
      </c>
    </row>
    <row r="61" spans="1:5" x14ac:dyDescent="0.3">
      <c r="A61" s="32" t="s">
        <v>22</v>
      </c>
      <c r="B61" s="33">
        <v>23.047000000000001</v>
      </c>
      <c r="C61" s="33">
        <v>2.200000000000002</v>
      </c>
      <c r="D61" s="33">
        <v>102.0131579975</v>
      </c>
    </row>
    <row r="62" spans="1:5" x14ac:dyDescent="0.3">
      <c r="A62" s="32" t="s">
        <v>24</v>
      </c>
      <c r="B62" s="33">
        <v>20.984000000000002</v>
      </c>
      <c r="C62" s="33">
        <v>1.5700000000000047</v>
      </c>
      <c r="D62" s="33">
        <v>66.879017115500005</v>
      </c>
    </row>
    <row r="63" spans="1:5" x14ac:dyDescent="0.3">
      <c r="A63" s="32" t="s">
        <v>21</v>
      </c>
      <c r="B63" s="33">
        <v>52.362000000000002</v>
      </c>
      <c r="C63" s="33">
        <v>2.7700000000000058</v>
      </c>
      <c r="D63" s="33">
        <v>196.43491778999999</v>
      </c>
    </row>
    <row r="64" spans="1:5" x14ac:dyDescent="0.3">
      <c r="A64" s="32" t="s">
        <v>23</v>
      </c>
      <c r="B64" s="33">
        <v>95.518000000000001</v>
      </c>
      <c r="C64" s="33">
        <v>3.1778786628146927</v>
      </c>
      <c r="D64" s="33">
        <v>286.22468610999999</v>
      </c>
    </row>
    <row r="65" spans="1:4" x14ac:dyDescent="0.3">
      <c r="A65" s="32" t="s">
        <v>25</v>
      </c>
      <c r="B65" s="33">
        <v>40.279000000000003</v>
      </c>
      <c r="C65" s="33">
        <v>-2.42</v>
      </c>
      <c r="D65" s="33">
        <v>114.81814462</v>
      </c>
    </row>
  </sheetData>
  <mergeCells count="7">
    <mergeCell ref="Q1:S1"/>
    <mergeCell ref="N1:O1"/>
    <mergeCell ref="A3:C3"/>
    <mergeCell ref="D1:D2"/>
    <mergeCell ref="F1:F2"/>
    <mergeCell ref="G1:G2"/>
    <mergeCell ref="I1:L1"/>
  </mergeCells>
  <conditionalFormatting sqref="N4:O8">
    <cfRule type="cellIs" dxfId="31" priority="11" operator="greaterThanOrEqual">
      <formula>0</formula>
    </cfRule>
    <cfRule type="cellIs" dxfId="30" priority="12" operator="lessThan">
      <formula>0</formula>
    </cfRule>
  </conditionalFormatting>
  <conditionalFormatting sqref="I4:I8">
    <cfRule type="cellIs" dxfId="29" priority="9" operator="greaterThanOrEqual">
      <formula>0</formula>
    </cfRule>
    <cfRule type="cellIs" dxfId="28" priority="10" operator="lessThan">
      <formula>0</formula>
    </cfRule>
  </conditionalFormatting>
  <conditionalFormatting sqref="J4:L8">
    <cfRule type="cellIs" dxfId="27" priority="7" operator="greaterThanOrEqual">
      <formula>0</formula>
    </cfRule>
    <cfRule type="cellIs" dxfId="26" priority="8" operator="lessThan">
      <formula>0</formula>
    </cfRule>
  </conditionalFormatting>
  <conditionalFormatting sqref="I3:L3">
    <cfRule type="cellIs" dxfId="25" priority="1" operator="greaterThanOrEqual">
      <formula>0</formula>
    </cfRule>
    <cfRule type="cellIs" dxfId="24"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0" zoomScaleNormal="70" workbookViewId="0">
      <selection activeCell="A18" sqref="A18:A19"/>
    </sheetView>
  </sheetViews>
  <sheetFormatPr defaultRowHeight="15.6" x14ac:dyDescent="0.3"/>
  <cols>
    <col min="1" max="1" width="39.77734375" style="16" customWidth="1"/>
    <col min="2" max="2" width="14.88671875" style="16" bestFit="1" customWidth="1"/>
    <col min="3" max="3" width="64.6640625" style="16" customWidth="1"/>
    <col min="4" max="4" width="15.6640625" style="16" customWidth="1"/>
    <col min="5" max="5" width="15.109375" style="16" customWidth="1"/>
    <col min="6" max="6" width="18.109375" style="16" customWidth="1"/>
    <col min="7" max="7" width="11.88671875" style="16" customWidth="1"/>
    <col min="8" max="8" width="1.77734375" style="16" customWidth="1"/>
    <col min="9" max="9" width="17.21875" style="16" customWidth="1"/>
    <col min="10" max="10" width="17" style="16" customWidth="1"/>
    <col min="11" max="11" width="18.44140625" style="16" customWidth="1"/>
    <col min="12" max="12" width="17.109375" style="16" customWidth="1"/>
    <col min="13" max="13" width="1.77734375" style="16" customWidth="1"/>
    <col min="14" max="14" width="16" style="16" customWidth="1"/>
    <col min="15" max="15" width="18.88671875" style="16" customWidth="1"/>
    <col min="16" max="16" width="1.77734375" style="16" customWidth="1"/>
    <col min="17" max="17" width="9.6640625" style="16" customWidth="1"/>
    <col min="18" max="18" width="13" style="16" customWidth="1"/>
    <col min="19" max="19" width="12.21875" style="16"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2" t="s">
        <v>110</v>
      </c>
      <c r="J2" s="24" t="s">
        <v>129</v>
      </c>
      <c r="K2" s="24" t="s">
        <v>111</v>
      </c>
      <c r="L2" s="24" t="s">
        <v>130</v>
      </c>
      <c r="M2" s="30"/>
      <c r="N2" s="24" t="s">
        <v>131</v>
      </c>
      <c r="O2" s="24" t="s">
        <v>132</v>
      </c>
      <c r="Q2" s="24" t="s">
        <v>140</v>
      </c>
      <c r="R2" s="24" t="s">
        <v>141</v>
      </c>
      <c r="S2" s="24" t="s">
        <v>142</v>
      </c>
    </row>
    <row r="3" spans="1:21" ht="28.95" customHeight="1" x14ac:dyDescent="0.3">
      <c r="A3" s="70" t="s">
        <v>71</v>
      </c>
      <c r="B3" s="70"/>
      <c r="C3" s="70"/>
      <c r="D3" s="43"/>
      <c r="E3" s="43"/>
      <c r="F3" s="44"/>
      <c r="G3" s="68" t="s">
        <v>113</v>
      </c>
      <c r="H3" s="44"/>
      <c r="I3" s="65">
        <v>-11.624319405167135</v>
      </c>
      <c r="J3" s="65">
        <v>1.753592228891335</v>
      </c>
      <c r="K3" s="65">
        <v>-11.823273740289395</v>
      </c>
      <c r="L3" s="65">
        <v>3.1956932883977718</v>
      </c>
      <c r="M3" s="44"/>
      <c r="N3" s="44"/>
      <c r="O3" s="44"/>
    </row>
    <row r="4" spans="1:21" customFormat="1" ht="14.4" x14ac:dyDescent="0.3">
      <c r="A4" s="32" t="s">
        <v>36</v>
      </c>
      <c r="B4" s="32" t="s">
        <v>27</v>
      </c>
      <c r="C4" s="32" t="s">
        <v>72</v>
      </c>
      <c r="D4" s="64" t="s">
        <v>128</v>
      </c>
      <c r="E4" s="34">
        <v>55.000000000000007</v>
      </c>
      <c r="F4" s="33">
        <v>62.773976252099999</v>
      </c>
      <c r="G4" s="35">
        <v>19266</v>
      </c>
      <c r="H4" s="22"/>
      <c r="I4" s="36">
        <v>-12.915918227696521</v>
      </c>
      <c r="J4" s="36">
        <v>1.8100000000000005</v>
      </c>
      <c r="K4" s="36">
        <v>-13.456246467973209</v>
      </c>
      <c r="L4" s="36">
        <v>3.217099999999995</v>
      </c>
      <c r="M4" s="23"/>
      <c r="N4" s="36">
        <v>11.937764684364318</v>
      </c>
      <c r="O4" s="36">
        <v>12.670854468899293</v>
      </c>
      <c r="Q4" s="33">
        <v>0.78</v>
      </c>
      <c r="R4" s="33">
        <v>1.53</v>
      </c>
      <c r="S4" s="33" t="s">
        <v>139</v>
      </c>
      <c r="T4" s="56"/>
      <c r="U4" s="56"/>
    </row>
    <row r="5" spans="1:21" customFormat="1" ht="14.4" x14ac:dyDescent="0.3">
      <c r="A5" s="32" t="s">
        <v>123</v>
      </c>
      <c r="B5" s="32" t="s">
        <v>29</v>
      </c>
      <c r="C5" s="32" t="s">
        <v>73</v>
      </c>
      <c r="D5" s="64" t="s">
        <v>128</v>
      </c>
      <c r="E5" s="34">
        <v>50</v>
      </c>
      <c r="F5" s="33">
        <v>77.631938957700001</v>
      </c>
      <c r="G5" s="35">
        <v>18346</v>
      </c>
      <c r="H5" s="22"/>
      <c r="I5" s="36">
        <v>-12.431729518855651</v>
      </c>
      <c r="J5" s="36">
        <v>1.0099999999999998</v>
      </c>
      <c r="K5" s="36">
        <v>-13.121007776603133</v>
      </c>
      <c r="L5" s="36">
        <v>1.574399999999998</v>
      </c>
      <c r="M5" s="23"/>
      <c r="N5" s="36">
        <v>11.137628560843851</v>
      </c>
      <c r="O5" s="36">
        <v>12.090239413582315</v>
      </c>
      <c r="Q5" s="33">
        <v>0.79</v>
      </c>
      <c r="R5" s="33" t="s">
        <v>139</v>
      </c>
      <c r="S5" s="33">
        <v>0.97</v>
      </c>
      <c r="T5" s="56"/>
      <c r="U5" s="56"/>
    </row>
    <row r="6" spans="1:21" customFormat="1" ht="14.4" x14ac:dyDescent="0.3">
      <c r="A6" s="32" t="s">
        <v>122</v>
      </c>
      <c r="B6" s="32" t="s">
        <v>28</v>
      </c>
      <c r="C6" s="32" t="s">
        <v>74</v>
      </c>
      <c r="D6" s="64" t="s">
        <v>128</v>
      </c>
      <c r="E6" s="34">
        <v>53.800000000000004</v>
      </c>
      <c r="F6" s="33">
        <v>177.60429413</v>
      </c>
      <c r="G6" s="35">
        <v>46489</v>
      </c>
      <c r="H6" s="22"/>
      <c r="I6" s="36">
        <v>-12.806609863155183</v>
      </c>
      <c r="J6" s="36">
        <v>1.309999999999989</v>
      </c>
      <c r="K6" s="36">
        <v>-12.268180333058531</v>
      </c>
      <c r="L6" s="36">
        <v>3.6475999999999953</v>
      </c>
      <c r="M6" s="23"/>
      <c r="N6" s="36">
        <v>11.818209615061299</v>
      </c>
      <c r="O6" s="36">
        <v>11.673084407384318</v>
      </c>
      <c r="Q6" s="33">
        <v>0.79</v>
      </c>
      <c r="R6" s="33">
        <v>1.1399999999999999</v>
      </c>
      <c r="S6" s="33" t="s">
        <v>139</v>
      </c>
      <c r="T6" s="56"/>
      <c r="U6" s="56"/>
    </row>
    <row r="7" spans="1:21" customFormat="1" ht="14.4" x14ac:dyDescent="0.3">
      <c r="A7" s="32" t="s">
        <v>124</v>
      </c>
      <c r="B7" s="32" t="s">
        <v>26</v>
      </c>
      <c r="C7" s="32" t="s">
        <v>101</v>
      </c>
      <c r="D7" s="64" t="s">
        <v>128</v>
      </c>
      <c r="E7" s="34">
        <v>54.999999999999986</v>
      </c>
      <c r="F7" s="33">
        <v>260.98670283000001</v>
      </c>
      <c r="G7" s="35">
        <v>84899</v>
      </c>
      <c r="H7" s="22"/>
      <c r="I7" s="36">
        <v>-11.8202482951565</v>
      </c>
      <c r="J7" s="36">
        <v>2.9183673469387772</v>
      </c>
      <c r="K7" s="36">
        <v>-12.594479530720449</v>
      </c>
      <c r="L7" s="36">
        <v>3.3943440805950909</v>
      </c>
      <c r="M7" s="23"/>
      <c r="N7" s="36">
        <v>10.874194599336196</v>
      </c>
      <c r="O7" s="36">
        <v>11.671253476537032</v>
      </c>
      <c r="Q7" s="33">
        <v>0.75</v>
      </c>
      <c r="R7" s="33">
        <v>0.85170000000000001</v>
      </c>
      <c r="S7" s="33" t="s">
        <v>139</v>
      </c>
      <c r="T7" s="56"/>
      <c r="U7" s="56"/>
    </row>
    <row r="8" spans="1:21" customFormat="1" ht="14.4" x14ac:dyDescent="0.3">
      <c r="A8" s="32" t="s">
        <v>37</v>
      </c>
      <c r="B8" s="32" t="s">
        <v>30</v>
      </c>
      <c r="C8" s="32" t="s">
        <v>75</v>
      </c>
      <c r="D8" s="64" t="s">
        <v>128</v>
      </c>
      <c r="E8" s="34">
        <v>39</v>
      </c>
      <c r="F8" s="33">
        <v>127.28665943999999</v>
      </c>
      <c r="G8" s="35">
        <v>39454</v>
      </c>
      <c r="H8" s="22"/>
      <c r="I8" s="36">
        <v>-8.4435123552475631</v>
      </c>
      <c r="J8" s="36">
        <v>0.40999999999999925</v>
      </c>
      <c r="K8" s="36">
        <v>-8.0244029029502233</v>
      </c>
      <c r="L8" s="36">
        <v>3.1360999999999972</v>
      </c>
      <c r="M8" s="23"/>
      <c r="N8" s="36">
        <v>8.1256001891318199</v>
      </c>
      <c r="O8" s="36">
        <v>8.0057526115249154</v>
      </c>
      <c r="Q8" s="33">
        <v>0.79</v>
      </c>
      <c r="R8" s="33" t="s">
        <v>139</v>
      </c>
      <c r="S8" s="33">
        <v>1.17</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3.8" x14ac:dyDescent="0.3">
      <c r="A17" s="53" t="s">
        <v>138</v>
      </c>
    </row>
    <row r="18" spans="1:5" s="52" customFormat="1" ht="13.8" x14ac:dyDescent="0.3">
      <c r="A18" s="48" t="s">
        <v>144</v>
      </c>
    </row>
    <row r="19" spans="1:5" x14ac:dyDescent="0.3">
      <c r="A19" s="48" t="s">
        <v>145</v>
      </c>
    </row>
    <row r="20" spans="1:5" x14ac:dyDescent="0.3">
      <c r="A20" s="37" t="s">
        <v>133</v>
      </c>
      <c r="B20" s="37"/>
      <c r="C20" s="37"/>
      <c r="D20" s="37"/>
      <c r="E20" s="37"/>
    </row>
    <row r="21" spans="1:5" s="52" customFormat="1" ht="13.8" x14ac:dyDescent="0.3">
      <c r="A21" s="50" t="s">
        <v>116</v>
      </c>
      <c r="B21" s="51"/>
      <c r="C21" s="51"/>
    </row>
    <row r="22" spans="1:5" s="52" customFormat="1" ht="13.8" x14ac:dyDescent="0.3">
      <c r="A22" s="50" t="s">
        <v>117</v>
      </c>
      <c r="B22" s="51"/>
      <c r="C22" s="51"/>
    </row>
    <row r="23" spans="1:5" x14ac:dyDescent="0.3">
      <c r="A23" s="18"/>
      <c r="B23" s="18"/>
      <c r="C23" s="18"/>
    </row>
    <row r="30" spans="1:5" x14ac:dyDescent="0.3">
      <c r="A30" s="37" t="s">
        <v>0</v>
      </c>
      <c r="B30" s="37" t="s">
        <v>89</v>
      </c>
      <c r="C30" s="37" t="s">
        <v>88</v>
      </c>
    </row>
    <row r="31" spans="1:5" x14ac:dyDescent="0.3">
      <c r="A31" s="32" t="s">
        <v>27</v>
      </c>
      <c r="B31" s="33">
        <v>11.937764684364318</v>
      </c>
      <c r="C31" s="33">
        <v>1.8100000000000005</v>
      </c>
    </row>
    <row r="32" spans="1:5" x14ac:dyDescent="0.3">
      <c r="A32" s="32" t="s">
        <v>29</v>
      </c>
      <c r="B32" s="33">
        <v>11.137628560843851</v>
      </c>
      <c r="C32" s="33">
        <v>1.0099999999999998</v>
      </c>
    </row>
    <row r="33" spans="1:3" x14ac:dyDescent="0.3">
      <c r="A33" s="32" t="s">
        <v>28</v>
      </c>
      <c r="B33" s="33">
        <v>11.818209615061299</v>
      </c>
      <c r="C33" s="33">
        <v>1.309999999999989</v>
      </c>
    </row>
    <row r="34" spans="1:3" x14ac:dyDescent="0.3">
      <c r="A34" s="32" t="s">
        <v>26</v>
      </c>
      <c r="B34" s="33">
        <v>10.874194599336196</v>
      </c>
      <c r="C34" s="33">
        <v>2.9183673469387772</v>
      </c>
    </row>
    <row r="35" spans="1:3" x14ac:dyDescent="0.3">
      <c r="A35" s="32" t="s">
        <v>30</v>
      </c>
      <c r="B35" s="33">
        <v>8.1256001891318199</v>
      </c>
      <c r="C35" s="33">
        <v>0.40999999999999925</v>
      </c>
    </row>
    <row r="52" spans="1:5" x14ac:dyDescent="0.3">
      <c r="A52" s="37" t="s">
        <v>134</v>
      </c>
      <c r="B52" s="37"/>
      <c r="C52" s="37"/>
      <c r="D52" s="37"/>
      <c r="E52" s="37"/>
    </row>
    <row r="53" spans="1:5" s="52" customFormat="1" ht="13.8" x14ac:dyDescent="0.3">
      <c r="A53" s="50" t="s">
        <v>118</v>
      </c>
      <c r="B53" s="51"/>
      <c r="C53" s="51"/>
    </row>
    <row r="54" spans="1:5" s="52" customFormat="1" ht="13.8" x14ac:dyDescent="0.3">
      <c r="A54" s="50" t="s">
        <v>119</v>
      </c>
      <c r="B54" s="51"/>
      <c r="C54" s="51"/>
    </row>
    <row r="55" spans="1:5" s="52" customFormat="1" ht="13.8" x14ac:dyDescent="0.3">
      <c r="A55" s="50" t="s">
        <v>120</v>
      </c>
      <c r="B55" s="51"/>
      <c r="C55" s="51"/>
    </row>
    <row r="60" spans="1:5" x14ac:dyDescent="0.3">
      <c r="A60" s="37" t="s">
        <v>0</v>
      </c>
      <c r="B60" s="37" t="s">
        <v>94</v>
      </c>
      <c r="C60" s="37" t="s">
        <v>95</v>
      </c>
      <c r="D60" s="37" t="s">
        <v>96</v>
      </c>
    </row>
    <row r="61" spans="1:5" x14ac:dyDescent="0.3">
      <c r="A61" s="32" t="s">
        <v>27</v>
      </c>
      <c r="B61" s="33">
        <v>19.265999999999998</v>
      </c>
      <c r="C61" s="33">
        <v>1.8100000000000005</v>
      </c>
      <c r="D61" s="33">
        <v>62.773976252099999</v>
      </c>
    </row>
    <row r="62" spans="1:5" x14ac:dyDescent="0.3">
      <c r="A62" s="32" t="s">
        <v>29</v>
      </c>
      <c r="B62" s="33">
        <v>18.346</v>
      </c>
      <c r="C62" s="33">
        <v>1.0099999999999998</v>
      </c>
      <c r="D62" s="33">
        <v>77.631938957700001</v>
      </c>
    </row>
    <row r="63" spans="1:5" x14ac:dyDescent="0.3">
      <c r="A63" s="32" t="s">
        <v>28</v>
      </c>
      <c r="B63" s="33">
        <v>46.488999999999997</v>
      </c>
      <c r="C63" s="33">
        <v>1.309999999999989</v>
      </c>
      <c r="D63" s="33">
        <v>177.60429413</v>
      </c>
    </row>
    <row r="64" spans="1:5" x14ac:dyDescent="0.3">
      <c r="A64" s="32" t="s">
        <v>26</v>
      </c>
      <c r="B64" s="33">
        <v>84.899000000000001</v>
      </c>
      <c r="C64" s="33">
        <v>2.9183673469387772</v>
      </c>
      <c r="D64" s="33">
        <v>260.98670283000001</v>
      </c>
    </row>
    <row r="65" spans="1:4" x14ac:dyDescent="0.3">
      <c r="A65" s="32" t="s">
        <v>30</v>
      </c>
      <c r="B65" s="33">
        <v>39.454000000000001</v>
      </c>
      <c r="C65" s="33">
        <v>0.40999999999999925</v>
      </c>
      <c r="D65" s="33">
        <v>127.28665943999999</v>
      </c>
    </row>
  </sheetData>
  <mergeCells count="7">
    <mergeCell ref="Q1:S1"/>
    <mergeCell ref="N1:O1"/>
    <mergeCell ref="A3:C3"/>
    <mergeCell ref="D1:D2"/>
    <mergeCell ref="F1:F2"/>
    <mergeCell ref="G1:G2"/>
    <mergeCell ref="I1:L1"/>
  </mergeCells>
  <conditionalFormatting sqref="N4:O8">
    <cfRule type="cellIs" dxfId="23" priority="11" operator="greaterThanOrEqual">
      <formula>0</formula>
    </cfRule>
    <cfRule type="cellIs" dxfId="22" priority="12" operator="lessThan">
      <formula>0</formula>
    </cfRule>
  </conditionalFormatting>
  <conditionalFormatting sqref="I4:I8">
    <cfRule type="cellIs" dxfId="21" priority="9" operator="greaterThanOrEqual">
      <formula>0</formula>
    </cfRule>
    <cfRule type="cellIs" dxfId="20" priority="10" operator="lessThan">
      <formula>0</formula>
    </cfRule>
  </conditionalFormatting>
  <conditionalFormatting sqref="J4:L8">
    <cfRule type="cellIs" dxfId="19" priority="7" operator="greaterThanOrEqual">
      <formula>0</formula>
    </cfRule>
    <cfRule type="cellIs" dxfId="18" priority="8" operator="lessThan">
      <formula>0</formula>
    </cfRule>
  </conditionalFormatting>
  <conditionalFormatting sqref="I3:L3">
    <cfRule type="cellIs" dxfId="17" priority="1" operator="greaterThanOrEqual">
      <formula>0</formula>
    </cfRule>
    <cfRule type="cellIs" dxfId="16"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0" zoomScaleNormal="70" workbookViewId="0">
      <selection activeCell="A18" sqref="A18:A19"/>
    </sheetView>
  </sheetViews>
  <sheetFormatPr defaultRowHeight="15.6" x14ac:dyDescent="0.3"/>
  <cols>
    <col min="1" max="1" width="39.33203125" style="16" customWidth="1"/>
    <col min="2" max="2" width="14.88671875" style="16" bestFit="1" customWidth="1"/>
    <col min="3" max="3" width="64.77734375" style="16" customWidth="1"/>
    <col min="4" max="4" width="16.21875" style="16" customWidth="1"/>
    <col min="5" max="5" width="16.109375" style="16" bestFit="1" customWidth="1"/>
    <col min="6" max="6" width="19.33203125" style="16" customWidth="1"/>
    <col min="7" max="7" width="13.6640625" style="16" customWidth="1"/>
    <col min="8" max="8" width="1.5546875" style="16" customWidth="1"/>
    <col min="9" max="9" width="16.33203125" style="16" customWidth="1"/>
    <col min="10" max="10" width="15.88671875" style="16" customWidth="1"/>
    <col min="11" max="11" width="16.21875" style="16" customWidth="1"/>
    <col min="12" max="12" width="17" style="16" customWidth="1"/>
    <col min="13" max="13" width="1.5546875" style="16" customWidth="1"/>
    <col min="14" max="14" width="17.88671875" style="16" customWidth="1"/>
    <col min="15" max="15" width="17.21875" style="16" customWidth="1"/>
    <col min="16" max="16" width="1.5546875" style="16" customWidth="1"/>
    <col min="17" max="17" width="8.88671875" style="16"/>
    <col min="18" max="18" width="12.109375" style="16" customWidth="1"/>
    <col min="19" max="19" width="11.6640625" style="16"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2" t="s">
        <v>110</v>
      </c>
      <c r="J2" s="24" t="s">
        <v>129</v>
      </c>
      <c r="K2" s="24" t="s">
        <v>111</v>
      </c>
      <c r="L2" s="24" t="s">
        <v>130</v>
      </c>
      <c r="M2" s="30"/>
      <c r="N2" s="24" t="s">
        <v>131</v>
      </c>
      <c r="O2" s="24" t="s">
        <v>132</v>
      </c>
      <c r="Q2" s="24" t="s">
        <v>140</v>
      </c>
      <c r="R2" s="24" t="s">
        <v>141</v>
      </c>
      <c r="S2" s="24" t="s">
        <v>142</v>
      </c>
    </row>
    <row r="3" spans="1:21" ht="28.95" customHeight="1" x14ac:dyDescent="0.3">
      <c r="A3" s="70" t="s">
        <v>76</v>
      </c>
      <c r="B3" s="70"/>
      <c r="C3" s="70"/>
      <c r="D3" s="43"/>
      <c r="E3" s="43"/>
      <c r="F3" s="44"/>
      <c r="G3" s="68" t="s">
        <v>113</v>
      </c>
      <c r="H3" s="44"/>
      <c r="I3" s="65">
        <v>-6.1151196729076798</v>
      </c>
      <c r="J3" s="65">
        <v>1.2543967986880331</v>
      </c>
      <c r="K3" s="65">
        <v>-5.9793927228665611</v>
      </c>
      <c r="L3" s="65">
        <v>3.2922531478313313</v>
      </c>
      <c r="M3" s="44"/>
      <c r="N3" s="44"/>
      <c r="O3" s="44"/>
    </row>
    <row r="4" spans="1:21" customFormat="1" ht="14.4" x14ac:dyDescent="0.3">
      <c r="A4" s="32" t="s">
        <v>36</v>
      </c>
      <c r="B4" s="32" t="s">
        <v>32</v>
      </c>
      <c r="C4" s="32" t="s">
        <v>77</v>
      </c>
      <c r="D4" s="64" t="s">
        <v>128</v>
      </c>
      <c r="E4" s="34">
        <v>20</v>
      </c>
      <c r="F4" s="33">
        <v>31.728505035300003</v>
      </c>
      <c r="G4" s="35">
        <v>9403</v>
      </c>
      <c r="H4" s="22"/>
      <c r="I4" s="36">
        <v>-7.981349424026341</v>
      </c>
      <c r="J4" s="36">
        <v>0.64999999999999503</v>
      </c>
      <c r="K4" s="36">
        <v>-7.8914488700831953</v>
      </c>
      <c r="L4" s="36">
        <v>4.3144999999999989</v>
      </c>
      <c r="M4" s="23"/>
      <c r="N4" s="36">
        <v>8.3257895070183086</v>
      </c>
      <c r="O4" s="36">
        <v>8.7584197210725883</v>
      </c>
      <c r="Q4" s="33">
        <v>0.78</v>
      </c>
      <c r="R4" s="33">
        <v>1.5</v>
      </c>
      <c r="S4" s="33" t="s">
        <v>139</v>
      </c>
      <c r="T4" s="56"/>
      <c r="U4" s="56"/>
    </row>
    <row r="5" spans="1:21" customFormat="1" ht="14.4" x14ac:dyDescent="0.3">
      <c r="A5" s="32" t="s">
        <v>123</v>
      </c>
      <c r="B5" s="32" t="s">
        <v>35</v>
      </c>
      <c r="C5" s="32" t="s">
        <v>78</v>
      </c>
      <c r="D5" s="64" t="s">
        <v>128</v>
      </c>
      <c r="E5" s="34">
        <v>10</v>
      </c>
      <c r="F5" s="33">
        <v>27.164219428599999</v>
      </c>
      <c r="G5" s="35">
        <v>6327</v>
      </c>
      <c r="H5" s="22"/>
      <c r="I5" s="36">
        <v>-5.8348044225587596</v>
      </c>
      <c r="J5" s="36">
        <v>1.3500000000000068</v>
      </c>
      <c r="K5" s="36">
        <v>-5.911909541957816</v>
      </c>
      <c r="L5" s="36">
        <v>1.4167999999999958</v>
      </c>
      <c r="M5" s="23"/>
      <c r="N5" s="36">
        <v>5.66144293718071</v>
      </c>
      <c r="O5" s="36">
        <v>5.9647115326250679</v>
      </c>
      <c r="Q5" s="33">
        <v>0.79</v>
      </c>
      <c r="R5" s="33" t="s">
        <v>139</v>
      </c>
      <c r="S5" s="33">
        <v>0.87</v>
      </c>
      <c r="T5" s="56"/>
      <c r="U5" s="56"/>
    </row>
    <row r="6" spans="1:21" customFormat="1" ht="14.4" x14ac:dyDescent="0.3">
      <c r="A6" s="32" t="s">
        <v>122</v>
      </c>
      <c r="B6" s="32" t="s">
        <v>33</v>
      </c>
      <c r="C6" s="32" t="s">
        <v>79</v>
      </c>
      <c r="D6" s="64" t="s">
        <v>128</v>
      </c>
      <c r="E6" s="34">
        <v>18.5</v>
      </c>
      <c r="F6" s="33">
        <v>87.213065540000002</v>
      </c>
      <c r="G6" s="35">
        <v>21704</v>
      </c>
      <c r="H6" s="22"/>
      <c r="I6" s="36">
        <v>-6.6581071166544437</v>
      </c>
      <c r="J6" s="36">
        <v>1.7800000000000038</v>
      </c>
      <c r="K6" s="36">
        <v>-5.9099507383830296</v>
      </c>
      <c r="L6" s="36">
        <v>4.3054999999999843</v>
      </c>
      <c r="M6" s="23"/>
      <c r="N6" s="36">
        <v>6.9462315886933927</v>
      </c>
      <c r="O6" s="36">
        <v>6.7141280101074452</v>
      </c>
      <c r="Q6" s="33">
        <v>0.79</v>
      </c>
      <c r="R6" s="33">
        <v>0.98</v>
      </c>
      <c r="S6" s="33" t="s">
        <v>139</v>
      </c>
      <c r="T6" s="56"/>
      <c r="U6" s="56"/>
    </row>
    <row r="7" spans="1:21" customFormat="1" ht="14.4" x14ac:dyDescent="0.3">
      <c r="A7" s="32" t="s">
        <v>124</v>
      </c>
      <c r="B7" s="32" t="s">
        <v>31</v>
      </c>
      <c r="C7" s="32" t="s">
        <v>80</v>
      </c>
      <c r="D7" s="64" t="s">
        <v>128</v>
      </c>
      <c r="E7" s="34">
        <v>19.999999999999986</v>
      </c>
      <c r="F7" s="33">
        <v>120.83514114</v>
      </c>
      <c r="G7" s="35">
        <v>36010</v>
      </c>
      <c r="H7" s="22"/>
      <c r="I7" s="36">
        <v>-5.9957173447537482</v>
      </c>
      <c r="J7" s="36">
        <v>0.97000000000000419</v>
      </c>
      <c r="K7" s="36">
        <v>-6.6193631449649288</v>
      </c>
      <c r="L7" s="36">
        <v>3.4282999999999841</v>
      </c>
      <c r="M7" s="23"/>
      <c r="N7" s="36">
        <v>5.3816722573221707</v>
      </c>
      <c r="O7" s="36">
        <v>6.8188951950409349</v>
      </c>
      <c r="Q7" s="33">
        <v>0.75</v>
      </c>
      <c r="R7" s="33">
        <v>0.79359999999999997</v>
      </c>
      <c r="S7" s="33" t="s">
        <v>139</v>
      </c>
      <c r="T7" s="56"/>
      <c r="U7" s="56"/>
    </row>
    <row r="8" spans="1:21" customFormat="1" ht="14.4" x14ac:dyDescent="0.3">
      <c r="A8" s="32" t="s">
        <v>37</v>
      </c>
      <c r="B8" s="32" t="s">
        <v>34</v>
      </c>
      <c r="C8" s="32" t="s">
        <v>81</v>
      </c>
      <c r="D8" s="64" t="s">
        <v>128</v>
      </c>
      <c r="E8" s="34">
        <v>19</v>
      </c>
      <c r="F8" s="33">
        <v>67.527317740000001</v>
      </c>
      <c r="G8" s="35">
        <v>20039</v>
      </c>
      <c r="H8" s="22"/>
      <c r="I8" s="36">
        <v>-4.8633931086282889</v>
      </c>
      <c r="J8" s="36">
        <v>1.330000000000009</v>
      </c>
      <c r="K8" s="36">
        <v>-4.0526432613013803</v>
      </c>
      <c r="L8" s="36">
        <v>2.0143000000000022</v>
      </c>
      <c r="M8" s="23"/>
      <c r="N8" s="36">
        <v>4.9778978962447029</v>
      </c>
      <c r="O8" s="36">
        <v>4.1783441028860313</v>
      </c>
      <c r="Q8" s="33">
        <v>0.79</v>
      </c>
      <c r="R8" s="33" t="s">
        <v>139</v>
      </c>
      <c r="S8" s="33">
        <v>1</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3.8" x14ac:dyDescent="0.3">
      <c r="A17" s="53" t="s">
        <v>138</v>
      </c>
    </row>
    <row r="18" spans="1:5" s="52" customFormat="1" ht="13.8" x14ac:dyDescent="0.3">
      <c r="A18" s="48" t="s">
        <v>144</v>
      </c>
    </row>
    <row r="19" spans="1:5" x14ac:dyDescent="0.3">
      <c r="A19" s="48" t="s">
        <v>145</v>
      </c>
    </row>
    <row r="20" spans="1:5" x14ac:dyDescent="0.3">
      <c r="A20" s="37" t="s">
        <v>133</v>
      </c>
      <c r="B20" s="37"/>
      <c r="C20" s="37"/>
      <c r="D20" s="37"/>
      <c r="E20" s="37"/>
    </row>
    <row r="21" spans="1:5" s="52" customFormat="1" ht="13.8" x14ac:dyDescent="0.3">
      <c r="A21" s="50" t="s">
        <v>116</v>
      </c>
      <c r="B21" s="51"/>
      <c r="C21" s="51"/>
    </row>
    <row r="22" spans="1:5" s="52" customFormat="1" ht="13.8" x14ac:dyDescent="0.3">
      <c r="A22" s="50" t="s">
        <v>117</v>
      </c>
      <c r="B22" s="51"/>
      <c r="C22" s="51"/>
    </row>
    <row r="23" spans="1:5" x14ac:dyDescent="0.3">
      <c r="A23" s="18"/>
      <c r="B23" s="18"/>
      <c r="C23" s="18"/>
    </row>
    <row r="30" spans="1:5" x14ac:dyDescent="0.3">
      <c r="A30" s="37" t="s">
        <v>0</v>
      </c>
      <c r="B30" s="37" t="s">
        <v>89</v>
      </c>
      <c r="C30" s="37" t="s">
        <v>88</v>
      </c>
    </row>
    <row r="31" spans="1:5" x14ac:dyDescent="0.3">
      <c r="A31" s="32" t="s">
        <v>32</v>
      </c>
      <c r="B31" s="33">
        <v>8.3257895070183086</v>
      </c>
      <c r="C31" s="33">
        <v>0.64999999999999503</v>
      </c>
    </row>
    <row r="32" spans="1:5" x14ac:dyDescent="0.3">
      <c r="A32" s="32" t="s">
        <v>35</v>
      </c>
      <c r="B32" s="33">
        <v>5.66144293718071</v>
      </c>
      <c r="C32" s="33">
        <v>1.3500000000000068</v>
      </c>
    </row>
    <row r="33" spans="1:3" x14ac:dyDescent="0.3">
      <c r="A33" s="32" t="s">
        <v>33</v>
      </c>
      <c r="B33" s="33">
        <v>6.9462315886933927</v>
      </c>
      <c r="C33" s="33">
        <v>1.7800000000000038</v>
      </c>
    </row>
    <row r="34" spans="1:3" x14ac:dyDescent="0.3">
      <c r="A34" s="32" t="s">
        <v>31</v>
      </c>
      <c r="B34" s="33">
        <v>5.3816722573221707</v>
      </c>
      <c r="C34" s="33">
        <v>0.97000000000000419</v>
      </c>
    </row>
    <row r="35" spans="1:3" x14ac:dyDescent="0.3">
      <c r="A35" s="32" t="s">
        <v>34</v>
      </c>
      <c r="B35" s="33">
        <v>4.9778978962447029</v>
      </c>
      <c r="C35" s="33">
        <v>1.330000000000009</v>
      </c>
    </row>
    <row r="52" spans="1:5" x14ac:dyDescent="0.3">
      <c r="A52" s="37" t="s">
        <v>134</v>
      </c>
      <c r="B52" s="37"/>
      <c r="C52" s="37"/>
      <c r="D52" s="37"/>
      <c r="E52" s="37"/>
    </row>
    <row r="53" spans="1:5" s="52" customFormat="1" ht="13.8" x14ac:dyDescent="0.3">
      <c r="A53" s="50" t="s">
        <v>118</v>
      </c>
      <c r="B53" s="51"/>
      <c r="C53" s="51"/>
    </row>
    <row r="54" spans="1:5" s="52" customFormat="1" ht="13.8" x14ac:dyDescent="0.3">
      <c r="A54" s="50" t="s">
        <v>119</v>
      </c>
      <c r="B54" s="51"/>
      <c r="C54" s="51"/>
    </row>
    <row r="55" spans="1:5" s="52" customFormat="1" ht="13.8" x14ac:dyDescent="0.3">
      <c r="A55" s="50" t="s">
        <v>120</v>
      </c>
      <c r="B55" s="51"/>
      <c r="C55" s="51"/>
    </row>
    <row r="60" spans="1:5" x14ac:dyDescent="0.3">
      <c r="A60" s="37" t="s">
        <v>0</v>
      </c>
      <c r="B60" s="37" t="s">
        <v>94</v>
      </c>
      <c r="C60" s="37" t="s">
        <v>95</v>
      </c>
      <c r="D60" s="37" t="s">
        <v>96</v>
      </c>
    </row>
    <row r="61" spans="1:5" x14ac:dyDescent="0.3">
      <c r="A61" s="32" t="s">
        <v>32</v>
      </c>
      <c r="B61" s="33">
        <v>9.4030000000000005</v>
      </c>
      <c r="C61" s="33">
        <v>0.64999999999999503</v>
      </c>
      <c r="D61" s="33">
        <v>31.728505035300003</v>
      </c>
    </row>
    <row r="62" spans="1:5" x14ac:dyDescent="0.3">
      <c r="A62" s="32" t="s">
        <v>35</v>
      </c>
      <c r="B62" s="33">
        <v>6.327</v>
      </c>
      <c r="C62" s="33">
        <v>1.3500000000000068</v>
      </c>
      <c r="D62" s="33">
        <v>27.164219428599999</v>
      </c>
    </row>
    <row r="63" spans="1:5" x14ac:dyDescent="0.3">
      <c r="A63" s="32" t="s">
        <v>33</v>
      </c>
      <c r="B63" s="33">
        <v>21.704000000000001</v>
      </c>
      <c r="C63" s="33">
        <v>1.7800000000000038</v>
      </c>
      <c r="D63" s="33">
        <v>87.213065540000002</v>
      </c>
    </row>
    <row r="64" spans="1:5" x14ac:dyDescent="0.3">
      <c r="A64" s="32" t="s">
        <v>31</v>
      </c>
      <c r="B64" s="33">
        <v>36.01</v>
      </c>
      <c r="C64" s="33">
        <v>0.97000000000000419</v>
      </c>
      <c r="D64" s="33">
        <v>120.83514114</v>
      </c>
    </row>
    <row r="65" spans="1:4" x14ac:dyDescent="0.3">
      <c r="A65" s="32" t="s">
        <v>34</v>
      </c>
      <c r="B65" s="33">
        <v>20.039000000000001</v>
      </c>
      <c r="C65" s="33">
        <v>1.330000000000009</v>
      </c>
      <c r="D65" s="33">
        <v>67.527317740000001</v>
      </c>
    </row>
  </sheetData>
  <mergeCells count="7">
    <mergeCell ref="Q1:S1"/>
    <mergeCell ref="N1:O1"/>
    <mergeCell ref="A3:C3"/>
    <mergeCell ref="D1:D2"/>
    <mergeCell ref="F1:F2"/>
    <mergeCell ref="G1:G2"/>
    <mergeCell ref="I1:L1"/>
  </mergeCells>
  <conditionalFormatting sqref="N4:O8">
    <cfRule type="cellIs" dxfId="15" priority="11" operator="greaterThanOrEqual">
      <formula>0</formula>
    </cfRule>
    <cfRule type="cellIs" dxfId="14" priority="12" operator="lessThan">
      <formula>0</formula>
    </cfRule>
  </conditionalFormatting>
  <conditionalFormatting sqref="I4:I8">
    <cfRule type="cellIs" dxfId="13" priority="9" operator="greaterThanOrEqual">
      <formula>0</formula>
    </cfRule>
    <cfRule type="cellIs" dxfId="12" priority="10" operator="lessThan">
      <formula>0</formula>
    </cfRule>
  </conditionalFormatting>
  <conditionalFormatting sqref="J4:L8">
    <cfRule type="cellIs" dxfId="11" priority="7" operator="greaterThanOrEqual">
      <formula>0</formula>
    </cfRule>
    <cfRule type="cellIs" dxfId="10" priority="8" operator="lessThan">
      <formula>0</formula>
    </cfRule>
  </conditionalFormatting>
  <conditionalFormatting sqref="I3:L3">
    <cfRule type="cellIs" dxfId="9" priority="1" operator="greaterThanOrEqual">
      <formula>0</formula>
    </cfRule>
    <cfRule type="cellIs" dxfId="8"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6"/>
  <sheetViews>
    <sheetView showGridLines="0" zoomScale="70" zoomScaleNormal="70" workbookViewId="0">
      <selection activeCell="A19" sqref="A19:A20"/>
    </sheetView>
  </sheetViews>
  <sheetFormatPr defaultRowHeight="15.6" x14ac:dyDescent="0.3"/>
  <cols>
    <col min="1" max="1" width="43.5546875" style="16" customWidth="1"/>
    <col min="2" max="2" width="14.88671875" style="16" bestFit="1" customWidth="1"/>
    <col min="3" max="3" width="48.21875" style="16" customWidth="1"/>
    <col min="4" max="4" width="16" style="16" customWidth="1"/>
    <col min="5" max="5" width="16.109375" style="16" bestFit="1" customWidth="1"/>
    <col min="6" max="6" width="16.77734375" style="16" customWidth="1"/>
    <col min="7" max="7" width="12.21875" style="16" customWidth="1"/>
    <col min="8" max="8" width="1.21875" style="16" customWidth="1"/>
    <col min="9" max="9" width="17.5546875" style="16" customWidth="1"/>
    <col min="10" max="10" width="14" style="16" customWidth="1"/>
    <col min="11" max="11" width="15" style="16" customWidth="1"/>
    <col min="12" max="12" width="17.21875" style="16" customWidth="1"/>
    <col min="13" max="13" width="1.21875" style="16" customWidth="1"/>
    <col min="14" max="14" width="17.77734375" style="16" customWidth="1"/>
    <col min="15" max="15" width="17.109375" style="16" customWidth="1"/>
    <col min="16" max="16" width="1.21875" style="16" customWidth="1"/>
    <col min="17" max="17" width="8.88671875" style="16"/>
    <col min="18" max="18" width="13.109375" style="16" customWidth="1"/>
    <col min="19" max="19" width="12.88671875" style="16" customWidth="1"/>
    <col min="20" max="16384" width="8.88671875" style="16"/>
  </cols>
  <sheetData>
    <row r="1" spans="1:21" ht="22.2" customHeight="1" x14ac:dyDescent="0.3">
      <c r="A1" s="25">
        <v>43921</v>
      </c>
      <c r="B1" s="26"/>
      <c r="C1" s="55" t="s">
        <v>93</v>
      </c>
      <c r="D1" s="73" t="s">
        <v>126</v>
      </c>
      <c r="E1" s="31" t="s">
        <v>92</v>
      </c>
      <c r="F1" s="73" t="s">
        <v>100</v>
      </c>
      <c r="G1" s="73" t="s">
        <v>87</v>
      </c>
      <c r="H1" s="28"/>
      <c r="I1" s="71" t="s">
        <v>88</v>
      </c>
      <c r="J1" s="72">
        <v>0</v>
      </c>
      <c r="K1" s="72">
        <v>0</v>
      </c>
      <c r="L1" s="72">
        <v>0</v>
      </c>
      <c r="M1" s="29"/>
      <c r="N1" s="75" t="s">
        <v>91</v>
      </c>
      <c r="O1" s="76">
        <v>0</v>
      </c>
      <c r="Q1" s="71" t="s">
        <v>143</v>
      </c>
      <c r="R1" s="72"/>
      <c r="S1" s="72"/>
    </row>
    <row r="2" spans="1:21" ht="92.4" customHeight="1" x14ac:dyDescent="0.3">
      <c r="A2" s="24" t="s">
        <v>43</v>
      </c>
      <c r="B2" s="24" t="s">
        <v>44</v>
      </c>
      <c r="C2" s="24" t="s">
        <v>45</v>
      </c>
      <c r="D2" s="74">
        <v>0</v>
      </c>
      <c r="E2" s="24" t="s">
        <v>112</v>
      </c>
      <c r="F2" s="74">
        <v>0</v>
      </c>
      <c r="G2" s="74">
        <v>0</v>
      </c>
      <c r="H2" s="28"/>
      <c r="I2" s="62" t="s">
        <v>110</v>
      </c>
      <c r="J2" s="24" t="s">
        <v>129</v>
      </c>
      <c r="K2" s="24" t="s">
        <v>111</v>
      </c>
      <c r="L2" s="24" t="s">
        <v>130</v>
      </c>
      <c r="M2" s="30"/>
      <c r="N2" s="24" t="s">
        <v>131</v>
      </c>
      <c r="O2" s="24" t="s">
        <v>132</v>
      </c>
      <c r="Q2" s="24" t="s">
        <v>140</v>
      </c>
      <c r="R2" s="24" t="s">
        <v>141</v>
      </c>
      <c r="S2" s="24" t="s">
        <v>142</v>
      </c>
    </row>
    <row r="3" spans="1:21" ht="28.95" customHeight="1" x14ac:dyDescent="0.3">
      <c r="A3" s="70" t="s">
        <v>82</v>
      </c>
      <c r="B3" s="70"/>
      <c r="C3" s="70"/>
      <c r="D3" s="43"/>
      <c r="E3" s="43"/>
      <c r="F3" s="44"/>
      <c r="G3" s="68" t="s">
        <v>113</v>
      </c>
      <c r="H3" s="44"/>
      <c r="I3" s="65">
        <v>-4.922591152762875</v>
      </c>
      <c r="J3" s="65">
        <v>0.74067933158404176</v>
      </c>
      <c r="K3" s="65">
        <v>-4.6000360588337932</v>
      </c>
      <c r="L3" s="65">
        <v>1.9934789493248304</v>
      </c>
      <c r="M3" s="44"/>
      <c r="N3" s="44"/>
      <c r="O3" s="44"/>
    </row>
    <row r="4" spans="1:21" customFormat="1" ht="14.4" x14ac:dyDescent="0.3">
      <c r="A4" s="32" t="s">
        <v>36</v>
      </c>
      <c r="B4" s="32" t="s">
        <v>41</v>
      </c>
      <c r="C4" s="32" t="s">
        <v>83</v>
      </c>
      <c r="D4" s="64" t="s">
        <v>128</v>
      </c>
      <c r="E4" s="34">
        <v>10</v>
      </c>
      <c r="F4" s="33">
        <v>1.4741450906</v>
      </c>
      <c r="G4" s="35">
        <v>940</v>
      </c>
      <c r="H4" s="22"/>
      <c r="I4" s="36">
        <v>-5.2089188682780456</v>
      </c>
      <c r="J4" s="36">
        <v>1.1800000000000033</v>
      </c>
      <c r="K4" s="36">
        <v>-4.9907772376937887</v>
      </c>
      <c r="L4" s="36">
        <v>4.2006999999999906</v>
      </c>
      <c r="M4" s="23"/>
      <c r="N4" s="36">
        <v>5.9055860992178815</v>
      </c>
      <c r="O4" s="36">
        <v>7.0465852761957546</v>
      </c>
      <c r="Q4" s="33">
        <v>0.19</v>
      </c>
      <c r="R4" s="33">
        <v>0.52</v>
      </c>
      <c r="S4" s="33" t="s">
        <v>139</v>
      </c>
      <c r="T4" s="56"/>
      <c r="U4" s="56"/>
    </row>
    <row r="5" spans="1:21" customFormat="1" ht="14.4" x14ac:dyDescent="0.3">
      <c r="A5" s="32" t="s">
        <v>123</v>
      </c>
      <c r="B5" s="32" t="s">
        <v>39</v>
      </c>
      <c r="C5" s="32" t="s">
        <v>84</v>
      </c>
      <c r="D5" s="64" t="s">
        <v>128</v>
      </c>
      <c r="E5" s="34">
        <v>17</v>
      </c>
      <c r="F5" s="33">
        <v>3.3238393396999997</v>
      </c>
      <c r="G5" s="35">
        <v>847</v>
      </c>
      <c r="H5" s="22"/>
      <c r="I5" s="36">
        <v>-5.0902661455425218</v>
      </c>
      <c r="J5" s="36">
        <v>1.9900000000000029</v>
      </c>
      <c r="K5" s="36">
        <v>-6.8878407753088062</v>
      </c>
      <c r="L5" s="36">
        <v>0.91980000000000395</v>
      </c>
      <c r="M5" s="23"/>
      <c r="N5" s="36">
        <v>4.7095088702504171</v>
      </c>
      <c r="O5" s="36">
        <v>6.5070492119677663</v>
      </c>
      <c r="Q5" s="33">
        <v>0.2</v>
      </c>
      <c r="R5" s="33" t="s">
        <v>139</v>
      </c>
      <c r="S5" s="33">
        <v>0.3</v>
      </c>
      <c r="T5" s="56"/>
      <c r="U5" s="56"/>
    </row>
    <row r="6" spans="1:21" customFormat="1" ht="14.4" x14ac:dyDescent="0.3">
      <c r="A6" s="32" t="s">
        <v>122</v>
      </c>
      <c r="B6" s="32" t="s">
        <v>38</v>
      </c>
      <c r="C6" s="32" t="s">
        <v>85</v>
      </c>
      <c r="D6" s="64" t="s">
        <v>128</v>
      </c>
      <c r="E6" s="34">
        <v>15</v>
      </c>
      <c r="F6" s="33">
        <v>9.6421355099999992</v>
      </c>
      <c r="G6" s="35">
        <v>2528</v>
      </c>
      <c r="H6" s="22"/>
      <c r="I6" s="36">
        <v>-5.5853314527503422</v>
      </c>
      <c r="J6" s="36">
        <v>0.40999999999999925</v>
      </c>
      <c r="K6" s="36">
        <v>-5.2779775415571102</v>
      </c>
      <c r="L6" s="36">
        <v>1.156299999999999</v>
      </c>
      <c r="M6" s="23"/>
      <c r="N6" s="36">
        <v>5.5124985932634107</v>
      </c>
      <c r="O6" s="36">
        <v>5.5374716650019087</v>
      </c>
      <c r="Q6" s="33">
        <v>0.2</v>
      </c>
      <c r="R6" s="33">
        <v>0.39</v>
      </c>
      <c r="S6" s="33" t="s">
        <v>139</v>
      </c>
      <c r="T6" s="56"/>
      <c r="U6" s="56"/>
    </row>
    <row r="7" spans="1:21" customFormat="1" ht="14.4" x14ac:dyDescent="0.3">
      <c r="A7" s="32" t="s">
        <v>124</v>
      </c>
      <c r="B7" s="32" t="s">
        <v>40</v>
      </c>
      <c r="C7" s="32" t="s">
        <v>86</v>
      </c>
      <c r="D7" s="64" t="s">
        <v>128</v>
      </c>
      <c r="E7" s="34">
        <v>15</v>
      </c>
      <c r="F7" s="33">
        <v>13.326853079999999</v>
      </c>
      <c r="G7" s="35">
        <v>3007</v>
      </c>
      <c r="H7" s="22"/>
      <c r="I7" s="36">
        <v>-5.1226209639238736</v>
      </c>
      <c r="J7" s="36">
        <v>0.20000000000000018</v>
      </c>
      <c r="K7" s="36">
        <v>-4.9249116607773864</v>
      </c>
      <c r="L7" s="36">
        <v>3.3199999999999896</v>
      </c>
      <c r="M7" s="23"/>
      <c r="N7" s="36">
        <v>4.6655748451427632</v>
      </c>
      <c r="O7" s="36">
        <v>5.6608425033761982</v>
      </c>
      <c r="Q7" s="33">
        <v>0.2</v>
      </c>
      <c r="R7" s="33">
        <v>0.2268</v>
      </c>
      <c r="S7" s="33" t="s">
        <v>139</v>
      </c>
      <c r="T7" s="56"/>
      <c r="U7" s="56"/>
    </row>
    <row r="8" spans="1:21" customFormat="1" ht="26.4" x14ac:dyDescent="0.3">
      <c r="A8" s="32" t="s">
        <v>37</v>
      </c>
      <c r="B8" s="32" t="s">
        <v>42</v>
      </c>
      <c r="C8" s="67" t="s">
        <v>125</v>
      </c>
      <c r="D8" s="64" t="s">
        <v>128</v>
      </c>
      <c r="E8" s="34">
        <v>10</v>
      </c>
      <c r="F8" s="33">
        <v>4.47750965</v>
      </c>
      <c r="G8" s="35">
        <v>2487</v>
      </c>
      <c r="H8" s="22"/>
      <c r="I8" s="36">
        <v>-2.681297709923669</v>
      </c>
      <c r="J8" s="36">
        <v>1.9900000000000029</v>
      </c>
      <c r="K8" s="36">
        <v>-0.34618088973774608</v>
      </c>
      <c r="L8" s="36">
        <v>-8.1599999999992789E-2</v>
      </c>
      <c r="M8" s="23"/>
      <c r="N8" s="36">
        <v>3.8163056284715671</v>
      </c>
      <c r="O8" s="36">
        <v>0.66885768485353947</v>
      </c>
      <c r="Q8" s="33">
        <v>0.2</v>
      </c>
      <c r="R8" s="33" t="s">
        <v>139</v>
      </c>
      <c r="S8" s="33">
        <v>0.35</v>
      </c>
      <c r="T8" s="56"/>
      <c r="U8" s="56"/>
    </row>
    <row r="9" spans="1:21" x14ac:dyDescent="0.3">
      <c r="A9" s="17"/>
      <c r="B9" s="17"/>
      <c r="C9" s="17"/>
      <c r="D9" s="17"/>
      <c r="E9" s="17"/>
      <c r="F9" s="17"/>
      <c r="G9" s="17"/>
      <c r="H9" s="17"/>
      <c r="I9" s="17"/>
      <c r="J9" s="17"/>
      <c r="K9" s="17"/>
      <c r="L9" s="17"/>
      <c r="M9" s="17"/>
      <c r="N9" s="17"/>
      <c r="O9" s="17"/>
      <c r="P9" s="17"/>
    </row>
    <row r="10" spans="1:21" s="52" customFormat="1" ht="13.8" x14ac:dyDescent="0.3">
      <c r="A10" s="50" t="s">
        <v>135</v>
      </c>
      <c r="B10" s="48"/>
      <c r="C10" s="48"/>
      <c r="D10" s="51"/>
      <c r="E10" s="51"/>
      <c r="F10" s="51"/>
      <c r="G10" s="51"/>
      <c r="H10" s="51"/>
      <c r="I10" s="51"/>
      <c r="J10" s="51"/>
      <c r="K10" s="51"/>
      <c r="L10" s="51"/>
      <c r="M10" s="51"/>
    </row>
    <row r="11" spans="1:21" s="52" customFormat="1" ht="13.8" x14ac:dyDescent="0.3">
      <c r="A11" s="48" t="s">
        <v>97</v>
      </c>
      <c r="B11" s="50"/>
      <c r="C11" s="50"/>
    </row>
    <row r="12" spans="1:21" s="52" customFormat="1" ht="13.8" x14ac:dyDescent="0.3">
      <c r="A12" s="50" t="s">
        <v>109</v>
      </c>
      <c r="B12" s="50"/>
      <c r="C12" s="50"/>
    </row>
    <row r="13" spans="1:21" s="52" customFormat="1" ht="13.8" x14ac:dyDescent="0.3">
      <c r="A13" s="50" t="s">
        <v>108</v>
      </c>
      <c r="B13" s="50"/>
      <c r="C13" s="50"/>
    </row>
    <row r="14" spans="1:21" s="52" customFormat="1" ht="13.8" x14ac:dyDescent="0.3">
      <c r="A14" s="50" t="s">
        <v>136</v>
      </c>
      <c r="B14" s="51"/>
      <c r="C14" s="51"/>
    </row>
    <row r="15" spans="1:21" s="52" customFormat="1" ht="13.8" x14ac:dyDescent="0.3">
      <c r="A15" s="53" t="s">
        <v>137</v>
      </c>
      <c r="B15" s="51"/>
      <c r="C15" s="51"/>
    </row>
    <row r="16" spans="1:21" s="52" customFormat="1" ht="13.8" x14ac:dyDescent="0.3">
      <c r="A16" s="53" t="s">
        <v>107</v>
      </c>
    </row>
    <row r="17" spans="1:5" s="52" customFormat="1" ht="13.8" x14ac:dyDescent="0.3">
      <c r="A17" s="53" t="s">
        <v>138</v>
      </c>
    </row>
    <row r="18" spans="1:5" x14ac:dyDescent="0.3">
      <c r="A18" s="53" t="s">
        <v>127</v>
      </c>
    </row>
    <row r="19" spans="1:5" x14ac:dyDescent="0.3">
      <c r="A19" s="48" t="s">
        <v>144</v>
      </c>
    </row>
    <row r="20" spans="1:5" x14ac:dyDescent="0.3">
      <c r="A20" s="48" t="s">
        <v>145</v>
      </c>
    </row>
    <row r="21" spans="1:5" x14ac:dyDescent="0.3">
      <c r="A21" s="37" t="s">
        <v>133</v>
      </c>
      <c r="B21" s="37"/>
      <c r="C21" s="37"/>
      <c r="D21" s="37"/>
      <c r="E21" s="37"/>
    </row>
    <row r="22" spans="1:5" s="52" customFormat="1" ht="13.8" x14ac:dyDescent="0.3">
      <c r="A22" s="50" t="s">
        <v>116</v>
      </c>
      <c r="B22" s="51"/>
      <c r="C22" s="51"/>
    </row>
    <row r="23" spans="1:5" s="52" customFormat="1" ht="13.8" x14ac:dyDescent="0.3">
      <c r="A23" s="50" t="s">
        <v>117</v>
      </c>
      <c r="B23" s="51"/>
      <c r="C23" s="51"/>
    </row>
    <row r="24" spans="1:5" x14ac:dyDescent="0.3">
      <c r="A24" s="18"/>
      <c r="B24" s="18"/>
      <c r="C24" s="18"/>
    </row>
    <row r="31" spans="1:5" x14ac:dyDescent="0.3">
      <c r="A31" s="37" t="s">
        <v>0</v>
      </c>
      <c r="B31" s="37" t="s">
        <v>89</v>
      </c>
      <c r="C31" s="37" t="s">
        <v>88</v>
      </c>
    </row>
    <row r="32" spans="1:5" x14ac:dyDescent="0.3">
      <c r="A32" s="32" t="s">
        <v>41</v>
      </c>
      <c r="B32" s="33">
        <v>5.9055860992178815</v>
      </c>
      <c r="C32" s="33">
        <v>1.1800000000000033</v>
      </c>
    </row>
    <row r="33" spans="1:3" x14ac:dyDescent="0.3">
      <c r="A33" s="32" t="s">
        <v>39</v>
      </c>
      <c r="B33" s="33">
        <v>4.7095088702504171</v>
      </c>
      <c r="C33" s="33">
        <v>1.9900000000000029</v>
      </c>
    </row>
    <row r="34" spans="1:3" x14ac:dyDescent="0.3">
      <c r="A34" s="32" t="s">
        <v>38</v>
      </c>
      <c r="B34" s="33">
        <v>5.5124985932634107</v>
      </c>
      <c r="C34" s="33">
        <v>0.40999999999999925</v>
      </c>
    </row>
    <row r="35" spans="1:3" x14ac:dyDescent="0.3">
      <c r="A35" s="32" t="s">
        <v>40</v>
      </c>
      <c r="B35" s="33">
        <v>4.6655748451427632</v>
      </c>
      <c r="C35" s="33">
        <v>0.20000000000000018</v>
      </c>
    </row>
    <row r="36" spans="1:3" x14ac:dyDescent="0.3">
      <c r="A36" s="32" t="s">
        <v>42</v>
      </c>
      <c r="B36" s="33">
        <v>3.8163056284715671</v>
      </c>
      <c r="C36" s="33">
        <v>1.9900000000000029</v>
      </c>
    </row>
    <row r="53" spans="1:5" x14ac:dyDescent="0.3">
      <c r="A53" s="37" t="s">
        <v>134</v>
      </c>
      <c r="B53" s="37"/>
      <c r="C53" s="37"/>
      <c r="D53" s="37"/>
      <c r="E53" s="37"/>
    </row>
    <row r="54" spans="1:5" s="52" customFormat="1" ht="13.8" x14ac:dyDescent="0.3">
      <c r="A54" s="50" t="s">
        <v>118</v>
      </c>
      <c r="B54" s="51"/>
      <c r="C54" s="51"/>
    </row>
    <row r="55" spans="1:5" s="52" customFormat="1" ht="13.8" x14ac:dyDescent="0.3">
      <c r="A55" s="50" t="s">
        <v>119</v>
      </c>
      <c r="B55" s="51"/>
      <c r="C55" s="51"/>
    </row>
    <row r="56" spans="1:5" s="52" customFormat="1" ht="13.8" x14ac:dyDescent="0.3">
      <c r="A56" s="50" t="s">
        <v>120</v>
      </c>
      <c r="B56" s="51"/>
      <c r="C56" s="51"/>
    </row>
    <row r="61" spans="1:5" x14ac:dyDescent="0.3">
      <c r="A61" s="37" t="s">
        <v>0</v>
      </c>
      <c r="B61" s="37" t="s">
        <v>94</v>
      </c>
      <c r="C61" s="37" t="s">
        <v>95</v>
      </c>
      <c r="D61" s="37" t="s">
        <v>96</v>
      </c>
    </row>
    <row r="62" spans="1:5" x14ac:dyDescent="0.3">
      <c r="A62" s="32" t="s">
        <v>41</v>
      </c>
      <c r="B62" s="33">
        <v>0.94</v>
      </c>
      <c r="C62" s="33">
        <v>1.1800000000000033</v>
      </c>
      <c r="D62" s="33">
        <v>1.4741450906</v>
      </c>
    </row>
    <row r="63" spans="1:5" x14ac:dyDescent="0.3">
      <c r="A63" s="32" t="s">
        <v>39</v>
      </c>
      <c r="B63" s="33">
        <v>0.84699999999999998</v>
      </c>
      <c r="C63" s="33">
        <v>1.9900000000000029</v>
      </c>
      <c r="D63" s="33">
        <v>3.3238393396999997</v>
      </c>
    </row>
    <row r="64" spans="1:5" x14ac:dyDescent="0.3">
      <c r="A64" s="32" t="s">
        <v>38</v>
      </c>
      <c r="B64" s="33">
        <v>2.528</v>
      </c>
      <c r="C64" s="33">
        <v>0.40999999999999925</v>
      </c>
      <c r="D64" s="33">
        <v>9.6421355099999992</v>
      </c>
    </row>
    <row r="65" spans="1:4" x14ac:dyDescent="0.3">
      <c r="A65" s="32" t="s">
        <v>40</v>
      </c>
      <c r="B65" s="33">
        <v>3.0070000000000001</v>
      </c>
      <c r="C65" s="33">
        <v>0.20000000000000018</v>
      </c>
      <c r="D65" s="33">
        <v>13.326853079999999</v>
      </c>
    </row>
    <row r="66" spans="1:4" x14ac:dyDescent="0.3">
      <c r="A66" s="32" t="s">
        <v>42</v>
      </c>
      <c r="B66" s="33">
        <v>2.4870000000000001</v>
      </c>
      <c r="C66" s="33">
        <v>1.9900000000000029</v>
      </c>
      <c r="D66" s="33">
        <v>4.47750965</v>
      </c>
    </row>
  </sheetData>
  <mergeCells count="7">
    <mergeCell ref="Q1:S1"/>
    <mergeCell ref="N1:O1"/>
    <mergeCell ref="A3:C3"/>
    <mergeCell ref="D1:D2"/>
    <mergeCell ref="F1:F2"/>
    <mergeCell ref="G1:G2"/>
    <mergeCell ref="I1:L1"/>
  </mergeCells>
  <conditionalFormatting sqref="N4:O8">
    <cfRule type="cellIs" dxfId="7" priority="11" operator="greaterThanOrEqual">
      <formula>0</formula>
    </cfRule>
    <cfRule type="cellIs" dxfId="6" priority="12" operator="lessThan">
      <formula>0</formula>
    </cfRule>
  </conditionalFormatting>
  <conditionalFormatting sqref="I4:I8">
    <cfRule type="cellIs" dxfId="5" priority="9" operator="greaterThanOrEqual">
      <formula>0</formula>
    </cfRule>
    <cfRule type="cellIs" dxfId="4" priority="10" operator="lessThan">
      <formula>0</formula>
    </cfRule>
  </conditionalFormatting>
  <conditionalFormatting sqref="J4:L8">
    <cfRule type="cellIs" dxfId="3" priority="7" operator="greaterThanOrEqual">
      <formula>0</formula>
    </cfRule>
    <cfRule type="cellIs" dxfId="2" priority="8" operator="lessThan">
      <formula>0</formula>
    </cfRule>
  </conditionalFormatting>
  <conditionalFormatting sqref="I3:L3">
    <cfRule type="cellIs" dxfId="1" priority="1" operator="greaterThanOrEqual">
      <formula>0</formula>
    </cfRule>
    <cfRule type="cellIs" dxfId="0" priority="2" operator="lessThan">
      <formula>0</formula>
    </cfRule>
  </conditionalFormatting>
  <hyperlinks>
    <hyperlink ref="C1" location="GCF_2020!A1" display="Grįžti į pagrindinį puslapį"/>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7D"/>
  </sheetPr>
  <dimension ref="A1:N69"/>
  <sheetViews>
    <sheetView showGridLines="0" zoomScale="70" zoomScaleNormal="70" workbookViewId="0">
      <selection activeCell="G2" sqref="G2"/>
    </sheetView>
  </sheetViews>
  <sheetFormatPr defaultRowHeight="13.8" x14ac:dyDescent="0.25"/>
  <cols>
    <col min="1" max="1" width="12.6640625" style="5" customWidth="1"/>
    <col min="2" max="2" width="15.88671875" style="5" customWidth="1"/>
    <col min="3" max="3" width="15.5546875" style="5" customWidth="1"/>
    <col min="4" max="4" width="15.33203125" style="5" customWidth="1"/>
    <col min="5" max="5" width="14.109375" style="5" customWidth="1"/>
    <col min="6" max="6" width="11.6640625" style="5" customWidth="1"/>
    <col min="7" max="16384" width="8.88671875" style="3"/>
  </cols>
  <sheetData>
    <row r="1" spans="1:14" x14ac:dyDescent="0.25">
      <c r="A1" s="73" t="s">
        <v>90</v>
      </c>
      <c r="B1" s="75" t="s">
        <v>98</v>
      </c>
      <c r="C1" s="77"/>
      <c r="D1" s="77"/>
      <c r="E1" s="77"/>
      <c r="F1" s="76"/>
      <c r="N1" s="19"/>
    </row>
    <row r="2" spans="1:14" ht="58.8" customHeight="1" x14ac:dyDescent="0.25">
      <c r="A2" s="74" t="s">
        <v>90</v>
      </c>
      <c r="B2" s="24" t="s">
        <v>122</v>
      </c>
      <c r="C2" s="24" t="s">
        <v>123</v>
      </c>
      <c r="D2" s="24" t="s">
        <v>124</v>
      </c>
      <c r="E2" s="24" t="s">
        <v>36</v>
      </c>
      <c r="F2" s="24" t="s">
        <v>37</v>
      </c>
      <c r="G2" s="55" t="s">
        <v>93</v>
      </c>
    </row>
    <row r="3" spans="1:14" x14ac:dyDescent="0.25">
      <c r="A3" s="54">
        <v>20</v>
      </c>
      <c r="B3" s="34">
        <v>98</v>
      </c>
      <c r="C3" s="34">
        <v>97</v>
      </c>
      <c r="D3" s="34">
        <v>90</v>
      </c>
      <c r="E3" s="34">
        <v>90</v>
      </c>
      <c r="F3" s="34">
        <v>90</v>
      </c>
    </row>
    <row r="4" spans="1:14" x14ac:dyDescent="0.25">
      <c r="A4" s="54">
        <v>21</v>
      </c>
      <c r="B4" s="34">
        <v>98</v>
      </c>
      <c r="C4" s="34">
        <v>97</v>
      </c>
      <c r="D4" s="34">
        <v>90</v>
      </c>
      <c r="E4" s="34">
        <v>90</v>
      </c>
      <c r="F4" s="34">
        <v>90</v>
      </c>
    </row>
    <row r="5" spans="1:14" x14ac:dyDescent="0.25">
      <c r="A5" s="54">
        <v>22</v>
      </c>
      <c r="B5" s="34">
        <v>98</v>
      </c>
      <c r="C5" s="34">
        <v>97</v>
      </c>
      <c r="D5" s="34">
        <v>90</v>
      </c>
      <c r="E5" s="34">
        <v>90</v>
      </c>
      <c r="F5" s="34">
        <v>90</v>
      </c>
    </row>
    <row r="6" spans="1:14" x14ac:dyDescent="0.25">
      <c r="A6" s="54">
        <v>23</v>
      </c>
      <c r="B6" s="34">
        <v>98</v>
      </c>
      <c r="C6" s="34">
        <v>97</v>
      </c>
      <c r="D6" s="34">
        <v>90</v>
      </c>
      <c r="E6" s="34">
        <v>90</v>
      </c>
      <c r="F6" s="34">
        <v>90</v>
      </c>
    </row>
    <row r="7" spans="1:14" x14ac:dyDescent="0.25">
      <c r="A7" s="54">
        <v>24</v>
      </c>
      <c r="B7" s="34">
        <v>98</v>
      </c>
      <c r="C7" s="34">
        <v>97</v>
      </c>
      <c r="D7" s="34">
        <v>90</v>
      </c>
      <c r="E7" s="34">
        <v>90</v>
      </c>
      <c r="F7" s="34">
        <v>90</v>
      </c>
    </row>
    <row r="8" spans="1:14" x14ac:dyDescent="0.25">
      <c r="A8" s="54">
        <v>25</v>
      </c>
      <c r="B8" s="34">
        <v>98</v>
      </c>
      <c r="C8" s="34">
        <v>97</v>
      </c>
      <c r="D8" s="34">
        <v>90</v>
      </c>
      <c r="E8" s="34">
        <v>90</v>
      </c>
      <c r="F8" s="34">
        <v>90</v>
      </c>
    </row>
    <row r="9" spans="1:14" x14ac:dyDescent="0.25">
      <c r="A9" s="54">
        <v>26</v>
      </c>
      <c r="B9" s="34">
        <v>98</v>
      </c>
      <c r="C9" s="34">
        <v>97</v>
      </c>
      <c r="D9" s="34">
        <v>90</v>
      </c>
      <c r="E9" s="34">
        <v>90</v>
      </c>
      <c r="F9" s="34">
        <v>90</v>
      </c>
    </row>
    <row r="10" spans="1:14" x14ac:dyDescent="0.25">
      <c r="A10" s="54">
        <v>27</v>
      </c>
      <c r="B10" s="34">
        <v>98</v>
      </c>
      <c r="C10" s="34">
        <v>97</v>
      </c>
      <c r="D10" s="34">
        <v>90</v>
      </c>
      <c r="E10" s="34">
        <v>90</v>
      </c>
      <c r="F10" s="34">
        <v>90</v>
      </c>
    </row>
    <row r="11" spans="1:14" x14ac:dyDescent="0.25">
      <c r="A11" s="54">
        <v>28</v>
      </c>
      <c r="B11" s="34">
        <v>98</v>
      </c>
      <c r="C11" s="34">
        <v>97</v>
      </c>
      <c r="D11" s="34">
        <v>90</v>
      </c>
      <c r="E11" s="34">
        <v>90</v>
      </c>
      <c r="F11" s="34">
        <v>90</v>
      </c>
    </row>
    <row r="12" spans="1:14" x14ac:dyDescent="0.25">
      <c r="A12" s="54">
        <v>29</v>
      </c>
      <c r="B12" s="34">
        <v>98</v>
      </c>
      <c r="C12" s="34">
        <v>97</v>
      </c>
      <c r="D12" s="34">
        <v>90</v>
      </c>
      <c r="E12" s="34">
        <v>90</v>
      </c>
      <c r="F12" s="34">
        <v>90</v>
      </c>
    </row>
    <row r="13" spans="1:14" x14ac:dyDescent="0.25">
      <c r="A13" s="54">
        <v>30</v>
      </c>
      <c r="B13" s="34">
        <v>98</v>
      </c>
      <c r="C13" s="34">
        <v>97</v>
      </c>
      <c r="D13" s="34">
        <v>90</v>
      </c>
      <c r="E13" s="34">
        <v>90</v>
      </c>
      <c r="F13" s="34">
        <v>90</v>
      </c>
    </row>
    <row r="14" spans="1:14" x14ac:dyDescent="0.25">
      <c r="A14" s="54">
        <v>31</v>
      </c>
      <c r="B14" s="34">
        <v>98</v>
      </c>
      <c r="C14" s="34">
        <v>97</v>
      </c>
      <c r="D14" s="34">
        <v>90</v>
      </c>
      <c r="E14" s="34">
        <v>90</v>
      </c>
      <c r="F14" s="34">
        <v>90</v>
      </c>
    </row>
    <row r="15" spans="1:14" x14ac:dyDescent="0.25">
      <c r="A15" s="54">
        <v>32</v>
      </c>
      <c r="B15" s="34">
        <v>98</v>
      </c>
      <c r="C15" s="34">
        <v>97</v>
      </c>
      <c r="D15" s="34">
        <v>90</v>
      </c>
      <c r="E15" s="34">
        <v>90</v>
      </c>
      <c r="F15" s="34">
        <v>90</v>
      </c>
    </row>
    <row r="16" spans="1:14" x14ac:dyDescent="0.25">
      <c r="A16" s="54">
        <v>33</v>
      </c>
      <c r="B16" s="34">
        <v>98</v>
      </c>
      <c r="C16" s="34">
        <v>97</v>
      </c>
      <c r="D16" s="34">
        <v>90</v>
      </c>
      <c r="E16" s="34">
        <v>90</v>
      </c>
      <c r="F16" s="34">
        <v>90</v>
      </c>
    </row>
    <row r="17" spans="1:6" x14ac:dyDescent="0.25">
      <c r="A17" s="54">
        <v>34</v>
      </c>
      <c r="B17" s="34">
        <v>98</v>
      </c>
      <c r="C17" s="34">
        <v>97</v>
      </c>
      <c r="D17" s="34">
        <v>90</v>
      </c>
      <c r="E17" s="34">
        <v>90</v>
      </c>
      <c r="F17" s="34">
        <v>90</v>
      </c>
    </row>
    <row r="18" spans="1:6" x14ac:dyDescent="0.25">
      <c r="A18" s="54">
        <v>35</v>
      </c>
      <c r="B18" s="34">
        <v>98</v>
      </c>
      <c r="C18" s="34">
        <v>97</v>
      </c>
      <c r="D18" s="34">
        <v>90</v>
      </c>
      <c r="E18" s="34">
        <v>90</v>
      </c>
      <c r="F18" s="34">
        <v>90</v>
      </c>
    </row>
    <row r="19" spans="1:6" x14ac:dyDescent="0.25">
      <c r="A19" s="54">
        <v>36</v>
      </c>
      <c r="B19" s="34">
        <v>98</v>
      </c>
      <c r="C19" s="34">
        <v>97</v>
      </c>
      <c r="D19" s="34">
        <v>90</v>
      </c>
      <c r="E19" s="34">
        <v>90</v>
      </c>
      <c r="F19" s="34">
        <v>90</v>
      </c>
    </row>
    <row r="20" spans="1:6" x14ac:dyDescent="0.25">
      <c r="A20" s="54">
        <v>37</v>
      </c>
      <c r="B20" s="34">
        <v>98</v>
      </c>
      <c r="C20" s="34">
        <v>97</v>
      </c>
      <c r="D20" s="34">
        <v>90</v>
      </c>
      <c r="E20" s="34">
        <v>90</v>
      </c>
      <c r="F20" s="34">
        <v>90</v>
      </c>
    </row>
    <row r="21" spans="1:6" x14ac:dyDescent="0.25">
      <c r="A21" s="54">
        <v>38</v>
      </c>
      <c r="B21" s="34">
        <v>98</v>
      </c>
      <c r="C21" s="34">
        <v>97</v>
      </c>
      <c r="D21" s="34">
        <v>90</v>
      </c>
      <c r="E21" s="34">
        <v>90</v>
      </c>
      <c r="F21" s="34">
        <v>90</v>
      </c>
    </row>
    <row r="22" spans="1:6" x14ac:dyDescent="0.25">
      <c r="A22" s="54">
        <v>39</v>
      </c>
      <c r="B22" s="34">
        <v>98</v>
      </c>
      <c r="C22" s="34">
        <v>97</v>
      </c>
      <c r="D22" s="34">
        <v>90</v>
      </c>
      <c r="E22" s="34">
        <v>90</v>
      </c>
      <c r="F22" s="34">
        <v>90</v>
      </c>
    </row>
    <row r="23" spans="1:6" x14ac:dyDescent="0.25">
      <c r="A23" s="54">
        <v>40</v>
      </c>
      <c r="B23" s="34">
        <v>98</v>
      </c>
      <c r="C23" s="34">
        <v>97</v>
      </c>
      <c r="D23" s="34">
        <v>90</v>
      </c>
      <c r="E23" s="34">
        <v>90</v>
      </c>
      <c r="F23" s="34">
        <v>90</v>
      </c>
    </row>
    <row r="24" spans="1:6" x14ac:dyDescent="0.25">
      <c r="A24" s="54">
        <v>41</v>
      </c>
      <c r="B24" s="34">
        <v>98</v>
      </c>
      <c r="C24" s="34">
        <v>97</v>
      </c>
      <c r="D24" s="34">
        <v>90</v>
      </c>
      <c r="E24" s="34">
        <v>90</v>
      </c>
      <c r="F24" s="34">
        <v>90</v>
      </c>
    </row>
    <row r="25" spans="1:6" x14ac:dyDescent="0.25">
      <c r="A25" s="54">
        <v>42</v>
      </c>
      <c r="B25" s="34">
        <v>98</v>
      </c>
      <c r="C25" s="34">
        <v>97</v>
      </c>
      <c r="D25" s="34">
        <v>90</v>
      </c>
      <c r="E25" s="34">
        <v>90</v>
      </c>
      <c r="F25" s="34">
        <v>90</v>
      </c>
    </row>
    <row r="26" spans="1:6" x14ac:dyDescent="0.25">
      <c r="A26" s="54">
        <v>43</v>
      </c>
      <c r="B26" s="34">
        <v>98</v>
      </c>
      <c r="C26" s="34">
        <v>97</v>
      </c>
      <c r="D26" s="34">
        <v>90</v>
      </c>
      <c r="E26" s="34">
        <v>90</v>
      </c>
      <c r="F26" s="34">
        <v>90</v>
      </c>
    </row>
    <row r="27" spans="1:6" x14ac:dyDescent="0.25">
      <c r="A27" s="54">
        <v>44</v>
      </c>
      <c r="B27" s="34">
        <v>98</v>
      </c>
      <c r="C27" s="34">
        <v>97</v>
      </c>
      <c r="D27" s="34">
        <v>90</v>
      </c>
      <c r="E27" s="34">
        <v>90</v>
      </c>
      <c r="F27" s="34">
        <v>90</v>
      </c>
    </row>
    <row r="28" spans="1:6" x14ac:dyDescent="0.25">
      <c r="A28" s="54">
        <v>45</v>
      </c>
      <c r="B28" s="34">
        <v>98</v>
      </c>
      <c r="C28" s="34">
        <v>97</v>
      </c>
      <c r="D28" s="34">
        <v>90</v>
      </c>
      <c r="E28" s="34">
        <v>90</v>
      </c>
      <c r="F28" s="34">
        <v>90</v>
      </c>
    </row>
    <row r="29" spans="1:6" x14ac:dyDescent="0.25">
      <c r="A29" s="54">
        <v>46</v>
      </c>
      <c r="B29" s="34">
        <v>98</v>
      </c>
      <c r="C29" s="34">
        <v>97</v>
      </c>
      <c r="D29" s="34">
        <v>90</v>
      </c>
      <c r="E29" s="34">
        <v>90</v>
      </c>
      <c r="F29" s="34">
        <v>89</v>
      </c>
    </row>
    <row r="30" spans="1:6" x14ac:dyDescent="0.25">
      <c r="A30" s="54">
        <v>47</v>
      </c>
      <c r="B30" s="34">
        <v>98</v>
      </c>
      <c r="C30" s="34">
        <v>97</v>
      </c>
      <c r="D30" s="34">
        <v>90</v>
      </c>
      <c r="E30" s="34">
        <v>90</v>
      </c>
      <c r="F30" s="34">
        <v>87</v>
      </c>
    </row>
    <row r="31" spans="1:6" x14ac:dyDescent="0.25">
      <c r="A31" s="54">
        <v>48</v>
      </c>
      <c r="B31" s="34">
        <v>92.9</v>
      </c>
      <c r="C31" s="34">
        <v>91.88</v>
      </c>
      <c r="D31" s="34">
        <v>90</v>
      </c>
      <c r="E31" s="34">
        <v>90</v>
      </c>
      <c r="F31" s="34">
        <v>83</v>
      </c>
    </row>
    <row r="32" spans="1:6" x14ac:dyDescent="0.25">
      <c r="A32" s="54">
        <v>49</v>
      </c>
      <c r="B32" s="34">
        <v>87.9</v>
      </c>
      <c r="C32" s="34">
        <v>86.77</v>
      </c>
      <c r="D32" s="34">
        <v>90</v>
      </c>
      <c r="E32" s="34">
        <v>90</v>
      </c>
      <c r="F32" s="34">
        <v>78</v>
      </c>
    </row>
    <row r="33" spans="1:6" x14ac:dyDescent="0.25">
      <c r="A33" s="54">
        <v>50</v>
      </c>
      <c r="B33" s="34">
        <v>82.899999999999991</v>
      </c>
      <c r="C33" s="34">
        <v>81.64</v>
      </c>
      <c r="D33" s="34">
        <v>85</v>
      </c>
      <c r="E33" s="34">
        <v>85</v>
      </c>
      <c r="F33" s="34">
        <v>72</v>
      </c>
    </row>
    <row r="34" spans="1:6" x14ac:dyDescent="0.25">
      <c r="A34" s="54">
        <v>51</v>
      </c>
      <c r="B34" s="34">
        <v>78</v>
      </c>
      <c r="C34" s="34">
        <v>76.530000000000015</v>
      </c>
      <c r="D34" s="34">
        <v>80</v>
      </c>
      <c r="E34" s="34">
        <v>80</v>
      </c>
      <c r="F34" s="34">
        <v>66</v>
      </c>
    </row>
    <row r="35" spans="1:6" x14ac:dyDescent="0.25">
      <c r="A35" s="54">
        <v>52</v>
      </c>
      <c r="B35" s="34">
        <v>73.099999999999994</v>
      </c>
      <c r="C35" s="34">
        <v>71.41</v>
      </c>
      <c r="D35" s="34">
        <v>75</v>
      </c>
      <c r="E35" s="34">
        <v>75</v>
      </c>
      <c r="F35" s="34">
        <v>59</v>
      </c>
    </row>
    <row r="36" spans="1:6" x14ac:dyDescent="0.25">
      <c r="A36" s="54">
        <v>53</v>
      </c>
      <c r="B36" s="34">
        <v>68.099999999999994</v>
      </c>
      <c r="C36" s="34">
        <v>66.3</v>
      </c>
      <c r="D36" s="34">
        <v>70</v>
      </c>
      <c r="E36" s="34">
        <v>70</v>
      </c>
      <c r="F36" s="34">
        <v>54</v>
      </c>
    </row>
    <row r="37" spans="1:6" x14ac:dyDescent="0.25">
      <c r="A37" s="54">
        <v>54</v>
      </c>
      <c r="B37" s="34">
        <v>63.3</v>
      </c>
      <c r="C37" s="34">
        <v>61.18</v>
      </c>
      <c r="D37" s="34">
        <v>65</v>
      </c>
      <c r="E37" s="34">
        <v>65</v>
      </c>
      <c r="F37" s="34">
        <v>48</v>
      </c>
    </row>
    <row r="38" spans="1:6" x14ac:dyDescent="0.25">
      <c r="A38" s="54">
        <v>55</v>
      </c>
      <c r="B38" s="34">
        <v>58.5</v>
      </c>
      <c r="C38" s="34">
        <v>56.06</v>
      </c>
      <c r="D38" s="34">
        <v>60</v>
      </c>
      <c r="E38" s="34">
        <v>60</v>
      </c>
      <c r="F38" s="34">
        <v>43</v>
      </c>
    </row>
    <row r="39" spans="1:6" x14ac:dyDescent="0.25">
      <c r="A39" s="54">
        <v>56</v>
      </c>
      <c r="B39" s="34">
        <v>53.800000000000004</v>
      </c>
      <c r="C39" s="34">
        <v>50.94</v>
      </c>
      <c r="D39" s="34">
        <v>55.000000000000007</v>
      </c>
      <c r="E39" s="34">
        <v>55.000000000000007</v>
      </c>
      <c r="F39" s="34">
        <v>39</v>
      </c>
    </row>
    <row r="40" spans="1:6" x14ac:dyDescent="0.25">
      <c r="A40" s="54">
        <v>57</v>
      </c>
      <c r="B40" s="34">
        <v>49.1</v>
      </c>
      <c r="C40" s="34">
        <v>45.82</v>
      </c>
      <c r="D40" s="34">
        <v>50</v>
      </c>
      <c r="E40" s="34">
        <v>50</v>
      </c>
      <c r="F40" s="34">
        <v>35</v>
      </c>
    </row>
    <row r="41" spans="1:6" x14ac:dyDescent="0.25">
      <c r="A41" s="54">
        <v>58</v>
      </c>
      <c r="B41" s="34">
        <v>44.4</v>
      </c>
      <c r="C41" s="34">
        <v>40.71</v>
      </c>
      <c r="D41" s="34">
        <v>44.999999999999993</v>
      </c>
      <c r="E41" s="34">
        <v>45</v>
      </c>
      <c r="F41" s="34">
        <v>32</v>
      </c>
    </row>
    <row r="42" spans="1:6" x14ac:dyDescent="0.25">
      <c r="A42" s="54">
        <v>59</v>
      </c>
      <c r="B42" s="34">
        <v>39.800000000000004</v>
      </c>
      <c r="C42" s="34">
        <v>35.589999999999996</v>
      </c>
      <c r="D42" s="34">
        <v>40</v>
      </c>
      <c r="E42" s="34">
        <v>40</v>
      </c>
      <c r="F42" s="34">
        <v>28.000000000000004</v>
      </c>
    </row>
    <row r="43" spans="1:6" x14ac:dyDescent="0.25">
      <c r="A43" s="54">
        <v>60</v>
      </c>
      <c r="B43" s="34">
        <v>35.299999999999997</v>
      </c>
      <c r="C43" s="34">
        <v>30.470000000000002</v>
      </c>
      <c r="D43" s="34">
        <v>35</v>
      </c>
      <c r="E43" s="34">
        <v>35</v>
      </c>
      <c r="F43" s="34">
        <v>26</v>
      </c>
    </row>
    <row r="44" spans="1:6" x14ac:dyDescent="0.25">
      <c r="A44" s="54">
        <v>61</v>
      </c>
      <c r="B44" s="34">
        <v>30.8</v>
      </c>
      <c r="C44" s="34">
        <v>25.35</v>
      </c>
      <c r="D44" s="34">
        <v>30</v>
      </c>
      <c r="E44" s="34">
        <v>30</v>
      </c>
      <c r="F44" s="34">
        <v>23</v>
      </c>
    </row>
    <row r="45" spans="1:6" x14ac:dyDescent="0.25">
      <c r="A45" s="54">
        <v>62</v>
      </c>
      <c r="B45" s="34">
        <v>26.6</v>
      </c>
      <c r="C45" s="34">
        <v>20.239999999999998</v>
      </c>
      <c r="D45" s="34">
        <v>25</v>
      </c>
      <c r="E45" s="34">
        <v>25</v>
      </c>
      <c r="F45" s="34">
        <v>21</v>
      </c>
    </row>
    <row r="46" spans="1:6" x14ac:dyDescent="0.25">
      <c r="A46" s="54">
        <v>63</v>
      </c>
      <c r="B46" s="34">
        <v>22.400000000000002</v>
      </c>
      <c r="C46" s="34">
        <v>15.120000000000001</v>
      </c>
      <c r="D46" s="34">
        <v>20</v>
      </c>
      <c r="E46" s="34">
        <v>20</v>
      </c>
      <c r="F46" s="34">
        <v>19</v>
      </c>
    </row>
    <row r="47" spans="1:6" x14ac:dyDescent="0.25">
      <c r="A47" s="54">
        <v>64</v>
      </c>
      <c r="B47" s="34">
        <v>18.5</v>
      </c>
      <c r="C47" s="34">
        <v>10</v>
      </c>
      <c r="D47" s="34">
        <v>15</v>
      </c>
      <c r="E47" s="34">
        <v>15</v>
      </c>
      <c r="F47" s="34">
        <v>17</v>
      </c>
    </row>
    <row r="48" spans="1:6" x14ac:dyDescent="0.25">
      <c r="A48" s="54">
        <v>65</v>
      </c>
      <c r="B48" s="34">
        <v>18.5</v>
      </c>
      <c r="C48" s="34">
        <v>10</v>
      </c>
      <c r="D48" s="34">
        <v>15</v>
      </c>
      <c r="E48" s="34">
        <v>10</v>
      </c>
      <c r="F48" s="34">
        <v>15</v>
      </c>
    </row>
    <row r="49" spans="1:6" x14ac:dyDescent="0.25">
      <c r="A49" s="54">
        <v>66</v>
      </c>
      <c r="B49" s="34">
        <v>18.5</v>
      </c>
      <c r="C49" s="34">
        <v>10</v>
      </c>
      <c r="D49" s="34">
        <v>15</v>
      </c>
      <c r="E49" s="34">
        <v>10</v>
      </c>
      <c r="F49" s="34">
        <v>15</v>
      </c>
    </row>
    <row r="50" spans="1:6" x14ac:dyDescent="0.25">
      <c r="A50" s="54">
        <v>67</v>
      </c>
      <c r="B50" s="34">
        <v>18.5</v>
      </c>
      <c r="C50" s="34">
        <v>10</v>
      </c>
      <c r="D50" s="34">
        <v>15</v>
      </c>
      <c r="E50" s="34">
        <v>10</v>
      </c>
      <c r="F50" s="34">
        <v>15</v>
      </c>
    </row>
    <row r="51" spans="1:6" x14ac:dyDescent="0.25">
      <c r="A51" s="54">
        <v>68</v>
      </c>
      <c r="B51" s="34">
        <v>18.5</v>
      </c>
      <c r="C51" s="34">
        <v>10</v>
      </c>
      <c r="D51" s="34">
        <v>15</v>
      </c>
      <c r="E51" s="34">
        <v>10</v>
      </c>
      <c r="F51" s="34">
        <v>15</v>
      </c>
    </row>
    <row r="52" spans="1:6" x14ac:dyDescent="0.25">
      <c r="A52" s="48" t="s">
        <v>99</v>
      </c>
      <c r="B52" s="48"/>
      <c r="C52" s="48"/>
      <c r="D52" s="48"/>
      <c r="E52" s="48"/>
      <c r="F52" s="48"/>
    </row>
    <row r="53" spans="1:6" x14ac:dyDescent="0.25">
      <c r="D53" s="4"/>
    </row>
    <row r="54" spans="1:6" x14ac:dyDescent="0.25">
      <c r="D54" s="4"/>
    </row>
    <row r="55" spans="1:6" x14ac:dyDescent="0.25">
      <c r="D55" s="4"/>
    </row>
    <row r="56" spans="1:6" x14ac:dyDescent="0.25">
      <c r="D56" s="4"/>
    </row>
    <row r="57" spans="1:6" x14ac:dyDescent="0.25">
      <c r="D57" s="4"/>
    </row>
    <row r="58" spans="1:6" x14ac:dyDescent="0.25">
      <c r="D58" s="4"/>
    </row>
    <row r="59" spans="1:6" x14ac:dyDescent="0.25">
      <c r="D59" s="4"/>
    </row>
    <row r="65" spans="3:3" x14ac:dyDescent="0.25">
      <c r="C65" s="4"/>
    </row>
    <row r="66" spans="3:3" x14ac:dyDescent="0.25">
      <c r="C66" s="4"/>
    </row>
    <row r="67" spans="3:3" x14ac:dyDescent="0.25">
      <c r="C67" s="4"/>
    </row>
    <row r="68" spans="3:3" x14ac:dyDescent="0.25">
      <c r="C68" s="4"/>
    </row>
    <row r="69" spans="3:3" x14ac:dyDescent="0.25">
      <c r="C69" s="4"/>
    </row>
  </sheetData>
  <mergeCells count="2">
    <mergeCell ref="B1:F1"/>
    <mergeCell ref="A1:A2"/>
  </mergeCells>
  <hyperlinks>
    <hyperlink ref="G2" location="GCF_2020!A1" display="Grįžti į pagrindinį puslapį"/>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GCF_2020</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2020-05-07T10:51:11Z</dcterms:modified>
</cp:coreProperties>
</file>