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defaultThemeVersion="124226"/>
  <xr:revisionPtr revIDLastSave="0" documentId="13_ncr:1_{1BAC9E66-E1FC-4078-BC0E-15BB502C2F87}" xr6:coauthVersionLast="47" xr6:coauthVersionMax="47" xr10:uidLastSave="{00000000-0000-0000-0000-000000000000}"/>
  <bookViews>
    <workbookView xWindow="-110" yWindow="-110" windowWidth="19420" windowHeight="11500" tabRatio="797" xr2:uid="{00000000-000D-0000-FFFF-FFFF00000000}"/>
  </bookViews>
  <sheets>
    <sheet name="GCF_2024" sheetId="12" r:id="rId1"/>
    <sheet name="1996-2002" sheetId="14" r:id="rId2"/>
    <sheet name="1989-1995" sheetId="16" r:id="rId3"/>
    <sheet name="1982-1988" sheetId="17" r:id="rId4"/>
    <sheet name="1975-1981" sheetId="18" r:id="rId5"/>
    <sheet name="1968-1974" sheetId="19" r:id="rId6"/>
    <sheet name="1961-1967" sheetId="20" r:id="rId7"/>
    <sheet name="1954-1960" sheetId="21" r:id="rId8"/>
    <sheet name="TIF" sheetId="22" r:id="rId9"/>
    <sheet name="Strategijų_palyginimas" sheetId="3" r:id="rId10"/>
  </sheets>
  <definedNames>
    <definedName name="_xlnm._FilterDatabase" localSheetId="0" hidden="1">GCF_2024!$A$1:$U$58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<sst xmlns="http://schemas.openxmlformats.org/spreadsheetml/2006/main" count="1110" uniqueCount="171">
  <si>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</si>
  <si>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</si>
  <si>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</si>
  <si>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</si>
  <si>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</si>
  <si>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</si>
  <si>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</si>
  <si>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</si>
  <si>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</si>
  <si>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</si>
  <si>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</si>
  <si>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</si>
  <si>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</si>
  <si>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</si>
  <si>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</si>
  <si>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</si>
  <si>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</si>
  <si>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</si>
  <si>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</si>
  <si>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</si>
  <si>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</si>
  <si>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</si>
  <si>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</si>
  <si>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</si>
  <si>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</si>
  <si>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</si>
  <si>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</si>
  <si>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</si>
  <si>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</si>
  <si>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</si>
  <si>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</si>
  <si>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</si>
  <si>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</si>
  <si>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</si>
  <si>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</si>
  <si>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</si>
  <si>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</si>
  <si>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</si>
  <si>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</si>
  <si>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</si>
  <si>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</si>
  <si>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</si>
  <si>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</si>
  <si>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</si>
  <si>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</si>
  <si>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</si>
  <si>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</si>
  <si>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SEB 1996–2002 metų tikslinės grupės pensijų kaupimo fondas</t>
  </si>
  <si>
    <t>Tikslinės pensijų fondų dalyvių grupės pensijų fondai, 1989-1995</t>
  </si>
  <si>
    <t>Luminor 1989–1995 tikslinės grupės pensijų fondas</t>
  </si>
  <si>
    <t>SEB 1989–1995 metų tikslinės grupės pensijų kaupimo fondas</t>
  </si>
  <si>
    <t>Tikslinės pensijų fondų dalyvių grupės pensijų fondai, 1982-1988</t>
  </si>
  <si>
    <t>Luminor 1982–1988 tikslinės grupės pensijų fondas</t>
  </si>
  <si>
    <t>SEB 1982–1988 metų tikslinės grupės pensijų kaupimo fondas</t>
  </si>
  <si>
    <t>Tikslinės pensijų fondų dalyvių grupės pensijų fondai, 1975-1981</t>
  </si>
  <si>
    <t>Luminor 1975–1981 tikslinės grupės pensijų fondas</t>
  </si>
  <si>
    <t>SEB 1975–1981 metų tikslinės grupės pensijų kaupimo fondas</t>
  </si>
  <si>
    <t>Tikslinės pensijų fondų dalyvių grupės pensijų fondai, 1968-1974</t>
  </si>
  <si>
    <t>Luminor 1968–1974 tikslinės grupės pensijų fondas</t>
  </si>
  <si>
    <t>SEB 1968–1974 metų tikslinės grupės pensijų kaupimo fondas</t>
  </si>
  <si>
    <t>Tikslinės pensijų fondų dalyvių grupės pensijų fondai, 1961-1967</t>
  </si>
  <si>
    <t>Luminor 1961–1967 tikslinės grupės pensijų fondas</t>
  </si>
  <si>
    <t>SEB 1961–1967 metų tikslinės grupės pensijų kaupimo fondas</t>
  </si>
  <si>
    <t>Tikslinės pensijų fondų dalyvių grupės pensijų fondai, 1954-1960</t>
  </si>
  <si>
    <t>Luminor 1954–1960 tikslinės grupės pensijų fondas</t>
  </si>
  <si>
    <t>SEB 1954–1960 metų tikslinės grupės pensijų kaupimo fondas</t>
  </si>
  <si>
    <t>Swedbank pensija 1954–1960</t>
  </si>
  <si>
    <t>Pensijų turto išsaugojimo pensijų fondai</t>
  </si>
  <si>
    <t>INVL pensijų turto išsaugojimo fondas</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</si>
  <si>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</si>
  <si>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</si>
  <si>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</si>
  <si>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</si>
  <si>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</si>
  <si>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</si>
  <si>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</si>
  <si>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</si>
  <si>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</si>
  <si>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</si>
  <si>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</si>
  <si>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</si>
  <si>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</si>
  <si>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r>
      <rPr>
        <b/>
        <u/>
        <sz val="10"/>
        <rFont val="Verdana"/>
        <family val="2"/>
        <charset val="186"/>
      </rPr>
      <t>Pastaba:</t>
    </r>
    <r>
      <rPr>
        <b/>
        <sz val="10"/>
        <rFont val="Verdana"/>
        <family val="2"/>
        <charset val="186"/>
      </rPr>
      <t xml:space="preserve"> </t>
    </r>
    <r>
      <rPr>
        <sz val="10"/>
        <rFont val="Verdana"/>
        <family val="2"/>
        <charset val="186"/>
      </rPr>
      <t>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r>
  </si>
  <si>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</si>
  <si>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</si>
  <si>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</si>
  <si>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</si>
  <si>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</si>
  <si>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</si>
  <si>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„Swedbank investicijų valdymas“</t>
  </si>
  <si>
    <t>Veiklos 
laikotarpis, metais</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</si>
  <si>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</si>
  <si>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</si>
  <si>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</si>
  <si>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</si>
  <si>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</si>
  <si>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</si>
  <si>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</si>
  <si>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</si>
  <si>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</si>
  <si>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</si>
  <si>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</si>
  <si>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</si>
  <si>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</si>
  <si>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</si>
  <si>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</si>
  <si>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</si>
  <si>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</si>
  <si>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r>
      <t xml:space="preserve">[7] Šie </t>
    </r>
    <r>
      <rPr>
        <sz val="10"/>
        <rFont val="Verdana"/>
        <family val="2"/>
      </rPr>
      <t>UAB „Swedbank investicijų valdymas“</t>
    </r>
    <r>
      <rPr>
        <sz val="10"/>
        <rFont val="Verdana"/>
        <family val="2"/>
        <charset val="186"/>
      </rPr>
      <t xml:space="preserve"> valdomi pensijų fondai pradėjo veiklą 2018-03-01, tačiau dėl 2019 m. sausio mėnesį įsigaliojusios pensijų pertvark</t>
    </r>
    <r>
      <rPr>
        <sz val="10"/>
        <rFont val="Verdana"/>
        <family val="2"/>
      </rPr>
      <t>os paga</t>
    </r>
    <r>
      <rPr>
        <sz val="10"/>
        <rFont val="Verdana"/>
        <family val="2"/>
        <charset val="186"/>
      </rPr>
      <t>l galiojančius teisės aktus buvo įsteigti iš naujo, todėl jų rezultatai skaičiuojami nuo 2019 m. sausio 1 d. (kaip ir visų II pakopos pensijų fondų).</t>
    </r>
  </si>
  <si>
    <t>Visų pensijų fondų svertinis vidurkis [4]:</t>
  </si>
  <si>
    <t>Luminor turto išsaugojimo fondas</t>
  </si>
  <si>
    <t xml:space="preserve">vieneto vertės standartinis nuokrypis, per praėjusius 3 metus, proc. </t>
  </si>
  <si>
    <t xml:space="preserve">lyginamojo indekso standartinis nuokrypis, per praėjusius 3 metus, proc. </t>
  </si>
  <si>
    <t>Rizikos ir grąžos palyginimas (per praėjusius 3 metus)</t>
  </si>
  <si>
    <t>Dalyvių skaičiaus, grąžos (per praėjusius 3 metus) ir fondo turto palyginimas</t>
  </si>
  <si>
    <t>[5] Investicijų į akcijas dalis, numatyta pensijų fondo strategijoje. Rizikingų turto klasių dalis gali būti padidinta arba sumažinta iki 10 procentinių punktų.</t>
  </si>
  <si>
    <t>Allianz Lietuva gyvybės draudimas UAB</t>
  </si>
  <si>
    <t>Allianz Y3 1996–2002 tikslinės grupės pensijų fondas</t>
  </si>
  <si>
    <t>Allianz Y2 1989–1995 tikslinės grupės pensijų fondas</t>
  </si>
  <si>
    <t>Allianz Y1 1982–1988 tikslinės grupės pensijų fondas</t>
  </si>
  <si>
    <t>Allianz X3 1975–1981 tikslinės grupės pensijų fondas</t>
  </si>
  <si>
    <t>Allianz X2 1968–1974 tikslinės grupės pensijų fondas</t>
  </si>
  <si>
    <t>Allianz X1 1961–1967 tikslinės grupės pensijų fondas</t>
  </si>
  <si>
    <t>Allianz B 1954–1960 tikslinės grupės pensijų fondas</t>
  </si>
  <si>
    <t>INVL pensija 1996–2002 Index Plus</t>
  </si>
  <si>
    <t>INVL pensija 1989–1995 Index Plus</t>
  </si>
  <si>
    <t>INVL pensija 1982–1988 Index Plus</t>
  </si>
  <si>
    <t>INVL pensija 1975–1981 Index Plus</t>
  </si>
  <si>
    <t>INVL pensija 1968–1974 Index Plus</t>
  </si>
  <si>
    <t>INVL pensija 1961–1967 Index Plus</t>
  </si>
  <si>
    <t>INVL pensija 1954–1960 Index Plus</t>
  </si>
  <si>
    <t>Goindex, UAB</t>
  </si>
  <si>
    <t>GOX-96/02</t>
  </si>
  <si>
    <t>GOX-89/95</t>
  </si>
  <si>
    <t>GOX-82/88</t>
  </si>
  <si>
    <t>GOX-75/81</t>
  </si>
  <si>
    <t>GOX-68/74</t>
  </si>
  <si>
    <t>GOX-61/67</t>
  </si>
  <si>
    <t>GOX-54/60</t>
  </si>
  <si>
    <t>GOX-TIPF</t>
  </si>
  <si>
    <t>Goindex pensija 1954–1960 tikslinės grupės pensijų fondas</t>
  </si>
  <si>
    <t>Goindex pensija 1961–1967 tikslinės grupės pensijų fondas</t>
  </si>
  <si>
    <t>Goindex pensija 1968–1974 tikslinės grupės pensijų fondas</t>
  </si>
  <si>
    <t>Goindex pensija 1975–1981 tikslinės grupės pensijų fondas</t>
  </si>
  <si>
    <t>Goindex pensija 1982–1988 tikslinės grupės pensijų fondas</t>
  </si>
  <si>
    <t>Goindex pensija 1989–1995 tikslinės grupės pensijų fondas</t>
  </si>
  <si>
    <t>Goindex pensija 1996–2002 tikslinės grupės pensijų fondas</t>
  </si>
  <si>
    <t>Goindex turto išsaugojimo pensijų fondas</t>
  </si>
  <si>
    <t>Allianz S turto išsaugojimo pensijų fondas</t>
  </si>
  <si>
    <t>BAR, proc. [8]</t>
  </si>
  <si>
    <t>Sąlyginis BIK, proc. [9]</t>
  </si>
  <si>
    <t>Tikėtinas  sąlyginis BIK, proc. [9]</t>
  </si>
  <si>
    <t>[8]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</si>
  <si>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</si>
  <si>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Goindex, UAB [11]</t>
  </si>
  <si>
    <t>[11] Goindex, UAB valdomi pensijų fondai įsteigti 2022-07-05</t>
  </si>
  <si>
    <t>[10] Apskaičiuota taikant geometrinį vidurkį.</t>
  </si>
  <si>
    <t>vidutinis metinis vieneto vertės pokytis [10] per praėjusius 3 metus, proc.</t>
  </si>
  <si>
    <t>vidutinis metinis vieneto vertės pokytis [10] per praėjusius 4 metus, proc.</t>
  </si>
  <si>
    <t>vidutinis lyginamojo indekso vertės pokytis [10] per praėjusius 3 metus, proc.</t>
  </si>
  <si>
    <t>vidutinis lyginamojo indekso vertės pokytis [10] per praėjusius 4 metus, proc.</t>
  </si>
  <si>
    <t>UAB "SB Asset Management"</t>
  </si>
  <si>
    <t>UAB „SB Asset Management“</t>
  </si>
  <si>
    <t>Veikia trumpiau</t>
  </si>
  <si>
    <t>Išlaidų rodikliai (2023 m.)</t>
  </si>
  <si>
    <t>6 m. 0 mėn.</t>
  </si>
  <si>
    <t>2 m. 5 mėn.</t>
  </si>
  <si>
    <t>[4] Svertiniam vidurkiui apskaičiuoti naudotas 2024-12-31 dienos fondų grynųjų aktyvų dydis.</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</si>
  <si>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</si>
  <si>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</si>
  <si>
    <t xml:space="preserve">6 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</si>
</sst>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_-* #,##0\ _€_-;\-* #,##0\ _€_-;_-* &quot;-&quot;??\ _€_-;_-@_-"/>
    <numFmt numFmtId="166" formatCode="0.00_ ;[Red]\-0.00\ "/>
    <numFmt numFmtId="167" formatCode="0.000"/>
    <numFmt numFmtId="168" formatCode="0.0%"/>
  </numFmts>
  <fonts count="34" x14ac:knownFonts="1">
    <font>
      <sz val="11"/>
      <color theme="1"/>
      <name val="Calibri"/>
      <family val="2"/>
      <scheme val="minor"/>
    </font>
    <font>
      <sz val="11"/>
      <color theme="1"/>
      <name val="Calibri"/>
      <family val="2"/>
      <charset val="186"/>
      <scheme val="minor"/>
    </font>
    <font>
      <sz val="11"/>
      <color theme="1"/>
      <name val="Calibri"/>
      <family val="2"/>
      <scheme val="minor"/>
    </font>
    <font>
      <b/>
      <sz val="11"/>
      <color theme="1"/>
      <name val="Calibri"/>
      <family val="2"/>
      <charset val="186"/>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rgb="FFFF0000"/>
      <name val="Verdana"/>
      <family val="2"/>
      <charset val="186"/>
    </font>
    <font>
      <sz val="10"/>
      <color theme="1"/>
      <name val="Calibri"/>
      <family val="2"/>
      <scheme val="minor"/>
    </font>
    <font>
      <sz val="10"/>
      <name val="Calibri"/>
      <family val="2"/>
      <scheme val="minor"/>
    </font>
    <font>
      <b/>
      <u/>
      <sz val="10"/>
      <name val="Verdana"/>
      <family val="2"/>
      <charset val="186"/>
    </font>
    <font>
      <sz val="8"/>
      <name val="Calibri"/>
      <family val="2"/>
      <scheme val="minor"/>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left>
      <right/>
      <top/>
      <bottom/>
      <diagonal/>
    </border>
    <border>
      <left/>
      <right/>
      <top style="thin">
        <color theme="0" tint="-0.249977111117893"/>
      </top>
      <bottom style="thin">
        <color theme="0" tint="-0.249977111117893"/>
      </bottom>
      <diagonal/>
    </border>
  </borders>
  <cellStyleXfs count="9">
    <xf numFmtId="0" fontId="0" fillId="0" borderId="0"/>
    <xf numFmtId="164"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0" fontId="12" fillId="0" borderId="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107">
    <xf numFmtId="0" fontId="0" fillId="0" borderId="0" xfId="0"/>
    <xf numFmtId="0" fontId="0" fillId="0" borderId="0" xfId="0" applyFill="1"/>
    <xf numFmtId="0" fontId="4" fillId="0" borderId="0" xfId="0" applyFont="1"/>
    <xf numFmtId="10" fontId="4" fillId="0" borderId="0" xfId="0" applyNumberFormat="1" applyFont="1" applyFill="1"/>
    <xf numFmtId="0" fontId="4" fillId="0" borderId="0" xfId="0" applyFont="1" applyFill="1"/>
    <xf numFmtId="14" fontId="0" fillId="0" borderId="0" xfId="0" applyNumberFormat="1"/>
    <xf numFmtId="165" fontId="0" fillId="0" borderId="0" xfId="1" applyNumberFormat="1" applyFont="1"/>
    <xf numFmtId="0" fontId="8" fillId="0" borderId="0" xfId="0" applyFont="1"/>
    <xf numFmtId="2" fontId="8" fillId="0" borderId="0" xfId="0" applyNumberFormat="1" applyFont="1" applyBorder="1"/>
    <xf numFmtId="165" fontId="8" fillId="0" borderId="0" xfId="1" applyNumberFormat="1" applyFont="1" applyBorder="1"/>
    <xf numFmtId="166" fontId="8" fillId="0" borderId="0" xfId="0" applyNumberFormat="1" applyFont="1" applyBorder="1" applyAlignment="1">
      <alignment horizontal="center"/>
    </xf>
    <xf numFmtId="166" fontId="11" fillId="0" borderId="0" xfId="0" applyNumberFormat="1" applyFont="1" applyBorder="1" applyAlignment="1">
      <alignment horizontal="center"/>
    </xf>
    <xf numFmtId="0" fontId="8" fillId="0" borderId="0" xfId="0" applyFont="1" applyFill="1"/>
    <xf numFmtId="166" fontId="8" fillId="0" borderId="0" xfId="0" applyNumberFormat="1" applyFont="1" applyFill="1" applyBorder="1" applyAlignment="1">
      <alignment horizontal="center"/>
    </xf>
    <xf numFmtId="166" fontId="11" fillId="0" borderId="0" xfId="0" applyNumberFormat="1" applyFont="1" applyFill="1" applyBorder="1" applyAlignment="1">
      <alignment horizontal="center"/>
    </xf>
    <xf numFmtId="0" fontId="13" fillId="2" borderId="0" xfId="4" applyFont="1" applyFill="1" applyAlignment="1"/>
    <xf numFmtId="0" fontId="14" fillId="0" borderId="0" xfId="0" applyFont="1"/>
    <xf numFmtId="14" fontId="14" fillId="0" borderId="0" xfId="0" applyNumberFormat="1" applyFont="1"/>
    <xf numFmtId="0" fontId="14" fillId="0" borderId="0" xfId="0" applyFont="1" applyAlignment="1"/>
    <xf numFmtId="0" fontId="17" fillId="0" borderId="0" xfId="0" applyFont="1"/>
    <xf numFmtId="9" fontId="9" fillId="0" borderId="0" xfId="2" applyFont="1" applyFill="1" applyBorder="1"/>
    <xf numFmtId="164" fontId="8" fillId="0" borderId="0" xfId="1" applyNumberFormat="1" applyFont="1" applyFill="1" applyBorder="1"/>
    <xf numFmtId="0" fontId="8" fillId="0" borderId="0" xfId="0" applyFont="1" applyBorder="1"/>
    <xf numFmtId="0" fontId="10" fillId="0" borderId="0" xfId="0" applyFont="1" applyBorder="1"/>
    <xf numFmtId="0" fontId="19" fillId="3" borderId="1" xfId="0" applyFont="1" applyFill="1" applyBorder="1" applyAlignment="1">
      <alignment horizontal="center" vertical="center" wrapText="1"/>
    </xf>
    <xf numFmtId="0" fontId="18" fillId="0" borderId="0" xfId="0" applyFont="1" applyBorder="1"/>
    <xf numFmtId="14" fontId="15" fillId="0" borderId="0" xfId="0" applyNumberFormat="1" applyFont="1" applyBorder="1" applyAlignment="1">
      <alignment horizontal="left"/>
    </xf>
    <xf numFmtId="0" fontId="8" fillId="0" borderId="0" xfId="0" applyFont="1" applyFill="1" applyBorder="1" applyAlignment="1">
      <alignment horizontal="left"/>
    </xf>
    <xf numFmtId="0" fontId="8" fillId="0" borderId="0" xfId="0" applyFont="1" applyFill="1" applyBorder="1" applyAlignment="1">
      <alignment horizontal="center"/>
    </xf>
    <xf numFmtId="0" fontId="22" fillId="0" borderId="0" xfId="0" applyFont="1" applyFill="1" applyBorder="1" applyAlignment="1">
      <alignment horizontal="left"/>
    </xf>
    <xf numFmtId="0" fontId="21" fillId="3" borderId="1" xfId="3" applyFont="1" applyFill="1" applyBorder="1" applyAlignment="1">
      <alignment horizontal="center" vertical="center" wrapText="1"/>
    </xf>
    <xf numFmtId="0" fontId="23" fillId="0" borderId="6" xfId="0" applyFont="1" applyFill="1" applyBorder="1" applyAlignment="1">
      <alignment wrapText="1"/>
    </xf>
    <xf numFmtId="2" fontId="23" fillId="0" borderId="6" xfId="0" applyNumberFormat="1" applyFont="1" applyFill="1" applyBorder="1" applyAlignment="1">
      <alignment horizontal="center" vertical="center"/>
    </xf>
    <xf numFmtId="1" fontId="23" fillId="0" borderId="6" xfId="0" applyNumberFormat="1" applyFont="1" applyFill="1" applyBorder="1" applyAlignment="1">
      <alignment horizontal="center" vertical="center"/>
    </xf>
    <xf numFmtId="165" fontId="23" fillId="0" borderId="6" xfId="1" applyNumberFormat="1" applyFont="1" applyFill="1" applyBorder="1" applyAlignment="1">
      <alignment horizontal="center" vertical="center"/>
    </xf>
    <xf numFmtId="2" fontId="23" fillId="0" borderId="6" xfId="0" applyNumberFormat="1" applyFont="1" applyFill="1" applyBorder="1" applyAlignment="1">
      <alignment horizontal="center" vertical="center" wrapText="1"/>
    </xf>
    <xf numFmtId="0" fontId="19" fillId="3" borderId="0" xfId="0" applyFont="1" applyFill="1" applyAlignment="1">
      <alignment vertical="center"/>
    </xf>
    <xf numFmtId="9" fontId="19" fillId="3" borderId="0" xfId="2" applyFont="1" applyFill="1" applyBorder="1" applyAlignment="1">
      <alignment vertical="center"/>
    </xf>
    <xf numFmtId="0" fontId="24" fillId="3" borderId="0" xfId="0" applyFont="1" applyFill="1" applyAlignment="1">
      <alignment vertical="center"/>
    </xf>
    <xf numFmtId="0" fontId="25" fillId="3" borderId="0" xfId="0" applyFont="1" applyFill="1" applyAlignment="1">
      <alignment horizontal="right" vertical="center"/>
    </xf>
    <xf numFmtId="2" fontId="19" fillId="3" borderId="0" xfId="0" applyNumberFormat="1" applyFont="1" applyFill="1" applyAlignment="1">
      <alignment vertical="center" wrapText="1"/>
    </xf>
    <xf numFmtId="0" fontId="0" fillId="0" borderId="0" xfId="0" applyFill="1" applyBorder="1"/>
    <xf numFmtId="0" fontId="0" fillId="0" borderId="0" xfId="0" applyBorder="1"/>
    <xf numFmtId="0" fontId="5" fillId="0" borderId="0" xfId="0" applyFont="1" applyFill="1" applyBorder="1" applyAlignment="1">
      <alignment wrapText="1"/>
    </xf>
    <xf numFmtId="2" fontId="4" fillId="0" borderId="0" xfId="0" applyNumberFormat="1" applyFont="1" applyFill="1" applyBorder="1" applyAlignment="1">
      <alignment horizontal="center"/>
    </xf>
    <xf numFmtId="0" fontId="27" fillId="0" borderId="0" xfId="0" applyFont="1" applyFill="1" applyBorder="1" applyAlignment="1">
      <alignment horizontal="right"/>
    </xf>
    <xf numFmtId="0" fontId="0" fillId="0" borderId="0" xfId="0" applyFont="1" applyBorder="1" applyAlignment="1"/>
    <xf numFmtId="9" fontId="0" fillId="0" borderId="0" xfId="2" applyFont="1"/>
    <xf numFmtId="0" fontId="28" fillId="2" borderId="0" xfId="4" applyFont="1" applyFill="1" applyBorder="1" applyAlignment="1"/>
    <xf numFmtId="0" fontId="31" fillId="0" borderId="0" xfId="0" applyFont="1" applyBorder="1"/>
    <xf numFmtId="0" fontId="28" fillId="0" borderId="0" xfId="0" applyFont="1" applyBorder="1"/>
    <xf numFmtId="0" fontId="28" fillId="0" borderId="0" xfId="0" applyFont="1" applyBorder="1" applyAlignment="1"/>
    <xf numFmtId="0" fontId="28" fillId="2" borderId="0" xfId="4" applyFont="1" applyFill="1" applyAlignment="1"/>
    <xf numFmtId="0" fontId="23" fillId="0" borderId="0" xfId="0" applyFont="1"/>
    <xf numFmtId="0" fontId="30" fillId="0" borderId="0" xfId="0" applyFont="1"/>
    <xf numFmtId="0" fontId="23" fillId="0" borderId="0" xfId="0" applyFont="1" applyAlignment="1"/>
    <xf numFmtId="1" fontId="6" fillId="0" borderId="6" xfId="0" applyNumberFormat="1" applyFont="1" applyFill="1" applyBorder="1" applyAlignment="1">
      <alignment horizontal="center" vertical="center"/>
    </xf>
    <xf numFmtId="2" fontId="0" fillId="0" borderId="0" xfId="0" applyNumberFormat="1"/>
    <xf numFmtId="167" fontId="0" fillId="0" borderId="0" xfId="0" applyNumberFormat="1"/>
    <xf numFmtId="165" fontId="0" fillId="0" borderId="0" xfId="0" applyNumberFormat="1"/>
    <xf numFmtId="168" fontId="0" fillId="0" borderId="0" xfId="2" applyNumberFormat="1" applyFont="1"/>
    <xf numFmtId="164" fontId="0" fillId="0" borderId="0" xfId="1" applyFont="1"/>
    <xf numFmtId="0" fontId="19" fillId="3" borderId="2" xfId="0" applyFont="1" applyFill="1" applyBorder="1" applyAlignment="1">
      <alignment horizontal="center" vertical="center" wrapText="1"/>
    </xf>
    <xf numFmtId="0" fontId="19" fillId="3" borderId="2" xfId="0" applyFont="1" applyFill="1" applyBorder="1" applyAlignment="1">
      <alignment horizontal="center" vertical="center" wrapText="1"/>
    </xf>
    <xf numFmtId="9" fontId="0" fillId="0" borderId="0" xfId="2" applyNumberFormat="1" applyFont="1"/>
    <xf numFmtId="1" fontId="28" fillId="0" borderId="6" xfId="0" applyNumberFormat="1" applyFont="1" applyFill="1" applyBorder="1" applyAlignment="1">
      <alignment horizontal="center" vertical="center"/>
    </xf>
    <xf numFmtId="2" fontId="6" fillId="0" borderId="0" xfId="0" applyNumberFormat="1" applyFont="1" applyFill="1" applyBorder="1" applyAlignment="1">
      <alignment horizontal="center" wrapText="1"/>
    </xf>
    <xf numFmtId="2" fontId="6" fillId="0" borderId="0" xfId="0" applyNumberFormat="1" applyFont="1" applyFill="1" applyBorder="1" applyAlignment="1">
      <alignment horizontal="right" wrapText="1"/>
    </xf>
    <xf numFmtId="0" fontId="23" fillId="0" borderId="6" xfId="0" applyFont="1" applyFill="1" applyBorder="1" applyAlignment="1">
      <alignment horizontal="left" wrapText="1"/>
    </xf>
    <xf numFmtId="2" fontId="5" fillId="0" borderId="0" xfId="0" applyNumberFormat="1" applyFont="1" applyFill="1" applyBorder="1" applyAlignment="1">
      <alignment horizontal="right"/>
    </xf>
    <xf numFmtId="10" fontId="0" fillId="0" borderId="0" xfId="2" applyNumberFormat="1" applyFont="1"/>
    <xf numFmtId="2" fontId="28" fillId="2" borderId="0" xfId="4" applyNumberFormat="1" applyFont="1" applyFill="1" applyBorder="1" applyAlignment="1"/>
    <xf numFmtId="9" fontId="0" fillId="0" borderId="0" xfId="2" applyFont="1" applyBorder="1" applyAlignment="1"/>
    <xf numFmtId="168" fontId="0" fillId="0" borderId="0" xfId="0" applyNumberFormat="1"/>
    <xf numFmtId="1" fontId="0" fillId="0" borderId="0" xfId="0" applyNumberFormat="1"/>
    <xf numFmtId="168" fontId="0" fillId="0" borderId="0" xfId="2" applyNumberFormat="1" applyFont="1" applyAlignment="1">
      <alignment horizontal="left"/>
    </xf>
    <xf numFmtId="0" fontId="0" fillId="0" borderId="0" xfId="0" applyAlignment="1">
      <alignment horizontal="left"/>
    </xf>
    <xf numFmtId="9" fontId="0" fillId="0" borderId="0" xfId="2" applyFont="1" applyAlignment="1">
      <alignment horizontal="left"/>
    </xf>
    <xf numFmtId="14" fontId="0" fillId="0" borderId="0" xfId="1" applyNumberFormat="1" applyFont="1" applyAlignment="1">
      <alignment horizontal="left"/>
    </xf>
    <xf numFmtId="0" fontId="0" fillId="0" borderId="0" xfId="1" applyNumberFormat="1" applyFont="1" applyAlignment="1">
      <alignment horizontal="left"/>
    </xf>
    <xf numFmtId="168" fontId="0" fillId="0" borderId="0" xfId="2" applyNumberFormat="1" applyFont="1" applyAlignment="1">
      <alignment horizontal="center"/>
    </xf>
    <xf numFmtId="9" fontId="3" fillId="0" borderId="0" xfId="2" applyNumberFormat="1" applyFont="1"/>
    <xf numFmtId="9" fontId="0" fillId="0" borderId="0" xfId="2" applyFont="1" applyAlignment="1">
      <alignment horizontal="center"/>
    </xf>
    <xf numFmtId="2" fontId="23" fillId="0" borderId="6" xfId="0" applyNumberFormat="1" applyFont="1" applyBorder="1" applyAlignment="1">
      <alignment horizontal="center" vertical="center"/>
    </xf>
    <xf numFmtId="0" fontId="5" fillId="0" borderId="0" xfId="0" applyFont="1" applyAlignment="1">
      <alignment wrapText="1"/>
    </xf>
    <xf numFmtId="0" fontId="29" fillId="0" borderId="0" xfId="0" applyFont="1"/>
    <xf numFmtId="0" fontId="19" fillId="3" borderId="0" xfId="0" applyFont="1" applyFill="1" applyBorder="1" applyAlignment="1">
      <alignment horizontal="center" vertical="center" wrapText="1"/>
    </xf>
    <xf numFmtId="0" fontId="19" fillId="3" borderId="0" xfId="0" applyFont="1" applyFill="1" applyBorder="1" applyAlignment="1">
      <alignment horizontal="center" vertical="center" wrapText="1"/>
    </xf>
    <xf numFmtId="0" fontId="28" fillId="2" borderId="0" xfId="4" applyFont="1" applyFill="1"/>
    <xf numFmtId="2" fontId="23" fillId="2" borderId="6" xfId="0" applyNumberFormat="1" applyFont="1" applyFill="1" applyBorder="1" applyAlignment="1">
      <alignment horizontal="center" vertical="center"/>
    </xf>
    <xf numFmtId="14" fontId="7" fillId="0" borderId="0" xfId="3" applyNumberFormat="1" applyAlignment="1">
      <alignment vertical="top"/>
    </xf>
    <xf numFmtId="14" fontId="20" fillId="2" borderId="1" xfId="0" applyNumberFormat="1" applyFont="1" applyFill="1" applyBorder="1" applyAlignment="1">
      <alignment horizontal="left" wrapText="1"/>
    </xf>
    <xf numFmtId="0" fontId="27" fillId="0" borderId="0" xfId="0" applyFont="1" applyFill="1" applyBorder="1" applyAlignment="1">
      <alignment wrapText="1"/>
    </xf>
    <xf numFmtId="1" fontId="16" fillId="0" borderId="6" xfId="0" applyNumberFormat="1" applyFont="1" applyFill="1" applyBorder="1" applyAlignment="1">
      <alignment horizontal="center" vertical="center"/>
    </xf>
    <xf numFmtId="0" fontId="7" fillId="0" borderId="0" xfId="3" applyAlignment="1">
      <alignment vertical="top"/>
    </xf>
    <xf numFmtId="0" fontId="8" fillId="0" borderId="0" xfId="0" applyFont="1" applyFill="1" applyBorder="1"/>
    <xf numFmtId="0" fontId="10" fillId="0" borderId="0" xfId="0" applyFont="1" applyFill="1" applyBorder="1"/>
    <xf numFmtId="2" fontId="0" fillId="0" borderId="0" xfId="0" applyNumberFormat="1" applyFill="1"/>
    <xf numFmtId="0" fontId="19" fillId="3" borderId="8"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2"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4" xfId="0" applyFont="1" applyFill="1" applyBorder="1" applyAlignment="1">
      <alignment horizontal="center" vertical="center" wrapText="1"/>
    </xf>
    <xf numFmtId="0" fontId="19" fillId="3" borderId="0" xfId="0" applyFont="1" applyFill="1" applyBorder="1" applyAlignment="1">
      <alignment horizontal="center" vertical="center" wrapText="1"/>
    </xf>
    <xf numFmtId="0" fontId="26" fillId="0" borderId="7" xfId="0" applyFont="1" applyFill="1" applyBorder="1" applyAlignment="1">
      <alignment horizontal="left" wrapText="1"/>
    </xf>
    <xf numFmtId="0" fontId="26" fillId="0" borderId="9" xfId="0" applyFont="1" applyFill="1" applyBorder="1" applyAlignment="1">
      <alignment horizontal="left" wrapText="1"/>
    </xf>
  </cellXfs>
  <cellStyles count="9">
    <cellStyle name="Comma" xfId="1" builtinId="3"/>
    <cellStyle name="Hyperlink" xfId="3" builtinId="8"/>
    <cellStyle name="Normal" xfId="0" builtinId="0"/>
    <cellStyle name="Normal 2" xfId="5" xr:uid="{00000000-0005-0000-0000-000003000000}"/>
    <cellStyle name="Normal 3" xfId="4" xr:uid="{00000000-0005-0000-0000-000004000000}"/>
    <cellStyle name="Normal 4" xfId="7" xr:uid="{8D47C13E-5933-4975-93DC-F5D6828949C6}"/>
    <cellStyle name="Percent" xfId="2" builtinId="5"/>
    <cellStyle name="Percent 2" xfId="6" xr:uid="{00000000-0005-0000-0000-000006000000}"/>
    <cellStyle name="Percent 3" xfId="8" xr:uid="{A965C833-06AC-4255-A737-E6F2932E09BB}"/>
  </cellStyles>
  <dxfs count="357">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00B07D"/>
      <color rgb="FF903F98"/>
      <color rgb="FFFCAF17"/>
      <color rgb="FFCCFFCC"/>
      <color rgb="FF66FF99"/>
      <color rgb="FFBDFFBD"/>
      <color rgb="FF66FFCC"/>
      <color rgb="FFFFFFD5"/>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'1996-2002'!$C$35</c:f>
              <c:strCache>
                <c:ptCount val="1"/>
                <c:pt idx="0">
                  <c:v>Grąža</c:v>
                </c:pt>
              </c:strCache>
            </c:strRef>
          </c:tx>
          <c:spPr>
            <a:ln w="28575">
              <a:noFill/>
            </a:ln>
          </c:spPr>
          <c:marker>
            <c:symbol val="diamond"/>
            <c:size val="15"/>
            <c:spPr>
              <a:solidFill>
                <a:srgbClr val="00B07D"/>
              </a:solidFill>
            </c:spPr>
          </c:marker>
          <c:dLbls>
            <c:dLbl>
              <c:idx val="0"/>
              <c:layout>
                <c:manualLayout>
                  <c:x val="-3.674124410977795E-2"/>
                  <c:y val="3.2161924728608023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860-4352-B4A7-E0227C328F97}"/>
                </c:ext>
              </c:extLst>
            </c:dLbl>
            <c:dLbl>
              <c:idx val="1"/>
              <c:layout>
                <c:manualLayout>
                  <c:x val="3.7328937154873829E-4"/>
                  <c:y val="-2.0978161782844198E-2"/>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860-4352-B4A7-E0227C328F97}"/>
                </c:ext>
              </c:extLst>
            </c:dLbl>
            <c:dLbl>
              <c:idx val="2"/>
              <c:layout>
                <c:manualLayout>
                  <c:x val="-5.3981262529887546E-3"/>
                  <c:y val="1.2838256906261806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60-4352-B4A7-E0227C328F97}"/>
                </c:ext>
              </c:extLst>
            </c:dLbl>
            <c:dLbl>
              <c:idx val="3"/>
              <c:layout>
                <c:manualLayout>
                  <c:x val="-4.0095122842978399E-2"/>
                  <c:y val="-3.3055454171810612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860-4352-B4A7-E0227C328F97}"/>
                </c:ext>
              </c:extLst>
            </c:dLbl>
            <c:dLbl>
              <c:idx val="4"/>
              <c:layout>
                <c:manualLayout>
                  <c:x val="-9.5361469265729568E-2"/>
                  <c:y val="2.2488382453859201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860-4352-B4A7-E0227C328F97}"/>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'1996-2002'!$B$36:$B$40</c:f>
              <c:numCache>
                <c:formatCode>0.00</c:formatCode>
                <c:ptCount val="5"/>
                <c:pt idx="0">
                  <c:v>10.953493600976055</c:v>
                </c:pt>
                <c:pt idx="1">
                  <c:v>10.501563457874765</c:v>
                </c:pt>
                <c:pt idx="2">
                  <c:v>11.866263189495237</c:v>
                </c:pt>
                <c:pt idx="3">
                  <c:v>13.008241713976862</c:v>
                </c:pt>
                <c:pt idx="4">
                  <c:v>12.054386611495641</c:v>
                </c:pt>
              </c:numCache>
            </c:numRef>
          </c:xVal>
          <c:yVal>
            <c:numRef>
              <c:f>'1996-2002'!$C$36:$C$40</c:f>
              <c:numCache>
                <c:formatCode>0.00</c:formatCode>
                <c:ptCount val="5"/>
                <c:pt idx="0">
                  <c:v>5.3417720732442664</c:v>
                </c:pt>
                <c:pt idx="1">
                  <c:v>6.5727644243402272</c:v>
                </c:pt>
                <c:pt idx="2">
                  <c:v>6.0151502967555226</c:v>
                </c:pt>
                <c:pt idx="3">
                  <c:v>5.2931933194923397</c:v>
                </c:pt>
                <c:pt idx="4">
                  <c:v>6.9833581895546448</c:v>
                </c:pt>
              </c:numCache>
            </c:numRef>
          </c:yVal>
          <c:smooth val="0"/>
          <c:extLst>
            <c:ext xmlns:c16="http://schemas.microsoft.com/office/drawing/2014/chart" uri="{C3380CC4-5D6E-409C-BE32-E72D297353CC}">
              <c16:uniqueId val="{00000005-8860-4352-B4A7-E0227C328F97}"/>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'1996-2002'!$C$65</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53C-4946-AE92-4A6B05DD8755}"/>
                </c:ext>
              </c:extLst>
            </c:dLbl>
            <c:dLbl>
              <c:idx val="1"/>
              <c:layout>
                <c:manualLayout>
                  <c:x val="-0.16090713667769807"/>
                  <c:y val="-3.5634004700962986E-2"/>
                </c:manualLayout>
              </c:layout>
              <c:tx>
                <c:rich>
                  <a:bodyPr/>
                  <a:lstStyle/>
                  <a:p>
                    <a:r>
                      <a:rPr lang="en-US"/>
                      <a:t>INV-96/02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53C-4946-AE92-4A6B05DD8755}"/>
                </c:ext>
              </c:extLst>
            </c:dLbl>
            <c:dLbl>
              <c:idx val="2"/>
              <c:layout>
                <c:manualLayout>
                  <c:x val="-0.11971402234148214"/>
                  <c:y val="8.9085011752407406E-2"/>
                </c:manualLayout>
              </c:layout>
              <c:tx>
                <c:rich>
                  <a:bodyPr/>
                  <a:lstStyle/>
                  <a:p>
                    <a:r>
                      <a:rPr lang="en-US"/>
                      <a:t>SBN-96/02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53C-4946-AE92-4A6B05DD8755}"/>
                </c:ext>
              </c:extLst>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53C-4946-AE92-4A6B05DD8755}"/>
                </c:ext>
              </c:extLst>
            </c:dLbl>
            <c:dLbl>
              <c:idx val="4"/>
              <c:layout>
                <c:manualLayout>
                  <c:x val="-7.2785063703625511E-3"/>
                  <c:y val="-1.7817002350481479E-2"/>
                </c:manualLayout>
              </c:layout>
              <c:tx>
                <c:rich>
                  <a:bodyPr/>
                  <a:lstStyle/>
                  <a:p>
                    <a:r>
                      <a:rPr lang="en-US"/>
                      <a:t>AVI-96/02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53C-4946-AE92-4A6B05DD8755}"/>
                </c:ext>
              </c:extLst>
            </c:dLbl>
            <c:spPr>
              <a:noFill/>
              <a:ln>
                <a:noFill/>
              </a:ln>
              <a:effectLst/>
            </c:spPr>
            <c:dLblPos val="l"/>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'1996-2002'!$B$66:$B$70</c:f>
              <c:numCache>
                <c:formatCode>0.00</c:formatCode>
                <c:ptCount val="5"/>
                <c:pt idx="0">
                  <c:v>18.501999999999999</c:v>
                </c:pt>
                <c:pt idx="1">
                  <c:v>20.721</c:v>
                </c:pt>
                <c:pt idx="2">
                  <c:v>22.917999999999999</c:v>
                </c:pt>
                <c:pt idx="3">
                  <c:v>50.970999999999997</c:v>
                </c:pt>
                <c:pt idx="4">
                  <c:v>21.251999999999999</c:v>
                </c:pt>
              </c:numCache>
            </c:numRef>
          </c:xVal>
          <c:yVal>
            <c:numRef>
              <c:f>'1996-2002'!$C$66:$C$70</c:f>
              <c:numCache>
                <c:formatCode>0.00</c:formatCode>
                <c:ptCount val="5"/>
                <c:pt idx="0">
                  <c:v>5.3417720732442664</c:v>
                </c:pt>
                <c:pt idx="1">
                  <c:v>6.5727644243402272</c:v>
                </c:pt>
                <c:pt idx="2">
                  <c:v>6.0151502967555226</c:v>
                </c:pt>
                <c:pt idx="3">
                  <c:v>5.2931933194923397</c:v>
                </c:pt>
                <c:pt idx="4">
                  <c:v>6.9833581895546448</c:v>
                </c:pt>
              </c:numCache>
            </c:numRef>
          </c:yVal>
          <c:bubbleSize>
            <c:numRef>
              <c:f>'1996-2002'!$D$66:$D$70</c:f>
              <c:numCache>
                <c:formatCode>0.00</c:formatCode>
                <c:ptCount val="5"/>
                <c:pt idx="0">
                  <c:v>29.740268920000002</c:v>
                </c:pt>
                <c:pt idx="1">
                  <c:v>48.602559647</c:v>
                </c:pt>
                <c:pt idx="2">
                  <c:v>65.179485150000005</c:v>
                </c:pt>
                <c:pt idx="3">
                  <c:v>147.85244422</c:v>
                </c:pt>
                <c:pt idx="4">
                  <c:v>52.952191240000005</c:v>
                </c:pt>
              </c:numCache>
            </c:numRef>
          </c:bubbleSize>
          <c:bubble3D val="1"/>
          <c:extLst>
            <c:ext xmlns:c16="http://schemas.microsoft.com/office/drawing/2014/chart" uri="{C3380CC4-5D6E-409C-BE32-E72D297353CC}">
              <c16:uniqueId val="{00000005-A53C-4946-AE92-4A6B05DD8755}"/>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'1989-1995'!$C$35</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412-40F2-BDB2-8F13477A2024}"/>
                </c:ext>
              </c:extLst>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12-40F2-BDB2-8F13477A2024}"/>
                </c:ext>
              </c:extLst>
            </c:dLbl>
            <c:dLbl>
              <c:idx val="2"/>
              <c:layout>
                <c:manualLayout>
                  <c:x val="-5.8274074450792536E-3"/>
                  <c:y val="-2.6067259078446731E-2"/>
                </c:manualLayout>
              </c:layout>
              <c:tx>
                <c:rich>
                  <a:bodyPr/>
                  <a:lstStyle/>
                  <a:p>
                    <a:r>
                      <a:rPr lang="en-US"/>
                      <a:t>SBN-89/95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412-40F2-BDB2-8F13477A2024}"/>
                </c:ext>
              </c:extLst>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12-40F2-BDB2-8F13477A2024}"/>
                </c:ext>
              </c:extLst>
            </c:dLbl>
            <c:dLbl>
              <c:idx val="4"/>
              <c:layout>
                <c:manualLayout>
                  <c:x val="-8.976862165490751E-2"/>
                  <c:y val="1.580101600412007E-2"/>
                </c:manualLayout>
              </c:layout>
              <c:tx>
                <c:rich>
                  <a:bodyPr/>
                  <a:lstStyle/>
                  <a:p>
                    <a:r>
                      <a:rPr lang="en-US"/>
                      <a:t>AVI-89/95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412-40F2-BDB2-8F13477A2024}"/>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'1989-1995'!$B$36:$B$40</c:f>
              <c:numCache>
                <c:formatCode>0.00</c:formatCode>
                <c:ptCount val="5"/>
                <c:pt idx="0">
                  <c:v>10.901240910311421</c:v>
                </c:pt>
                <c:pt idx="1">
                  <c:v>10.144219239651159</c:v>
                </c:pt>
                <c:pt idx="2">
                  <c:v>11.802548349020409</c:v>
                </c:pt>
                <c:pt idx="3">
                  <c:v>12.571949946363025</c:v>
                </c:pt>
                <c:pt idx="4">
                  <c:v>11.806467416783114</c:v>
                </c:pt>
              </c:numCache>
            </c:numRef>
          </c:xVal>
          <c:yVal>
            <c:numRef>
              <c:f>'1989-1995'!$C$36:$C$40</c:f>
              <c:numCache>
                <c:formatCode>0.00</c:formatCode>
                <c:ptCount val="5"/>
                <c:pt idx="0">
                  <c:v>5.394375555171127</c:v>
                </c:pt>
                <c:pt idx="1">
                  <c:v>6.5466817966358226</c:v>
                </c:pt>
                <c:pt idx="2">
                  <c:v>5.8584586001411809</c:v>
                </c:pt>
                <c:pt idx="3">
                  <c:v>5.147348507764149</c:v>
                </c:pt>
                <c:pt idx="4">
                  <c:v>7.5436423196709956</c:v>
                </c:pt>
              </c:numCache>
            </c:numRef>
          </c:yVal>
          <c:smooth val="0"/>
          <c:extLst>
            <c:ext xmlns:c16="http://schemas.microsoft.com/office/drawing/2014/chart" uri="{C3380CC4-5D6E-409C-BE32-E72D297353CC}">
              <c16:uniqueId val="{00000005-F412-40F2-BDB2-8F13477A2024}"/>
            </c:ext>
          </c:extLst>
        </c:ser>
        <c:dLbls>
          <c:showLegendKey val="0"/>
          <c:showVal val="0"/>
          <c:showCatName val="0"/>
          <c:showSerName val="0"/>
          <c:showPercent val="0"/>
          <c:showBubbleSize val="0"/>
        </c:dLbls>
        <c:axId val="135527744"/>
        <c:axId val="139149312"/>
      </c:scatterChart>
      <c:valAx>
        <c:axId val="135527744"/>
        <c:scaling>
          <c:orientation val="minMax"/>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39149312"/>
        <c:crosses val="autoZero"/>
        <c:crossBetween val="midCat"/>
      </c:valAx>
      <c:valAx>
        <c:axId val="13914931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7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'1989-1995'!$C$65</c:f>
              <c:strCache>
                <c:ptCount val="1"/>
                <c:pt idx="0">
                  <c:v>Grąža (proc.)</c:v>
                </c:pt>
              </c:strCache>
            </c:strRef>
          </c:tx>
          <c:spPr>
            <a:solidFill>
              <a:srgbClr val="00B07D"/>
            </a:solidFill>
          </c:spPr>
          <c:invertIfNegative val="0"/>
          <c:dLbls>
            <c:dLbl>
              <c:idx val="0"/>
              <c:layout>
                <c:manualLayout>
                  <c:x val="-5.1817720763438158E-2"/>
                  <c:y val="-8.3102078198553753E-2"/>
                </c:manualLayout>
              </c:layout>
              <c:tx>
                <c:rich>
                  <a:bodyPr/>
                  <a:lstStyle/>
                  <a:p>
                    <a:r>
                      <a:rPr lang="en-US"/>
                      <a:t>LMN-89/95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FE25-413C-8F80-D3A6422BD710}"/>
                </c:ext>
              </c:extLst>
            </c:dLbl>
            <c:dLbl>
              <c:idx val="1"/>
              <c:layout>
                <c:manualLayout>
                  <c:x val="-8.8219299587331962E-2"/>
                  <c:y val="-9.120371029407312E-2"/>
                </c:manualLayout>
              </c:layout>
              <c:tx>
                <c:rich>
                  <a:bodyPr/>
                  <a:lstStyle/>
                  <a:p>
                    <a:r>
                      <a:rPr lang="en-US"/>
                      <a:t>INV-89/95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FE25-413C-8F80-D3A6422BD710}"/>
                </c:ext>
              </c:extLst>
            </c:dLbl>
            <c:dLbl>
              <c:idx val="2"/>
              <c:layout>
                <c:manualLayout>
                  <c:x val="-2.1505886280938271E-3"/>
                  <c:y val="-5.1266965432681916E-2"/>
                </c:manualLayout>
              </c:layout>
              <c:tx>
                <c:rich>
                  <a:bodyPr/>
                  <a:lstStyle/>
                  <a:p>
                    <a:r>
                      <a:rPr lang="en-US"/>
                      <a:t>SBN-89/95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FE25-413C-8F80-D3A6422BD710}"/>
                </c:ext>
              </c:extLst>
            </c:dLbl>
            <c:dLbl>
              <c:idx val="3"/>
              <c:layout>
                <c:manualLayout>
                  <c:x val="0"/>
                  <c:y val="-5.1490041547422156E-2"/>
                </c:manualLayout>
              </c:layout>
              <c:tx>
                <c:rich>
                  <a:bodyPr/>
                  <a:lstStyle/>
                  <a:p>
                    <a:r>
                      <a:rPr lang="en-US"/>
                      <a:t>SWD-89/95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FE25-413C-8F80-D3A6422BD710}"/>
                </c:ext>
              </c:extLst>
            </c:dLbl>
            <c:dLbl>
              <c:idx val="4"/>
              <c:layout>
                <c:manualLayout>
                  <c:x val="-9.1600396660264413E-2"/>
                  <c:y val="7.7975993702234486E-2"/>
                </c:manualLayout>
              </c:layout>
              <c:tx>
                <c:rich>
                  <a:bodyPr/>
                  <a:lstStyle/>
                  <a:p>
                    <a:r>
                      <a:rPr lang="en-US"/>
                      <a:t>AVI-89/95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FE25-413C-8F80-D3A6422BD710}"/>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'1989-1995'!$B$66:$B$70</c:f>
              <c:numCache>
                <c:formatCode>0.00</c:formatCode>
                <c:ptCount val="5"/>
                <c:pt idx="0">
                  <c:v>21.085999999999999</c:v>
                </c:pt>
                <c:pt idx="1">
                  <c:v>35.841000000000001</c:v>
                </c:pt>
                <c:pt idx="2">
                  <c:v>46.030999999999999</c:v>
                </c:pt>
                <c:pt idx="3">
                  <c:v>96.073999999999998</c:v>
                </c:pt>
                <c:pt idx="4">
                  <c:v>34.411999999999999</c:v>
                </c:pt>
              </c:numCache>
            </c:numRef>
          </c:xVal>
          <c:yVal>
            <c:numRef>
              <c:f>'1989-1995'!$C$66:$C$70</c:f>
              <c:numCache>
                <c:formatCode>0.00</c:formatCode>
                <c:ptCount val="5"/>
                <c:pt idx="0">
                  <c:v>5.394375555171127</c:v>
                </c:pt>
                <c:pt idx="1">
                  <c:v>6.5466817966358226</c:v>
                </c:pt>
                <c:pt idx="2">
                  <c:v>5.8584586001411809</c:v>
                </c:pt>
                <c:pt idx="3">
                  <c:v>5.147348507764149</c:v>
                </c:pt>
                <c:pt idx="4">
                  <c:v>7.5436423196709956</c:v>
                </c:pt>
              </c:numCache>
            </c:numRef>
          </c:yVal>
          <c:bubbleSize>
            <c:numRef>
              <c:f>'1989-1995'!$D$66:$D$70</c:f>
              <c:numCache>
                <c:formatCode>0.00</c:formatCode>
                <c:ptCount val="5"/>
                <c:pt idx="0">
                  <c:v>83.279511360000001</c:v>
                </c:pt>
                <c:pt idx="1">
                  <c:v>168.7069388139</c:v>
                </c:pt>
                <c:pt idx="2">
                  <c:v>228.51173763999998</c:v>
                </c:pt>
                <c:pt idx="3">
                  <c:v>456.89684125999997</c:v>
                </c:pt>
                <c:pt idx="4">
                  <c:v>142.91414558000002</c:v>
                </c:pt>
              </c:numCache>
            </c:numRef>
          </c:bubbleSize>
          <c:bubble3D val="1"/>
          <c:extLst>
            <c:ext xmlns:c16="http://schemas.microsoft.com/office/drawing/2014/chart" uri="{C3380CC4-5D6E-409C-BE32-E72D297353CC}">
              <c16:uniqueId val="{00000005-FE25-413C-8F80-D3A6422BD710}"/>
            </c:ext>
          </c:extLst>
        </c:ser>
        <c:dLbls>
          <c:showLegendKey val="0"/>
          <c:showVal val="0"/>
          <c:showCatName val="0"/>
          <c:showSerName val="0"/>
          <c:showPercent val="0"/>
          <c:showBubbleSize val="0"/>
        </c:dLbls>
        <c:bubbleScale val="100"/>
        <c:showNegBubbles val="0"/>
        <c:axId val="139151040"/>
        <c:axId val="139151616"/>
      </c:bubbleChart>
      <c:valAx>
        <c:axId val="1391510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1616"/>
        <c:crosses val="autoZero"/>
        <c:crossBetween val="midCat"/>
      </c:valAx>
      <c:valAx>
        <c:axId val="1391516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10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'1982-1988'!$C$35</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9F0-4BD4-B51D-160C42226E36}"/>
                </c:ext>
              </c:extLst>
            </c:dLbl>
            <c:dLbl>
              <c:idx val="1"/>
              <c:layout>
                <c:manualLayout>
                  <c:x val="-2.0078302834155858E-2"/>
                  <c:y val="-3.7343178260265085E-2"/>
                </c:manualLayout>
              </c:layout>
              <c:tx>
                <c:rich>
                  <a:bodyPr/>
                  <a:lstStyle/>
                  <a:p>
                    <a:r>
                      <a:rPr lang="en-US"/>
                      <a:t>INV-82/88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F0-4BD4-B51D-160C42226E36}"/>
                </c:ext>
              </c:extLst>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F0-4BD4-B51D-160C42226E36}"/>
                </c:ext>
              </c:extLst>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9F0-4BD4-B51D-160C42226E36}"/>
                </c:ext>
              </c:extLst>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9F0-4BD4-B51D-160C42226E36}"/>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'1982-1988'!$B$36:$B$40</c:f>
              <c:numCache>
                <c:formatCode>0.00</c:formatCode>
                <c:ptCount val="5"/>
                <c:pt idx="0">
                  <c:v>10.834791700832405</c:v>
                </c:pt>
                <c:pt idx="1">
                  <c:v>10.078659315591029</c:v>
                </c:pt>
                <c:pt idx="2">
                  <c:v>11.745928058512934</c:v>
                </c:pt>
                <c:pt idx="3">
                  <c:v>12.511237711171605</c:v>
                </c:pt>
                <c:pt idx="4">
                  <c:v>11.774869978103567</c:v>
                </c:pt>
              </c:numCache>
            </c:numRef>
          </c:xVal>
          <c:yVal>
            <c:numRef>
              <c:f>'1982-1988'!$C$36:$C$40</c:f>
              <c:numCache>
                <c:formatCode>0.00</c:formatCode>
                <c:ptCount val="5"/>
                <c:pt idx="0">
                  <c:v>5.5655040209743323</c:v>
                </c:pt>
                <c:pt idx="1">
                  <c:v>6.6174767639551213</c:v>
                </c:pt>
                <c:pt idx="2">
                  <c:v>5.806972972337876</c:v>
                </c:pt>
                <c:pt idx="3">
                  <c:v>5.2480747453745202</c:v>
                </c:pt>
                <c:pt idx="4">
                  <c:v>7.4797904247102753</c:v>
                </c:pt>
              </c:numCache>
            </c:numRef>
          </c:yVal>
          <c:smooth val="0"/>
          <c:extLst>
            <c:ext xmlns:c16="http://schemas.microsoft.com/office/drawing/2014/chart" uri="{C3380CC4-5D6E-409C-BE32-E72D297353CC}">
              <c16:uniqueId val="{00000005-D9F0-4BD4-B51D-160C42226E36}"/>
            </c:ext>
          </c:extLst>
        </c:ser>
        <c:dLbls>
          <c:showLegendKey val="0"/>
          <c:showVal val="0"/>
          <c:showCatName val="0"/>
          <c:showSerName val="0"/>
          <c:showPercent val="0"/>
          <c:showBubbleSize val="0"/>
        </c:dLbls>
        <c:axId val="139153344"/>
        <c:axId val="139153920"/>
      </c:scatterChart>
      <c:valAx>
        <c:axId val="13915334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153920"/>
        <c:crosses val="autoZero"/>
        <c:crossBetween val="midCat"/>
      </c:valAx>
      <c:valAx>
        <c:axId val="13915392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3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'1982-1988'!$C$65</c:f>
              <c:strCache>
                <c:ptCount val="1"/>
                <c:pt idx="0">
                  <c:v>Grąža (proc.)</c:v>
                </c:pt>
              </c:strCache>
            </c:strRef>
          </c:tx>
          <c:spPr>
            <a:solidFill>
              <a:srgbClr val="00B07D"/>
            </a:solidFill>
          </c:spPr>
          <c:invertIfNegative val="0"/>
          <c:dLbls>
            <c:dLbl>
              <c:idx val="0"/>
              <c:layout>
                <c:manualLayout>
                  <c:x val="-0.14179104477611942"/>
                  <c:y val="-2.8009255685608282E-2"/>
                </c:manualLayout>
              </c:layout>
              <c:tx>
                <c:rich>
                  <a:bodyPr/>
                  <a:lstStyle/>
                  <a:p>
                    <a:r>
                      <a:rPr lang="en-US"/>
                      <a:t>LMN-82/88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0FF2-408F-8939-780556E59F87}"/>
                </c:ext>
              </c:extLst>
            </c:dLbl>
            <c:dLbl>
              <c:idx val="1"/>
              <c:layout>
                <c:manualLayout>
                  <c:x val="-7.462686567164179E-3"/>
                  <c:y val="-5.092591942837861E-2"/>
                </c:manualLayout>
              </c:layout>
              <c:tx>
                <c:rich>
                  <a:bodyPr/>
                  <a:lstStyle/>
                  <a:p>
                    <a:r>
                      <a:rPr lang="en-US"/>
                      <a:t>INV-82/88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FF2-408F-8939-780556E59F87}"/>
                </c:ext>
              </c:extLst>
            </c:dLbl>
            <c:dLbl>
              <c:idx val="2"/>
              <c:layout>
                <c:manualLayout>
                  <c:x val="-3.9800995024875621E-2"/>
                  <c:y val="-0.11203702274243296"/>
                </c:manualLayout>
              </c:layout>
              <c:tx>
                <c:rich>
                  <a:bodyPr/>
                  <a:lstStyle/>
                  <a:p>
                    <a:r>
                      <a:rPr lang="en-US"/>
                      <a:t>SBN-82/88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0FF2-408F-8939-780556E59F87}"/>
                </c:ext>
              </c:extLst>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0FF2-408F-8939-780556E59F87}"/>
                </c:ext>
              </c:extLst>
            </c:dLbl>
            <c:dLbl>
              <c:idx val="4"/>
              <c:layout>
                <c:manualLayout>
                  <c:x val="-7.462686567164179E-3"/>
                  <c:y val="2.0370367771351351E-2"/>
                </c:manualLayout>
              </c:layout>
              <c:tx>
                <c:rich>
                  <a:bodyPr/>
                  <a:lstStyle/>
                  <a:p>
                    <a:r>
                      <a:rPr lang="en-US"/>
                      <a:t>AVI-82/88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0FF2-408F-8939-780556E59F87}"/>
                </c:ext>
              </c:extLst>
            </c:dLbl>
            <c:spPr>
              <a:noFill/>
              <a:ln>
                <a:noFill/>
              </a:ln>
              <a:effectLst/>
            </c:spPr>
            <c:dLblPos val="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'1982-1988'!$B$66:$B$70</c:f>
              <c:numCache>
                <c:formatCode>0.00</c:formatCode>
                <c:ptCount val="5"/>
                <c:pt idx="0">
                  <c:v>27.696999999999999</c:v>
                </c:pt>
                <c:pt idx="1">
                  <c:v>43.482999999999997</c:v>
                </c:pt>
                <c:pt idx="2">
                  <c:v>74.150000000000006</c:v>
                </c:pt>
                <c:pt idx="3">
                  <c:v>114.28400000000001</c:v>
                </c:pt>
                <c:pt idx="4">
                  <c:v>48.152999999999999</c:v>
                </c:pt>
              </c:numCache>
            </c:numRef>
          </c:xVal>
          <c:yVal>
            <c:numRef>
              <c:f>'1982-1988'!$C$66:$C$70</c:f>
              <c:numCache>
                <c:formatCode>0.00</c:formatCode>
                <c:ptCount val="5"/>
                <c:pt idx="0">
                  <c:v>5.5655040209743323</c:v>
                </c:pt>
                <c:pt idx="1">
                  <c:v>6.6174767639551213</c:v>
                </c:pt>
                <c:pt idx="2">
                  <c:v>5.806972972337876</c:v>
                </c:pt>
                <c:pt idx="3">
                  <c:v>5.2480747453745202</c:v>
                </c:pt>
                <c:pt idx="4">
                  <c:v>7.4797904247102753</c:v>
                </c:pt>
              </c:numCache>
            </c:numRef>
          </c:yVal>
          <c:bubbleSize>
            <c:numRef>
              <c:f>'1982-1988'!$D$66:$D$70</c:f>
              <c:numCache>
                <c:formatCode>0.00</c:formatCode>
                <c:ptCount val="5"/>
                <c:pt idx="0">
                  <c:v>150.21693203000001</c:v>
                </c:pt>
                <c:pt idx="1">
                  <c:v>288.90304398110004</c:v>
                </c:pt>
                <c:pt idx="2">
                  <c:v>489.31449203</c:v>
                </c:pt>
                <c:pt idx="3">
                  <c:v>638.10334465999995</c:v>
                </c:pt>
                <c:pt idx="4">
                  <c:v>238.22957273</c:v>
                </c:pt>
              </c:numCache>
            </c:numRef>
          </c:bubbleSize>
          <c:bubble3D val="1"/>
          <c:extLst>
            <c:ext xmlns:c16="http://schemas.microsoft.com/office/drawing/2014/chart" uri="{C3380CC4-5D6E-409C-BE32-E72D297353CC}">
              <c16:uniqueId val="{00000005-0FF2-408F-8939-780556E59F87}"/>
            </c:ext>
          </c:extLst>
        </c:ser>
        <c:dLbls>
          <c:showLegendKey val="0"/>
          <c:showVal val="0"/>
          <c:showCatName val="0"/>
          <c:showSerName val="0"/>
          <c:showPercent val="0"/>
          <c:showBubbleSize val="0"/>
        </c:dLbls>
        <c:bubbleScale val="100"/>
        <c:showNegBubbles val="0"/>
        <c:axId val="139155648"/>
        <c:axId val="139156224"/>
      </c:bubbleChart>
      <c:valAx>
        <c:axId val="1391556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6224"/>
        <c:crosses val="autoZero"/>
        <c:crossBetween val="midCat"/>
      </c:valAx>
      <c:valAx>
        <c:axId val="1391562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56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'1975-1981'!$C$35</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FF8-4F38-B46B-F555D8639C59}"/>
                </c:ext>
              </c:extLst>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FF8-4F38-B46B-F555D8639C59}"/>
                </c:ext>
              </c:extLst>
            </c:dLbl>
            <c:dLbl>
              <c:idx val="2"/>
              <c:layout>
                <c:manualLayout>
                  <c:x val="-0.10385046290320697"/>
                  <c:y val="-3.7906641140897743E-2"/>
                </c:manualLayout>
              </c:layout>
              <c:tx>
                <c:rich>
                  <a:bodyPr/>
                  <a:lstStyle/>
                  <a:p>
                    <a:r>
                      <a:rPr lang="en-US"/>
                      <a:t>SBN-75/81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FF8-4F38-B46B-F555D8639C59}"/>
                </c:ext>
              </c:extLst>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F8-4F38-B46B-F555D8639C59}"/>
                </c:ext>
              </c:extLst>
            </c:dLbl>
            <c:dLbl>
              <c:idx val="4"/>
              <c:layout>
                <c:manualLayout>
                  <c:x val="-3.9858592521608248E-2"/>
                  <c:y val="4.0892190480392845E-2"/>
                </c:manualLayout>
              </c:layout>
              <c:tx>
                <c:rich>
                  <a:bodyPr/>
                  <a:lstStyle/>
                  <a:p>
                    <a:r>
                      <a:rPr lang="en-US"/>
                      <a:t>AVI-75/81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FF8-4F38-B46B-F555D8639C59}"/>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'1975-1981'!$B$36:$B$40</c:f>
              <c:numCache>
                <c:formatCode>0.00</c:formatCode>
                <c:ptCount val="5"/>
                <c:pt idx="0">
                  <c:v>10.852231248522031</c:v>
                </c:pt>
                <c:pt idx="1">
                  <c:v>10.022748188566775</c:v>
                </c:pt>
                <c:pt idx="2">
                  <c:v>11.716771216440236</c:v>
                </c:pt>
                <c:pt idx="3">
                  <c:v>12.386309729625488</c:v>
                </c:pt>
                <c:pt idx="4">
                  <c:v>11.818214242999193</c:v>
                </c:pt>
              </c:numCache>
            </c:numRef>
          </c:xVal>
          <c:yVal>
            <c:numRef>
              <c:f>'1975-1981'!$C$36:$C$40</c:f>
              <c:numCache>
                <c:formatCode>0.00</c:formatCode>
                <c:ptCount val="5"/>
                <c:pt idx="0">
                  <c:v>5.6819667993607048</c:v>
                </c:pt>
                <c:pt idx="1">
                  <c:v>6.5490310641724836</c:v>
                </c:pt>
                <c:pt idx="2">
                  <c:v>5.7542200590170012</c:v>
                </c:pt>
                <c:pt idx="3">
                  <c:v>5.2584796658375232</c:v>
                </c:pt>
                <c:pt idx="4">
                  <c:v>7.2575085277627238</c:v>
                </c:pt>
              </c:numCache>
            </c:numRef>
          </c:yVal>
          <c:smooth val="0"/>
          <c:extLst>
            <c:ext xmlns:c16="http://schemas.microsoft.com/office/drawing/2014/chart" uri="{C3380CC4-5D6E-409C-BE32-E72D297353CC}">
              <c16:uniqueId val="{00000005-7FF8-4F38-B46B-F555D8639C59}"/>
            </c:ext>
          </c:extLst>
        </c:ser>
        <c:dLbls>
          <c:showLegendKey val="0"/>
          <c:showVal val="0"/>
          <c:showCatName val="0"/>
          <c:showSerName val="0"/>
          <c:showPercent val="0"/>
          <c:showBubbleSize val="0"/>
        </c:dLbls>
        <c:axId val="139493952"/>
        <c:axId val="139494528"/>
      </c:scatterChart>
      <c:valAx>
        <c:axId val="139493952"/>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9494528"/>
        <c:crosses val="autoZero"/>
        <c:crossBetween val="midCat"/>
      </c:valAx>
      <c:valAx>
        <c:axId val="1394945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3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'1975-1981'!$C$65</c:f>
              <c:strCache>
                <c:ptCount val="1"/>
                <c:pt idx="0">
                  <c:v>Grąža (proc.)</c:v>
                </c:pt>
              </c:strCache>
            </c:strRef>
          </c:tx>
          <c:spPr>
            <a:solidFill>
              <a:srgbClr val="00B07D"/>
            </a:solidFill>
          </c:spPr>
          <c:invertIfNegative val="0"/>
          <c:dPt>
            <c:idx val="0"/>
            <c:invertIfNegative val="0"/>
            <c:bubble3D val="1"/>
            <c:extLst>
              <c:ext xmlns:c16="http://schemas.microsoft.com/office/drawing/2014/chart" uri="{C3380CC4-5D6E-409C-BE32-E72D297353CC}">
                <c16:uniqueId val="{00000000-86E8-4141-8501-D7669662E059}"/>
              </c:ext>
            </c:extLst>
          </c:dPt>
          <c:dLbls>
            <c:dLbl>
              <c:idx val="0"/>
              <c:layout>
                <c:manualLayout>
                  <c:x val="-0.2020109596570405"/>
                  <c:y val="0.13512041808427744"/>
                </c:manualLayout>
              </c:layout>
              <c:tx>
                <c:rich>
                  <a:bodyPr/>
                  <a:lstStyle/>
                  <a:p>
                    <a:r>
                      <a:rPr lang="en-US"/>
                      <a:t>LMN-75/81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86E8-4141-8501-D7669662E059}"/>
                </c:ext>
              </c:extLst>
            </c:dLbl>
            <c:dLbl>
              <c:idx val="1"/>
              <c:layout>
                <c:manualLayout>
                  <c:x val="-8.4778297423223417E-2"/>
                  <c:y val="-0.22746239389965089"/>
                </c:manualLayout>
              </c:layout>
              <c:tx>
                <c:rich>
                  <a:bodyPr/>
                  <a:lstStyle/>
                  <a:p>
                    <a:r>
                      <a:rPr lang="en-US"/>
                      <a:t>INV-75/81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86E8-4141-8501-D7669662E059}"/>
                </c:ext>
              </c:extLst>
            </c:dLbl>
            <c:dLbl>
              <c:idx val="2"/>
              <c:layout>
                <c:manualLayout>
                  <c:x val="-9.9296673807272775E-3"/>
                  <c:y val="-6.6658636656608442E-2"/>
                </c:manualLayout>
              </c:layout>
              <c:tx>
                <c:rich>
                  <a:bodyPr/>
                  <a:lstStyle/>
                  <a:p>
                    <a:r>
                      <a:rPr lang="en-US"/>
                      <a:t>SBN-75/81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86E8-4141-8501-D7669662E059}"/>
                </c:ext>
              </c:extLst>
            </c:dLbl>
            <c:dLbl>
              <c:idx val="3"/>
              <c:layout>
                <c:manualLayout>
                  <c:x val="-1.2615092856023251E-3"/>
                  <c:y val="-5.0905721001375658E-2"/>
                </c:manualLayout>
              </c:layout>
              <c:tx>
                <c:rich>
                  <a:bodyPr/>
                  <a:lstStyle/>
                  <a:p>
                    <a:r>
                      <a:rPr lang="en-US"/>
                      <a:t>SWD-75/81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86E8-4141-8501-D7669662E059}"/>
                </c:ext>
              </c:extLst>
            </c:dLbl>
            <c:dLbl>
              <c:idx val="4"/>
              <c:layout>
                <c:manualLayout>
                  <c:x val="-0.14599187040200676"/>
                  <c:y val="-3.3539655155827623E-2"/>
                </c:manualLayout>
              </c:layout>
              <c:tx>
                <c:rich>
                  <a:bodyPr/>
                  <a:lstStyle/>
                  <a:p>
                    <a:r>
                      <a:rPr lang="en-US"/>
                      <a:t>AVI-75/81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86E8-4141-8501-D7669662E059}"/>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'1975-1981'!$B$66:$B$70</c:f>
              <c:numCache>
                <c:formatCode>0.00</c:formatCode>
                <c:ptCount val="5"/>
                <c:pt idx="0">
                  <c:v>27.065999999999999</c:v>
                </c:pt>
                <c:pt idx="1">
                  <c:v>19.808</c:v>
                </c:pt>
                <c:pt idx="2">
                  <c:v>62.505000000000003</c:v>
                </c:pt>
                <c:pt idx="3">
                  <c:v>97.733999999999995</c:v>
                </c:pt>
                <c:pt idx="4">
                  <c:v>40.033999999999999</c:v>
                </c:pt>
              </c:numCache>
            </c:numRef>
          </c:xVal>
          <c:yVal>
            <c:numRef>
              <c:f>'1975-1981'!$C$66:$C$70</c:f>
              <c:numCache>
                <c:formatCode>0.00</c:formatCode>
                <c:ptCount val="5"/>
                <c:pt idx="0">
                  <c:v>6.5490310641724836</c:v>
                </c:pt>
                <c:pt idx="1">
                  <c:v>5.6819667993607048</c:v>
                </c:pt>
                <c:pt idx="2">
                  <c:v>5.7542200590170012</c:v>
                </c:pt>
                <c:pt idx="3">
                  <c:v>5.2584796658375232</c:v>
                </c:pt>
                <c:pt idx="4">
                  <c:v>7.2575085277627238</c:v>
                </c:pt>
              </c:numCache>
            </c:numRef>
          </c:yVal>
          <c:bubbleSize>
            <c:numRef>
              <c:f>'1975-1981'!$D$66:$D$70</c:f>
              <c:numCache>
                <c:formatCode>0.00</c:formatCode>
                <c:ptCount val="5"/>
                <c:pt idx="0">
                  <c:v>285.03266145179998</c:v>
                </c:pt>
                <c:pt idx="1">
                  <c:v>161.82778838999999</c:v>
                </c:pt>
                <c:pt idx="2">
                  <c:v>598.69280014999993</c:v>
                </c:pt>
                <c:pt idx="3">
                  <c:v>749.1640366900001</c:v>
                </c:pt>
                <c:pt idx="4">
                  <c:v>286.54344393999997</c:v>
                </c:pt>
              </c:numCache>
            </c:numRef>
          </c:bubbleSize>
          <c:bubble3D val="1"/>
          <c:extLst>
            <c:ext xmlns:c16="http://schemas.microsoft.com/office/drawing/2014/chart" uri="{C3380CC4-5D6E-409C-BE32-E72D297353CC}">
              <c16:uniqueId val="{00000005-86E8-4141-8501-D7669662E059}"/>
            </c:ext>
          </c:extLst>
        </c:ser>
        <c:dLbls>
          <c:showLegendKey val="0"/>
          <c:showVal val="0"/>
          <c:showCatName val="0"/>
          <c:showSerName val="0"/>
          <c:showPercent val="0"/>
          <c:showBubbleSize val="0"/>
        </c:dLbls>
        <c:bubbleScale val="100"/>
        <c:showNegBubbles val="0"/>
        <c:axId val="139496256"/>
        <c:axId val="139496832"/>
      </c:bubbleChart>
      <c:valAx>
        <c:axId val="1394962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496832"/>
        <c:crosses val="autoZero"/>
        <c:crossBetween val="midCat"/>
      </c:valAx>
      <c:valAx>
        <c:axId val="13949683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62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'1968-1974'!$C$35</c:f>
              <c:strCache>
                <c:ptCount val="1"/>
                <c:pt idx="0">
                  <c:v>Grąža</c:v>
                </c:pt>
              </c:strCache>
            </c:strRef>
          </c:tx>
          <c:spPr>
            <a:ln w="28575">
              <a:noFill/>
            </a:ln>
          </c:spPr>
          <c:marker>
            <c:symbol val="diamond"/>
            <c:size val="15"/>
            <c:spPr>
              <a:solidFill>
                <a:srgbClr val="00B07D"/>
              </a:solidFill>
            </c:spPr>
          </c:marker>
          <c:dLbls>
            <c:dLbl>
              <c:idx val="0"/>
              <c:layout>
                <c:manualLayout>
                  <c:x val="5.5590291863670937E-3"/>
                  <c:y val="-6.4506786627679805E-5"/>
                </c:manualLayout>
              </c:layout>
              <c:tx>
                <c:rich>
                  <a:bodyPr/>
                  <a:lstStyle/>
                  <a:p>
                    <a:r>
                      <a:rPr lang="en-US"/>
                      <a:t>LMN-68/74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1BB-4957-9FE0-05EEF0777BB7}"/>
                </c:ext>
              </c:extLst>
            </c:dLbl>
            <c:dLbl>
              <c:idx val="1"/>
              <c:layout>
                <c:manualLayout>
                  <c:x val="-3.332700540080006E-3"/>
                  <c:y val="6.558825638322897E-3"/>
                </c:manualLayout>
              </c:layout>
              <c:tx>
                <c:rich>
                  <a:bodyPr/>
                  <a:lstStyle/>
                  <a:p>
                    <a:r>
                      <a:rPr lang="en-US"/>
                      <a:t>INV-68/74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BB-4957-9FE0-05EEF0777BB7}"/>
                </c:ext>
              </c:extLst>
            </c:dLbl>
            <c:dLbl>
              <c:idx val="2"/>
              <c:layout>
                <c:manualLayout>
                  <c:x val="4.5782393101680282E-4"/>
                  <c:y val="-1.4098443445530108E-2"/>
                </c:manualLayout>
              </c:layout>
              <c:tx>
                <c:rich>
                  <a:bodyPr/>
                  <a:lstStyle/>
                  <a:p>
                    <a:r>
                      <a:rPr lang="en-US"/>
                      <a:t>SBN-68/74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BB-4957-9FE0-05EEF0777BB7}"/>
                </c:ext>
              </c:extLst>
            </c:dLbl>
            <c:dLbl>
              <c:idx val="3"/>
              <c:layout>
                <c:manualLayout>
                  <c:x val="-5.7760802433968937E-2"/>
                  <c:y val="-2.9279160622473158E-2"/>
                </c:manualLayout>
              </c:layout>
              <c:tx>
                <c:rich>
                  <a:bodyPr/>
                  <a:lstStyle/>
                  <a:p>
                    <a:r>
                      <a:rPr lang="en-US"/>
                      <a:t>SWD-68/74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BB-4957-9FE0-05EEF0777BB7}"/>
                </c:ext>
              </c:extLst>
            </c:dLbl>
            <c:dLbl>
              <c:idx val="4"/>
              <c:layout>
                <c:manualLayout>
                  <c:x val="3.3613049563539516E-3"/>
                  <c:y val="6.9420657038940802E-5"/>
                </c:manualLayout>
              </c:layout>
              <c:tx>
                <c:rich>
                  <a:bodyPr/>
                  <a:lstStyle/>
                  <a:p>
                    <a:r>
                      <a:rPr lang="en-US"/>
                      <a:t>AVI-68/74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BB-4957-9FE0-05EEF0777BB7}"/>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'1968-1974'!$B$36:$B$40</c:f>
              <c:numCache>
                <c:formatCode>0.00</c:formatCode>
                <c:ptCount val="5"/>
                <c:pt idx="0">
                  <c:v>9.8894086216901975</c:v>
                </c:pt>
                <c:pt idx="1">
                  <c:v>8.2469053361012197</c:v>
                </c:pt>
                <c:pt idx="2">
                  <c:v>10.007306522793799</c:v>
                </c:pt>
                <c:pt idx="3">
                  <c:v>10.463956810015802</c:v>
                </c:pt>
                <c:pt idx="4">
                  <c:v>10.37364950578179</c:v>
                </c:pt>
              </c:numCache>
            </c:numRef>
          </c:xVal>
          <c:yVal>
            <c:numRef>
              <c:f>'1968-1974'!$C$36:$C$40</c:f>
              <c:numCache>
                <c:formatCode>0.00</c:formatCode>
                <c:ptCount val="5"/>
                <c:pt idx="0">
                  <c:v>4.106545134813544</c:v>
                </c:pt>
                <c:pt idx="1">
                  <c:v>4.8010807175122183</c:v>
                </c:pt>
                <c:pt idx="2">
                  <c:v>4.1587381654529576</c:v>
                </c:pt>
                <c:pt idx="3">
                  <c:v>3.9717052957709109</c:v>
                </c:pt>
                <c:pt idx="4">
                  <c:v>5.5433889926185254</c:v>
                </c:pt>
              </c:numCache>
            </c:numRef>
          </c:yVal>
          <c:smooth val="0"/>
          <c:extLst>
            <c:ext xmlns:c16="http://schemas.microsoft.com/office/drawing/2014/chart" uri="{C3380CC4-5D6E-409C-BE32-E72D297353CC}">
              <c16:uniqueId val="{00000005-21BB-4957-9FE0-05EEF0777BB7}"/>
            </c:ext>
          </c:extLst>
        </c:ser>
        <c:dLbls>
          <c:showLegendKey val="0"/>
          <c:showVal val="0"/>
          <c:showCatName val="0"/>
          <c:showSerName val="0"/>
          <c:showPercent val="0"/>
          <c:showBubbleSize val="0"/>
        </c:dLbls>
        <c:axId val="139498560"/>
        <c:axId val="139499136"/>
      </c:scatterChart>
      <c:valAx>
        <c:axId val="139498560"/>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499136"/>
        <c:crosses val="autoZero"/>
        <c:crossBetween val="midCat"/>
      </c:valAx>
      <c:valAx>
        <c:axId val="13949913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85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'1968-1974'!$C$65</c:f>
              <c:strCache>
                <c:ptCount val="1"/>
                <c:pt idx="0">
                  <c:v>Grąža (proc.)</c:v>
                </c:pt>
              </c:strCache>
            </c:strRef>
          </c:tx>
          <c:spPr>
            <a:solidFill>
              <a:srgbClr val="00B07D"/>
            </a:solidFill>
          </c:spPr>
          <c:invertIfNegative val="0"/>
          <c:dLbls>
            <c:dLbl>
              <c:idx val="0"/>
              <c:layout>
                <c:manualLayout>
                  <c:x val="-0.16825219348681142"/>
                  <c:y val="-0.1061225954061395"/>
                </c:manualLayout>
              </c:layout>
              <c:tx>
                <c:rich>
                  <a:bodyPr/>
                  <a:lstStyle/>
                  <a:p>
                    <a:r>
                      <a:rPr lang="en-US"/>
                      <a:t>LMN-68/74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D98E-4B4A-8C0F-A76F2F968B7C}"/>
                </c:ext>
              </c:extLst>
            </c:dLbl>
            <c:dLbl>
              <c:idx val="1"/>
              <c:layout>
                <c:manualLayout>
                  <c:x val="-1.1381086814602861E-2"/>
                  <c:y val="0.11515876171633244"/>
                </c:manualLayout>
              </c:layout>
              <c:tx>
                <c:rich>
                  <a:bodyPr/>
                  <a:lstStyle/>
                  <a:p>
                    <a:r>
                      <a:rPr lang="en-US"/>
                      <a:t>INV-68/74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D98E-4B4A-8C0F-A76F2F968B7C}"/>
                </c:ext>
              </c:extLst>
            </c:dLbl>
            <c:dLbl>
              <c:idx val="2"/>
              <c:layout>
                <c:manualLayout>
                  <c:x val="-8.4672751827912675E-5"/>
                  <c:y val="-2.0793183283042221E-2"/>
                </c:manualLayout>
              </c:layout>
              <c:tx>
                <c:rich>
                  <a:bodyPr/>
                  <a:lstStyle/>
                  <a:p>
                    <a:r>
                      <a:rPr lang="en-US"/>
                      <a:t>SBN-68/74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D98E-4B4A-8C0F-A76F2F968B7C}"/>
                </c:ext>
              </c:extLst>
            </c:dLbl>
            <c:dLbl>
              <c:idx val="3"/>
              <c:tx>
                <c:rich>
                  <a:bodyPr/>
                  <a:lstStyle/>
                  <a:p>
                    <a:r>
                      <a:rPr lang="en-US"/>
                      <a:t>SWD-68/74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D98E-4B4A-8C0F-A76F2F968B7C}"/>
                </c:ext>
              </c:extLst>
            </c:dLbl>
            <c:dLbl>
              <c:idx val="4"/>
              <c:layout>
                <c:manualLayout>
                  <c:x val="-2.0222665859884428E-2"/>
                  <c:y val="6.6407915959865449E-2"/>
                </c:manualLayout>
              </c:layout>
              <c:tx>
                <c:rich>
                  <a:bodyPr/>
                  <a:lstStyle/>
                  <a:p>
                    <a:r>
                      <a:rPr lang="en-US"/>
                      <a:t>AVI-68/74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D98E-4B4A-8C0F-A76F2F968B7C}"/>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'1968-1974'!$B$66:$B$70</c:f>
              <c:numCache>
                <c:formatCode>0.00</c:formatCode>
                <c:ptCount val="5"/>
                <c:pt idx="0">
                  <c:v>22.802</c:v>
                </c:pt>
                <c:pt idx="1">
                  <c:v>18.231000000000002</c:v>
                </c:pt>
                <c:pt idx="2">
                  <c:v>53.180999999999997</c:v>
                </c:pt>
                <c:pt idx="3">
                  <c:v>94.787000000000006</c:v>
                </c:pt>
                <c:pt idx="4">
                  <c:v>38.969000000000001</c:v>
                </c:pt>
              </c:numCache>
            </c:numRef>
          </c:xVal>
          <c:yVal>
            <c:numRef>
              <c:f>'1968-1974'!$C$66:$C$70</c:f>
              <c:numCache>
                <c:formatCode>0.00</c:formatCode>
                <c:ptCount val="5"/>
                <c:pt idx="0">
                  <c:v>4.8010807175122183</c:v>
                </c:pt>
                <c:pt idx="1">
                  <c:v>4.106545134813544</c:v>
                </c:pt>
                <c:pt idx="2">
                  <c:v>4.1587381654529576</c:v>
                </c:pt>
                <c:pt idx="3">
                  <c:v>3.9717052957709109</c:v>
                </c:pt>
                <c:pt idx="4">
                  <c:v>5.5433889926185254</c:v>
                </c:pt>
              </c:numCache>
            </c:numRef>
          </c:yVal>
          <c:bubbleSize>
            <c:numRef>
              <c:f>'1968-1974'!$D$66:$D$70</c:f>
              <c:numCache>
                <c:formatCode>0.00</c:formatCode>
                <c:ptCount val="5"/>
                <c:pt idx="0">
                  <c:v>227.53408827759998</c:v>
                </c:pt>
                <c:pt idx="1">
                  <c:v>149.82507113999998</c:v>
                </c:pt>
                <c:pt idx="2">
                  <c:v>510.87520738000001</c:v>
                </c:pt>
                <c:pt idx="3">
                  <c:v>732.90933046999999</c:v>
                </c:pt>
                <c:pt idx="4">
                  <c:v>287.16376073999999</c:v>
                </c:pt>
              </c:numCache>
            </c:numRef>
          </c:bubbleSize>
          <c:bubble3D val="1"/>
          <c:extLst>
            <c:ext xmlns:c16="http://schemas.microsoft.com/office/drawing/2014/chart" uri="{C3380CC4-5D6E-409C-BE32-E72D297353CC}">
              <c16:uniqueId val="{00000005-D98E-4B4A-8C0F-A76F2F968B7C}"/>
            </c:ext>
          </c:extLst>
        </c:ser>
        <c:dLbls>
          <c:showLegendKey val="0"/>
          <c:showVal val="0"/>
          <c:showCatName val="0"/>
          <c:showSerName val="0"/>
          <c:showPercent val="0"/>
          <c:showBubbleSize val="0"/>
        </c:dLbls>
        <c:bubbleScale val="100"/>
        <c:showNegBubbles val="0"/>
        <c:axId val="139500864"/>
        <c:axId val="159653888"/>
      </c:bubbleChart>
      <c:valAx>
        <c:axId val="1395008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3888"/>
        <c:crosses val="autoZero"/>
        <c:crossBetween val="midCat"/>
      </c:valAx>
      <c:valAx>
        <c:axId val="159653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5008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'1961-1967'!$C$35</c:f>
              <c:strCache>
                <c:ptCount val="1"/>
                <c:pt idx="0">
                  <c:v>Grąža</c:v>
                </c:pt>
              </c:strCache>
            </c:strRef>
          </c:tx>
          <c:spPr>
            <a:ln w="28575">
              <a:noFill/>
            </a:ln>
          </c:spPr>
          <c:marker>
            <c:symbol val="diamond"/>
            <c:size val="15"/>
            <c:spPr>
              <a:solidFill>
                <a:srgbClr val="00B07D"/>
              </a:solidFill>
            </c:spPr>
          </c:marker>
          <c:dLbls>
            <c:dLbl>
              <c:idx val="0"/>
              <c:layout>
                <c:manualLayout>
                  <c:x val="-0.10533425893506657"/>
                  <c:y val="3.1764229950886312E-3"/>
                </c:manualLayout>
              </c:layout>
              <c:tx>
                <c:rich>
                  <a:bodyPr/>
                  <a:lstStyle/>
                  <a:p>
                    <a:r>
                      <a:rPr lang="en-US"/>
                      <a:t>LMN-61/67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8AE-48EE-B7CC-A6410D89A4DD}"/>
                </c:ext>
              </c:extLst>
            </c:dLbl>
            <c:dLbl>
              <c:idx val="1"/>
              <c:layout>
                <c:manualLayout>
                  <c:x val="-0.10701570040566998"/>
                  <c:y val="-4.0699524382912617E-3"/>
                </c:manualLayout>
              </c:layout>
              <c:tx>
                <c:rich>
                  <a:bodyPr/>
                  <a:lstStyle/>
                  <a:p>
                    <a:r>
                      <a:rPr lang="en-US"/>
                      <a:t>INV-61/67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8AE-48EE-B7CC-A6410D89A4DD}"/>
                </c:ext>
              </c:extLst>
            </c:dLbl>
            <c:dLbl>
              <c:idx val="2"/>
              <c:layout>
                <c:manualLayout>
                  <c:x val="-0.11245349846027247"/>
                  <c:y val="-4.0699524382912392E-3"/>
                </c:manualLayout>
              </c:layout>
              <c:tx>
                <c:rich>
                  <a:bodyPr/>
                  <a:lstStyle/>
                  <a:p>
                    <a:r>
                      <a:rPr lang="en-US"/>
                      <a:t>SBN-61/67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8AE-48EE-B7CC-A6410D89A4DD}"/>
                </c:ext>
              </c:extLst>
            </c:dLbl>
            <c:dLbl>
              <c:idx val="3"/>
              <c:layout>
                <c:manualLayout>
                  <c:x val="-0.11219707743463267"/>
                  <c:y val="-4.0699524382912175E-3"/>
                </c:manualLayout>
              </c:layout>
              <c:tx>
                <c:rich>
                  <a:bodyPr/>
                  <a:lstStyle/>
                  <a:p>
                    <a:r>
                      <a:rPr lang="en-US"/>
                      <a:t>SWD-61/67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8AE-48EE-B7CC-A6410D89A4DD}"/>
                </c:ext>
              </c:extLst>
            </c:dLbl>
            <c:dLbl>
              <c:idx val="4"/>
              <c:layout>
                <c:manualLayout>
                  <c:x val="-0.11024412569512636"/>
                  <c:y val="-1.1316327871671066E-2"/>
                </c:manualLayout>
              </c:layout>
              <c:tx>
                <c:rich>
                  <a:bodyPr/>
                  <a:lstStyle/>
                  <a:p>
                    <a:r>
                      <a:rPr lang="en-US"/>
                      <a:t>AVI-61/67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8AE-48EE-B7CC-A6410D89A4DD}"/>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'1961-1967'!$B$36:$B$40</c:f>
              <c:numCache>
                <c:formatCode>0.00</c:formatCode>
                <c:ptCount val="5"/>
                <c:pt idx="0">
                  <c:v>8.1020399334413913</c:v>
                </c:pt>
                <c:pt idx="1">
                  <c:v>6.4933202844188171</c:v>
                </c:pt>
                <c:pt idx="2">
                  <c:v>7.4004783228208613</c:v>
                </c:pt>
                <c:pt idx="3">
                  <c:v>7.5194343154494305</c:v>
                </c:pt>
                <c:pt idx="4">
                  <c:v>6.8476060515641146</c:v>
                </c:pt>
              </c:numCache>
            </c:numRef>
          </c:xVal>
          <c:yVal>
            <c:numRef>
              <c:f>'1961-1967'!$C$36:$C$40</c:f>
              <c:numCache>
                <c:formatCode>0.00</c:formatCode>
                <c:ptCount val="5"/>
                <c:pt idx="0">
                  <c:v>1.3257904061443782</c:v>
                </c:pt>
                <c:pt idx="1">
                  <c:v>2.7220777888801617</c:v>
                </c:pt>
                <c:pt idx="2">
                  <c:v>1.8363943168719254</c:v>
                </c:pt>
                <c:pt idx="3">
                  <c:v>2.0519132078600233</c:v>
                </c:pt>
                <c:pt idx="4">
                  <c:v>2.3006229023393443</c:v>
                </c:pt>
              </c:numCache>
            </c:numRef>
          </c:yVal>
          <c:smooth val="0"/>
          <c:extLst>
            <c:ext xmlns:c16="http://schemas.microsoft.com/office/drawing/2014/chart" uri="{C3380CC4-5D6E-409C-BE32-E72D297353CC}">
              <c16:uniqueId val="{00000005-58AE-48EE-B7CC-A6410D89A4DD}"/>
            </c:ext>
          </c:extLst>
        </c:ser>
        <c:dLbls>
          <c:showLegendKey val="0"/>
          <c:showVal val="0"/>
          <c:showCatName val="0"/>
          <c:showSerName val="0"/>
          <c:showPercent val="0"/>
          <c:showBubbleSize val="0"/>
        </c:dLbls>
        <c:axId val="159655616"/>
        <c:axId val="159656192"/>
      </c:scatterChart>
      <c:valAx>
        <c:axId val="15965561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56192"/>
        <c:crosses val="autoZero"/>
        <c:crossBetween val="midCat"/>
      </c:valAx>
      <c:valAx>
        <c:axId val="1596561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56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'1961-1967'!$C$65</c:f>
              <c:strCache>
                <c:ptCount val="1"/>
                <c:pt idx="0">
                  <c:v>Grąža (proc.)</c:v>
                </c:pt>
              </c:strCache>
            </c:strRef>
          </c:tx>
          <c:spPr>
            <a:solidFill>
              <a:srgbClr val="00B07D"/>
            </a:solidFill>
          </c:spPr>
          <c:invertIfNegative val="0"/>
          <c:dLbls>
            <c:dLbl>
              <c:idx val="0"/>
              <c:layout>
                <c:manualLayout>
                  <c:x val="-5.3961051881051391E-3"/>
                  <c:y val="-3.7287638968609989E-2"/>
                </c:manualLayout>
              </c:layout>
              <c:tx>
                <c:rich>
                  <a:bodyPr/>
                  <a:lstStyle/>
                  <a:p>
                    <a:r>
                      <a:rPr lang="en-US"/>
                      <a:t>LMN-61/67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CB46-428A-89DC-04A981D16938}"/>
                </c:ext>
              </c:extLst>
            </c:dLbl>
            <c:dLbl>
              <c:idx val="1"/>
              <c:layout>
                <c:manualLayout>
                  <c:x val="-2.1261145178420237E-3"/>
                  <c:y val="-1.1575239457304978E-2"/>
                </c:manualLayout>
              </c:layout>
              <c:tx>
                <c:rich>
                  <a:bodyPr/>
                  <a:lstStyle/>
                  <a:p>
                    <a:r>
                      <a:rPr lang="en-US"/>
                      <a:t>INV-61/67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CB46-428A-89DC-04A981D16938}"/>
                </c:ext>
              </c:extLst>
            </c:dLbl>
            <c:dLbl>
              <c:idx val="2"/>
              <c:layout>
                <c:manualLayout>
                  <c:x val="-2.0045854339244291E-2"/>
                  <c:y val="-8.703094586837945E-2"/>
                </c:manualLayout>
              </c:layout>
              <c:tx>
                <c:rich>
                  <a:bodyPr/>
                  <a:lstStyle/>
                  <a:p>
                    <a:r>
                      <a:rPr lang="en-US"/>
                      <a:t>SBN-61/67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CB46-428A-89DC-04A981D16938}"/>
                </c:ext>
              </c:extLst>
            </c:dLbl>
            <c:dLbl>
              <c:idx val="3"/>
              <c:tx>
                <c:rich>
                  <a:bodyPr/>
                  <a:lstStyle/>
                  <a:p>
                    <a:r>
                      <a:rPr lang="en-US"/>
                      <a:t>SWD-61/67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CB46-428A-89DC-04A981D16938}"/>
                </c:ext>
              </c:extLst>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CB46-428A-89DC-04A981D16938}"/>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'1961-1967'!$B$66:$B$70</c:f>
              <c:numCache>
                <c:formatCode>0.00</c:formatCode>
                <c:ptCount val="5"/>
                <c:pt idx="0">
                  <c:v>16.489999999999998</c:v>
                </c:pt>
                <c:pt idx="1">
                  <c:v>17.259</c:v>
                </c:pt>
                <c:pt idx="2">
                  <c:v>46.591999999999999</c:v>
                </c:pt>
                <c:pt idx="3">
                  <c:v>82.537999999999997</c:v>
                </c:pt>
                <c:pt idx="4">
                  <c:v>36.173999999999999</c:v>
                </c:pt>
              </c:numCache>
            </c:numRef>
          </c:xVal>
          <c:yVal>
            <c:numRef>
              <c:f>'1961-1967'!$C$66:$C$70</c:f>
              <c:numCache>
                <c:formatCode>0.00</c:formatCode>
                <c:ptCount val="5"/>
                <c:pt idx="0">
                  <c:v>1.3257904061443782</c:v>
                </c:pt>
                <c:pt idx="1">
                  <c:v>2.7220777888801617</c:v>
                </c:pt>
                <c:pt idx="2">
                  <c:v>1.8363943168719254</c:v>
                </c:pt>
                <c:pt idx="3">
                  <c:v>2.0519132078600233</c:v>
                </c:pt>
                <c:pt idx="4">
                  <c:v>2.3006229023393443</c:v>
                </c:pt>
              </c:numCache>
            </c:numRef>
          </c:yVal>
          <c:bubbleSize>
            <c:numRef>
              <c:f>'1961-1967'!$D$66:$D$70</c:f>
              <c:numCache>
                <c:formatCode>0.00</c:formatCode>
                <c:ptCount val="5"/>
                <c:pt idx="0">
                  <c:v>114.61345226</c:v>
                </c:pt>
                <c:pt idx="1">
                  <c:v>140.58014317210001</c:v>
                </c:pt>
                <c:pt idx="2">
                  <c:v>374.40780761000002</c:v>
                </c:pt>
                <c:pt idx="3">
                  <c:v>541.06788797000002</c:v>
                </c:pt>
                <c:pt idx="4">
                  <c:v>237.27890543999999</c:v>
                </c:pt>
              </c:numCache>
            </c:numRef>
          </c:bubbleSize>
          <c:bubble3D val="1"/>
          <c:extLst>
            <c:ext xmlns:c16="http://schemas.microsoft.com/office/drawing/2014/chart" uri="{C3380CC4-5D6E-409C-BE32-E72D297353CC}">
              <c16:uniqueId val="{00000005-CB46-428A-89DC-04A981D16938}"/>
            </c:ext>
          </c:extLst>
        </c:ser>
        <c:dLbls>
          <c:showLegendKey val="0"/>
          <c:showVal val="0"/>
          <c:showCatName val="0"/>
          <c:showSerName val="0"/>
          <c:showPercent val="0"/>
          <c:showBubbleSize val="0"/>
        </c:dLbls>
        <c:bubbleScale val="100"/>
        <c:showNegBubbles val="0"/>
        <c:axId val="159657920"/>
        <c:axId val="159658496"/>
      </c:bubbleChart>
      <c:valAx>
        <c:axId val="15965792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8496"/>
        <c:crosses val="autoZero"/>
        <c:crossBetween val="midCat"/>
      </c:valAx>
      <c:valAx>
        <c:axId val="15965849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79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'1954-1960'!$C$35</c:f>
              <c:strCache>
                <c:ptCount val="1"/>
                <c:pt idx="0">
                  <c:v>Grąža</c:v>
                </c:pt>
              </c:strCache>
            </c:strRef>
          </c:tx>
          <c:spPr>
            <a:ln w="28575">
              <a:noFill/>
            </a:ln>
          </c:spPr>
          <c:marker>
            <c:symbol val="diamond"/>
            <c:size val="15"/>
            <c:spPr>
              <a:solidFill>
                <a:srgbClr val="00B07D"/>
              </a:solidFill>
            </c:spPr>
          </c:marker>
          <c:dLbls>
            <c:dLbl>
              <c:idx val="0"/>
              <c:layout>
                <c:manualLayout>
                  <c:x val="-2.9344514029623712E-2"/>
                  <c:y val="-4.3207047695076856E-2"/>
                </c:manualLayout>
              </c:layout>
              <c:tx>
                <c:rich>
                  <a:bodyPr/>
                  <a:lstStyle/>
                  <a:p>
                    <a:r>
                      <a:rPr lang="en-US"/>
                      <a:t>LMN-54/60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AA8-4342-BF15-FA4F092D892F}"/>
                </c:ext>
              </c:extLst>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AA8-4342-BF15-FA4F092D892F}"/>
                </c:ext>
              </c:extLst>
            </c:dLbl>
            <c:dLbl>
              <c:idx val="2"/>
              <c:layout>
                <c:manualLayout>
                  <c:x val="-7.9398250913369633E-3"/>
                  <c:y val="1.0635244658365732E-2"/>
                </c:manualLayout>
              </c:layout>
              <c:tx>
                <c:rich>
                  <a:bodyPr/>
                  <a:lstStyle/>
                  <a:p>
                    <a:r>
                      <a:rPr lang="en-US"/>
                      <a:t>SBN-54/60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AA8-4342-BF15-FA4F092D892F}"/>
                </c:ext>
              </c:extLst>
            </c:dLbl>
            <c:dLbl>
              <c:idx val="3"/>
              <c:layout>
                <c:manualLayout>
                  <c:x val="-5.3656299965881914E-2"/>
                  <c:y val="5.2945328284581331E-2"/>
                </c:manualLayout>
              </c:layout>
              <c:tx>
                <c:rich>
                  <a:bodyPr/>
                  <a:lstStyle/>
                  <a:p>
                    <a:r>
                      <a:rPr lang="en-US"/>
                      <a:t>SWD-54/60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AA8-4342-BF15-FA4F092D892F}"/>
                </c:ext>
              </c:extLst>
            </c:dLbl>
            <c:dLbl>
              <c:idx val="4"/>
              <c:layout>
                <c:manualLayout>
                  <c:x val="-0.10270368950300572"/>
                  <c:y val="5.4706140456818354E-2"/>
                </c:manualLayout>
              </c:layout>
              <c:tx>
                <c:rich>
                  <a:bodyPr/>
                  <a:lstStyle/>
                  <a:p>
                    <a:r>
                      <a:rPr lang="en-US"/>
                      <a:t>AVI-54/60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AA8-4342-BF15-FA4F092D892F}"/>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'1954-1960'!$B$36:$B$40</c:f>
              <c:numCache>
                <c:formatCode>0.00</c:formatCode>
                <c:ptCount val="5"/>
                <c:pt idx="0">
                  <c:v>6.4425459042213626</c:v>
                </c:pt>
                <c:pt idx="1">
                  <c:v>5.1030101909057501</c:v>
                </c:pt>
                <c:pt idx="2">
                  <c:v>5.6980105651518631</c:v>
                </c:pt>
                <c:pt idx="3">
                  <c:v>5.2644843079246568</c:v>
                </c:pt>
                <c:pt idx="4">
                  <c:v>4.3074400654374063</c:v>
                </c:pt>
              </c:numCache>
            </c:numRef>
          </c:xVal>
          <c:yVal>
            <c:numRef>
              <c:f>'1954-1960'!$C$36:$C$40</c:f>
              <c:numCache>
                <c:formatCode>0.00</c:formatCode>
                <c:ptCount val="5"/>
                <c:pt idx="0">
                  <c:v>-0.49325828001164362</c:v>
                </c:pt>
                <c:pt idx="1">
                  <c:v>1.5237919571363001</c:v>
                </c:pt>
                <c:pt idx="2">
                  <c:v>0.51296101411579809</c:v>
                </c:pt>
                <c:pt idx="3">
                  <c:v>4.9054978290508089E-2</c:v>
                </c:pt>
                <c:pt idx="4">
                  <c:v>0.71378963476442792</c:v>
                </c:pt>
              </c:numCache>
            </c:numRef>
          </c:yVal>
          <c:smooth val="0"/>
          <c:extLst>
            <c:ext xmlns:c16="http://schemas.microsoft.com/office/drawing/2014/chart" uri="{C3380CC4-5D6E-409C-BE32-E72D297353CC}">
              <c16:uniqueId val="{00000005-AAA8-4342-BF15-FA4F092D892F}"/>
            </c:ext>
          </c:extLst>
        </c:ser>
        <c:dLbls>
          <c:showLegendKey val="0"/>
          <c:showVal val="0"/>
          <c:showCatName val="0"/>
          <c:showSerName val="0"/>
          <c:showPercent val="0"/>
          <c:showBubbleSize val="0"/>
        </c:dLbls>
        <c:axId val="159660800"/>
        <c:axId val="159661376"/>
      </c:scatterChart>
      <c:valAx>
        <c:axId val="15966080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61376"/>
        <c:crosses val="autoZero"/>
        <c:crossBetween val="midCat"/>
      </c:valAx>
      <c:valAx>
        <c:axId val="15966137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6080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'1954-1960'!$C$65</c:f>
              <c:strCache>
                <c:ptCount val="1"/>
                <c:pt idx="0">
                  <c:v>Grąža (proc.)</c:v>
                </c:pt>
              </c:strCache>
            </c:strRef>
          </c:tx>
          <c:spPr>
            <a:solidFill>
              <a:srgbClr val="00B07D"/>
            </a:solidFill>
          </c:spPr>
          <c:invertIfNegative val="0"/>
          <c:dLbls>
            <c:dLbl>
              <c:idx val="0"/>
              <c:layout>
                <c:manualLayout>
                  <c:x val="-8.3594238569701506E-3"/>
                  <c:y val="-6.3376434309559804E-2"/>
                </c:manualLayout>
              </c:layout>
              <c:tx>
                <c:rich>
                  <a:bodyPr/>
                  <a:lstStyle/>
                  <a:p>
                    <a:r>
                      <a:rPr lang="en-US"/>
                      <a:t>LMN-54/60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3310-4483-85E5-4E2A302E454F}"/>
                </c:ext>
              </c:extLst>
            </c:dLbl>
            <c:dLbl>
              <c:idx val="1"/>
              <c:layout>
                <c:manualLayout>
                  <c:x val="-2.8442143740902404E-3"/>
                  <c:y val="3.0998377430247092E-2"/>
                </c:manualLayout>
              </c:layout>
              <c:tx>
                <c:rich>
                  <a:bodyPr/>
                  <a:lstStyle/>
                  <a:p>
                    <a:r>
                      <a:rPr lang="en-US"/>
                      <a:t>INV-54/60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3310-4483-85E5-4E2A302E454F}"/>
                </c:ext>
              </c:extLst>
            </c:dLbl>
            <c:dLbl>
              <c:idx val="2"/>
              <c:layout>
                <c:manualLayout>
                  <c:x val="5.7735953030075963E-4"/>
                  <c:y val="-6.0260796726080085E-3"/>
                </c:manualLayout>
              </c:layout>
              <c:tx>
                <c:rich>
                  <a:bodyPr/>
                  <a:lstStyle/>
                  <a:p>
                    <a:r>
                      <a:rPr lang="en-US"/>
                      <a:t>SBN-54/60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3310-4483-85E5-4E2A302E454F}"/>
                </c:ext>
              </c:extLst>
            </c:dLbl>
            <c:dLbl>
              <c:idx val="3"/>
              <c:layout>
                <c:manualLayout>
                  <c:x val="-8.0155413134133172E-3"/>
                  <c:y val="7.1844005630894242E-2"/>
                </c:manualLayout>
              </c:layout>
              <c:tx>
                <c:rich>
                  <a:bodyPr/>
                  <a:lstStyle/>
                  <a:p>
                    <a:r>
                      <a:rPr lang="en-US"/>
                      <a:t>SWD-54/60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3310-4483-85E5-4E2A302E454F}"/>
                </c:ext>
              </c:extLst>
            </c:dLbl>
            <c:dLbl>
              <c:idx val="4"/>
              <c:layout>
                <c:manualLayout>
                  <c:x val="-1.5565186398590449E-2"/>
                  <c:y val="7.4947050033509599E-2"/>
                </c:manualLayout>
              </c:layout>
              <c:tx>
                <c:rich>
                  <a:bodyPr/>
                  <a:lstStyle/>
                  <a:p>
                    <a:r>
                      <a:rPr lang="en-US"/>
                      <a:t>AVI-54/60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3310-4483-85E5-4E2A302E454F}"/>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'1954-1960'!$B$66:$B$70</c:f>
              <c:numCache>
                <c:formatCode>0.00</c:formatCode>
                <c:ptCount val="5"/>
                <c:pt idx="0">
                  <c:v>2.1629999999999998</c:v>
                </c:pt>
                <c:pt idx="1">
                  <c:v>1.7010000000000001</c:v>
                </c:pt>
                <c:pt idx="2">
                  <c:v>4.8730000000000002</c:v>
                </c:pt>
                <c:pt idx="3">
                  <c:v>5.6769999999999996</c:v>
                </c:pt>
                <c:pt idx="4">
                  <c:v>4.3140000000000001</c:v>
                </c:pt>
              </c:numCache>
            </c:numRef>
          </c:xVal>
          <c:yVal>
            <c:numRef>
              <c:f>'1954-1960'!$C$66:$C$70</c:f>
              <c:numCache>
                <c:formatCode>0.00</c:formatCode>
                <c:ptCount val="5"/>
                <c:pt idx="0">
                  <c:v>-0.49325828001164362</c:v>
                </c:pt>
                <c:pt idx="1">
                  <c:v>1.5237919571363001</c:v>
                </c:pt>
                <c:pt idx="2">
                  <c:v>0.51296101411579809</c:v>
                </c:pt>
                <c:pt idx="3">
                  <c:v>4.9054978290508089E-2</c:v>
                </c:pt>
                <c:pt idx="4">
                  <c:v>0.71378963476442792</c:v>
                </c:pt>
              </c:numCache>
            </c:numRef>
          </c:yVal>
          <c:bubbleSize>
            <c:numRef>
              <c:f>'1954-1960'!$D$66:$D$70</c:f>
              <c:numCache>
                <c:formatCode>0.00</c:formatCode>
                <c:ptCount val="5"/>
                <c:pt idx="0">
                  <c:v>13.513911759999999</c:v>
                </c:pt>
                <c:pt idx="1">
                  <c:v>12.2061001318</c:v>
                </c:pt>
                <c:pt idx="2">
                  <c:v>35.743582270000005</c:v>
                </c:pt>
                <c:pt idx="3">
                  <c:v>52.85293145</c:v>
                </c:pt>
                <c:pt idx="4">
                  <c:v>28.52712086</c:v>
                </c:pt>
              </c:numCache>
            </c:numRef>
          </c:bubbleSize>
          <c:bubble3D val="1"/>
          <c:extLst>
            <c:ext xmlns:c16="http://schemas.microsoft.com/office/drawing/2014/chart" uri="{C3380CC4-5D6E-409C-BE32-E72D297353CC}">
              <c16:uniqueId val="{00000005-3310-4483-85E5-4E2A302E454F}"/>
            </c:ext>
          </c:extLst>
        </c:ser>
        <c:dLbls>
          <c:showLegendKey val="0"/>
          <c:showVal val="0"/>
          <c:showCatName val="0"/>
          <c:showSerName val="0"/>
          <c:showPercent val="0"/>
          <c:showBubbleSize val="0"/>
        </c:dLbls>
        <c:bubbleScale val="100"/>
        <c:showNegBubbles val="0"/>
        <c:axId val="136880704"/>
        <c:axId val="136881280"/>
      </c:bubbleChart>
      <c:valAx>
        <c:axId val="13688070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1280"/>
        <c:crosses val="autoZero"/>
        <c:crossBetween val="midCat"/>
      </c:valAx>
      <c:valAx>
        <c:axId val="13688128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070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TIF!$C$35</c:f>
              <c:strCache>
                <c:ptCount val="1"/>
                <c:pt idx="0">
                  <c:v>Grąža</c:v>
                </c:pt>
              </c:strCache>
            </c:strRef>
          </c:tx>
          <c:spPr>
            <a:ln w="28575">
              <a:noFill/>
            </a:ln>
          </c:spPr>
          <c:marker>
            <c:symbol val="diamond"/>
            <c:size val="15"/>
            <c:spPr>
              <a:solidFill>
                <a:srgbClr val="00B07D"/>
              </a:solidFill>
            </c:spPr>
          </c:marker>
          <c:dLbls>
            <c:dLbl>
              <c:idx val="0"/>
              <c:layout>
                <c:manualLayout>
                  <c:x val="-2.1129178478363777E-3"/>
                  <c:y val="-2.5310961749979632E-3"/>
                </c:manualLayout>
              </c:layout>
              <c:tx>
                <c:rich>
                  <a:bodyPr/>
                  <a:lstStyle/>
                  <a:p>
                    <a:r>
                      <a:rPr lang="en-US"/>
                      <a:t>LMN-TIPF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E1-4D3B-9813-EF7F39486E9A}"/>
                </c:ext>
              </c:extLst>
            </c:dLbl>
            <c:dLbl>
              <c:idx val="1"/>
              <c:layout>
                <c:manualLayout>
                  <c:x val="-6.2150787001411637E-5"/>
                  <c:y val="-2.4841183605085103E-2"/>
                </c:manualLayout>
              </c:layout>
              <c:tx>
                <c:rich>
                  <a:bodyPr/>
                  <a:lstStyle/>
                  <a:p>
                    <a:r>
                      <a:rPr lang="en-US"/>
                      <a:t>INV-TIPF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5E1-4D3B-9813-EF7F39486E9A}"/>
                </c:ext>
              </c:extLst>
            </c:dLbl>
            <c:dLbl>
              <c:idx val="2"/>
              <c:layout>
                <c:manualLayout>
                  <c:x val="-1.0014110840027876E-3"/>
                  <c:y val="-1.6399061128407104E-2"/>
                </c:manualLayout>
              </c:layout>
              <c:tx>
                <c:rich>
                  <a:bodyPr/>
                  <a:lstStyle/>
                  <a:p>
                    <a:r>
                      <a:rPr lang="en-US"/>
                      <a:t>SBN-TIPF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5E1-4D3B-9813-EF7F39486E9A}"/>
                </c:ext>
              </c:extLst>
            </c:dLbl>
            <c:dLbl>
              <c:idx val="3"/>
              <c:layout>
                <c:manualLayout>
                  <c:x val="-1.6035947597381143E-2"/>
                  <c:y val="-4.179618057054655E-2"/>
                </c:manualLayout>
              </c:layout>
              <c:tx>
                <c:rich>
                  <a:bodyPr/>
                  <a:lstStyle/>
                  <a:p>
                    <a:r>
                      <a:rPr lang="en-US"/>
                      <a:t>SWD-TIPF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5E1-4D3B-9813-EF7F39486E9A}"/>
                </c:ext>
              </c:extLst>
            </c:dLbl>
            <c:dLbl>
              <c:idx val="4"/>
              <c:layout>
                <c:manualLayout>
                  <c:x val="-0.11556161761807666"/>
                  <c:y val="-2.2706561932806651E-4"/>
                </c:manualLayout>
              </c:layout>
              <c:tx>
                <c:rich>
                  <a:bodyPr/>
                  <a:lstStyle/>
                  <a:p>
                    <a:r>
                      <a:rPr lang="en-US"/>
                      <a:t>AVI-TIPF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5E1-4D3B-9813-EF7F39486E9A}"/>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TIF!$B$36:$B$40</c:f>
              <c:numCache>
                <c:formatCode>0.00</c:formatCode>
                <c:ptCount val="5"/>
                <c:pt idx="0">
                  <c:v>4.7969809623667929</c:v>
                </c:pt>
                <c:pt idx="1">
                  <c:v>4.5412549678956085</c:v>
                </c:pt>
                <c:pt idx="2">
                  <c:v>5.1442377536998398</c:v>
                </c:pt>
                <c:pt idx="3">
                  <c:v>5.4893783070906057</c:v>
                </c:pt>
                <c:pt idx="4">
                  <c:v>4.1373154957991227</c:v>
                </c:pt>
              </c:numCache>
            </c:numRef>
          </c:xVal>
          <c:yVal>
            <c:numRef>
              <c:f>TIF!$C$36:$C$40</c:f>
              <c:numCache>
                <c:formatCode>0.00</c:formatCode>
                <c:ptCount val="5"/>
                <c:pt idx="0">
                  <c:v>9.0522314244889657E-3</c:v>
                </c:pt>
                <c:pt idx="1">
                  <c:v>1.2585693076868631</c:v>
                </c:pt>
                <c:pt idx="2">
                  <c:v>0.56998028556427549</c:v>
                </c:pt>
                <c:pt idx="3">
                  <c:v>0.86370717206978309</c:v>
                </c:pt>
                <c:pt idx="4">
                  <c:v>-0.35987990080628141</c:v>
                </c:pt>
              </c:numCache>
            </c:numRef>
          </c:yVal>
          <c:smooth val="0"/>
          <c:extLst>
            <c:ext xmlns:c16="http://schemas.microsoft.com/office/drawing/2014/chart" uri="{C3380CC4-5D6E-409C-BE32-E72D297353CC}">
              <c16:uniqueId val="{00000005-E5E1-4D3B-9813-EF7F39486E9A}"/>
            </c:ext>
          </c:extLst>
        </c:ser>
        <c:dLbls>
          <c:showLegendKey val="0"/>
          <c:showVal val="0"/>
          <c:showCatName val="0"/>
          <c:showSerName val="0"/>
          <c:showPercent val="0"/>
          <c:showBubbleSize val="0"/>
        </c:dLbls>
        <c:axId val="136883008"/>
        <c:axId val="136883584"/>
      </c:scatterChart>
      <c:valAx>
        <c:axId val="1368830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6883584"/>
        <c:crosses val="autoZero"/>
        <c:crossBetween val="midCat"/>
      </c:valAx>
      <c:valAx>
        <c:axId val="13688358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30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TIF!$C$65</c:f>
              <c:strCache>
                <c:ptCount val="1"/>
                <c:pt idx="0">
                  <c:v>Grąža (proc.)</c:v>
                </c:pt>
              </c:strCache>
            </c:strRef>
          </c:tx>
          <c:spPr>
            <a:solidFill>
              <a:srgbClr val="00B07D"/>
            </a:solidFill>
          </c:spPr>
          <c:invertIfNegative val="0"/>
          <c:dLbls>
            <c:dLbl>
              <c:idx val="0"/>
              <c:layout>
                <c:manualLayout>
                  <c:x val="-6.6784305470121274E-3"/>
                  <c:y val="-1.7847447240536794E-2"/>
                </c:manualLayout>
              </c:layout>
              <c:tx>
                <c:rich>
                  <a:bodyPr/>
                  <a:lstStyle/>
                  <a:p>
                    <a:r>
                      <a:rPr lang="en-US"/>
                      <a:t>LMN-TIPF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121C-460D-B8F3-9A44B1F95391}"/>
                </c:ext>
              </c:extLst>
            </c:dLbl>
            <c:dLbl>
              <c:idx val="1"/>
              <c:layout>
                <c:manualLayout>
                  <c:x val="-0.14222618574960053"/>
                  <c:y val="-2.0833300258617793E-2"/>
                </c:manualLayout>
              </c:layout>
              <c:tx>
                <c:rich>
                  <a:bodyPr/>
                  <a:lstStyle/>
                  <a:p>
                    <a:r>
                      <a:rPr lang="en-US"/>
                      <a:t>INV-TIPF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121C-460D-B8F3-9A44B1F95391}"/>
                </c:ext>
              </c:extLst>
            </c:dLbl>
            <c:dLbl>
              <c:idx val="2"/>
              <c:layout>
                <c:manualLayout>
                  <c:x val="-9.8918733259468899E-3"/>
                  <c:y val="-5.1711672624064786E-2"/>
                </c:manualLayout>
              </c:layout>
              <c:tx>
                <c:rich>
                  <a:bodyPr/>
                  <a:lstStyle/>
                  <a:p>
                    <a:r>
                      <a:rPr lang="en-US"/>
                      <a:t>SBN-TIPF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121C-460D-B8F3-9A44B1F95391}"/>
                </c:ext>
              </c:extLst>
            </c:dLbl>
            <c:dLbl>
              <c:idx val="3"/>
              <c:layout>
                <c:manualLayout>
                  <c:x val="-1.5833945536777628E-2"/>
                  <c:y val="-9.6291309149264301E-2"/>
                </c:manualLayout>
              </c:layout>
              <c:tx>
                <c:rich>
                  <a:bodyPr/>
                  <a:lstStyle/>
                  <a:p>
                    <a:r>
                      <a:rPr lang="en-US"/>
                      <a:t>SWD-TIPF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121C-460D-B8F3-9A44B1F95391}"/>
                </c:ext>
              </c:extLst>
            </c:dLbl>
            <c:dLbl>
              <c:idx val="4"/>
              <c:layout>
                <c:manualLayout>
                  <c:x val="-0.15221527769423787"/>
                  <c:y val="3.4618203894590541E-2"/>
                </c:manualLayout>
              </c:layout>
              <c:tx>
                <c:rich>
                  <a:bodyPr/>
                  <a:lstStyle/>
                  <a:p>
                    <a:r>
                      <a:rPr lang="en-US"/>
                      <a:t>AVI-TIPF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121C-460D-B8F3-9A44B1F95391}"/>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TIF!$B$66:$B$70</c:f>
              <c:numCache>
                <c:formatCode>0.00</c:formatCode>
                <c:ptCount val="5"/>
                <c:pt idx="0">
                  <c:v>2.8639999999999999</c:v>
                </c:pt>
                <c:pt idx="1">
                  <c:v>2.4729999999999999</c:v>
                </c:pt>
                <c:pt idx="2">
                  <c:v>7.282</c:v>
                </c:pt>
                <c:pt idx="3">
                  <c:v>8.8219999999999992</c:v>
                </c:pt>
                <c:pt idx="4">
                  <c:v>6.9809999999999999</c:v>
                </c:pt>
              </c:numCache>
            </c:numRef>
          </c:xVal>
          <c:yVal>
            <c:numRef>
              <c:f>TIF!$C$66:$C$70</c:f>
              <c:numCache>
                <c:formatCode>0.00</c:formatCode>
                <c:ptCount val="5"/>
                <c:pt idx="0">
                  <c:v>9.0522314244889657E-3</c:v>
                </c:pt>
                <c:pt idx="1">
                  <c:v>1.2585693076868631</c:v>
                </c:pt>
                <c:pt idx="2">
                  <c:v>0.56998028556427549</c:v>
                </c:pt>
                <c:pt idx="3">
                  <c:v>0.86370717206978309</c:v>
                </c:pt>
                <c:pt idx="4">
                  <c:v>-0.35987990080628141</c:v>
                </c:pt>
              </c:numCache>
            </c:numRef>
          </c:yVal>
          <c:bubbleSize>
            <c:numRef>
              <c:f>TIF!$D$66:$D$70</c:f>
              <c:numCache>
                <c:formatCode>0.00</c:formatCode>
                <c:ptCount val="5"/>
                <c:pt idx="0">
                  <c:v>12.279213199999999</c:v>
                </c:pt>
                <c:pt idx="1">
                  <c:v>14.225103926100001</c:v>
                </c:pt>
                <c:pt idx="2">
                  <c:v>57.034804899999997</c:v>
                </c:pt>
                <c:pt idx="3">
                  <c:v>71.585678560000005</c:v>
                </c:pt>
                <c:pt idx="4">
                  <c:v>32.474127500000002</c:v>
                </c:pt>
              </c:numCache>
            </c:numRef>
          </c:bubbleSize>
          <c:bubble3D val="1"/>
          <c:extLst>
            <c:ext xmlns:c16="http://schemas.microsoft.com/office/drawing/2014/chart" uri="{C3380CC4-5D6E-409C-BE32-E72D297353CC}">
              <c16:uniqueId val="{00000005-121C-460D-B8F3-9A44B1F95391}"/>
            </c:ext>
          </c:extLst>
        </c:ser>
        <c:dLbls>
          <c:showLegendKey val="0"/>
          <c:showVal val="0"/>
          <c:showCatName val="0"/>
          <c:showSerName val="0"/>
          <c:showPercent val="0"/>
          <c:showBubbleSize val="0"/>
        </c:dLbls>
        <c:bubbleScale val="100"/>
        <c:showNegBubbles val="0"/>
        <c:axId val="136885312"/>
        <c:axId val="136885888"/>
      </c:bubbleChart>
      <c:valAx>
        <c:axId val="1368853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5888"/>
        <c:crosses val="autoZero"/>
        <c:crossBetween val="midCat"/>
      </c:valAx>
      <c:valAx>
        <c:axId val="136885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53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81001721909906077"/>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extLst>
            <c:ext xmlns:c16="http://schemas.microsoft.com/office/drawing/2014/chart" uri="{C3380CC4-5D6E-409C-BE32-E72D297353CC}">
              <c16:uniqueId val="{00000000-2631-47E3-B625-16B88E6046B3}"/>
            </c:ext>
          </c:extLst>
        </c:ser>
        <c:ser>
          <c:idx val="2"/>
          <c:order val="1"/>
          <c:tx>
            <c:strRef>
              <c:f>Strategijų_palyginimas!$C$2</c:f>
              <c:strCache>
                <c:ptCount val="1"/>
                <c:pt idx="0">
                  <c:v>UAB "SB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extLst>
            <c:ext xmlns:c16="http://schemas.microsoft.com/office/drawing/2014/chart" uri="{C3380CC4-5D6E-409C-BE32-E72D297353CC}">
              <c16:uniqueId val="{00000001-2631-47E3-B625-16B88E6046B3}"/>
            </c:ext>
          </c:extLst>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95</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2-2631-47E3-B625-16B88E6046B3}"/>
            </c:ext>
          </c:extLst>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extLst>
            <c:ext xmlns:c16="http://schemas.microsoft.com/office/drawing/2014/chart" uri="{C3380CC4-5D6E-409C-BE32-E72D297353CC}">
              <c16:uniqueId val="{00000003-2631-47E3-B625-16B88E6046B3}"/>
            </c:ext>
          </c:extLst>
        </c:ser>
        <c:ser>
          <c:idx val="5"/>
          <c:order val="4"/>
          <c:tx>
            <c:strRef>
              <c:f>Strategijų_palyginimas!$F$2</c:f>
              <c:strCache>
                <c:ptCount val="1"/>
                <c:pt idx="0">
                  <c:v>Allianz Lietuva gyvybės draudimas UAB</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4-2631-47E3-B625-16B88E6046B3}"/>
            </c:ext>
          </c:extLst>
        </c:ser>
        <c:ser>
          <c:idx val="0"/>
          <c:order val="5"/>
          <c:tx>
            <c:strRef>
              <c:f>Strategijų_palyginimas!$G$2</c:f>
              <c:strCache>
                <c:ptCount val="1"/>
                <c:pt idx="0">
                  <c:v>Goindex, UAB</c:v>
                </c:pt>
              </c:strCache>
            </c:strRef>
          </c:tx>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Strategijų_palyginimas!$G$3:$G$51</c:f>
              <c:numCache>
                <c:formatCode>0</c:formatCode>
                <c:ptCount val="4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90</c:v>
                </c:pt>
                <c:pt idx="36">
                  <c:v>80</c:v>
                </c:pt>
                <c:pt idx="37">
                  <c:v>70</c:v>
                </c:pt>
                <c:pt idx="38">
                  <c:v>60</c:v>
                </c:pt>
                <c:pt idx="39">
                  <c:v>50</c:v>
                </c:pt>
                <c:pt idx="40">
                  <c:v>40</c:v>
                </c:pt>
                <c:pt idx="41">
                  <c:v>30</c:v>
                </c:pt>
                <c:pt idx="42">
                  <c:v>20</c:v>
                </c:pt>
                <c:pt idx="43">
                  <c:v>10</c:v>
                </c:pt>
                <c:pt idx="44">
                  <c:v>0</c:v>
                </c:pt>
                <c:pt idx="45">
                  <c:v>0</c:v>
                </c:pt>
                <c:pt idx="46">
                  <c:v>0</c:v>
                </c:pt>
                <c:pt idx="47">
                  <c:v>0</c:v>
                </c:pt>
                <c:pt idx="48">
                  <c:v>0</c:v>
                </c:pt>
              </c:numCache>
            </c:numRef>
          </c:val>
          <c:smooth val="0"/>
          <c:extLst>
            <c:ext xmlns:c16="http://schemas.microsoft.com/office/drawing/2014/chart" uri="{C3380CC4-5D6E-409C-BE32-E72D297353CC}">
              <c16:uniqueId val="{00000001-4E1A-48DD-A783-BCE09CAD7F32}"/>
            </c:ext>
          </c:extLst>
        </c:ser>
        <c:dLbls>
          <c:showLegendKey val="0"/>
          <c:showVal val="0"/>
          <c:showCatName val="0"/>
          <c:showSerName val="0"/>
          <c:showPercent val="0"/>
          <c:showBubbleSize val="0"/>
        </c:dLbls>
        <c:smooth val="0"/>
        <c:axId val="160721408"/>
        <c:axId val="136887616"/>
      </c:lineChart>
      <c:catAx>
        <c:axId val="160721408"/>
        <c:scaling>
          <c:orientation val="minMax"/>
        </c:scaling>
        <c:delete val="0"/>
        <c:axPos val="b"/>
        <c:numFmt formatCode="0" sourceLinked="1"/>
        <c:majorTickMark val="none"/>
        <c:minorTickMark val="none"/>
        <c:tickLblPos val="nextTo"/>
        <c:crossAx val="136887616"/>
        <c:crosses val="autoZero"/>
        <c:auto val="1"/>
        <c:lblAlgn val="ctr"/>
        <c:lblOffset val="100"/>
        <c:noMultiLvlLbl val="0"/>
      </c:catAx>
      <c:valAx>
        <c:axId val="136887616"/>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0721408"/>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112814</xdr:rowOff>
    </xdr:from>
    <xdr:to>
      <xdr:col>3</xdr:col>
      <xdr:colOff>1066107</xdr:colOff>
      <xdr:row>54</xdr:row>
      <xdr:rowOff>137407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122707</xdr:rowOff>
    </xdr:from>
    <xdr:to>
      <xdr:col>4</xdr:col>
      <xdr:colOff>27709</xdr:colOff>
      <xdr:row>86</xdr:row>
      <xdr:rowOff>69268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27</xdr:row>
      <xdr:rowOff>109845</xdr:rowOff>
    </xdr:from>
    <xdr:to>
      <xdr:col>4</xdr:col>
      <xdr:colOff>1025236</xdr:colOff>
      <xdr:row>55</xdr:row>
      <xdr:rowOff>55416</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152400</xdr:rowOff>
    </xdr:from>
    <xdr:to>
      <xdr:col>4</xdr:col>
      <xdr:colOff>1094509</xdr:colOff>
      <xdr:row>86</xdr:row>
      <xdr:rowOff>67294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27</xdr:row>
      <xdr:rowOff>91044</xdr:rowOff>
    </xdr:from>
    <xdr:to>
      <xdr:col>5</xdr:col>
      <xdr:colOff>0</xdr:colOff>
      <xdr:row>54</xdr:row>
      <xdr:rowOff>111827</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64321</xdr:rowOff>
    </xdr:from>
    <xdr:to>
      <xdr:col>5</xdr:col>
      <xdr:colOff>41564</xdr:colOff>
      <xdr:row>86</xdr:row>
      <xdr:rowOff>8903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27</xdr:row>
      <xdr:rowOff>77190</xdr:rowOff>
    </xdr:from>
    <xdr:to>
      <xdr:col>4</xdr:col>
      <xdr:colOff>1025236</xdr:colOff>
      <xdr:row>54</xdr:row>
      <xdr:rowOff>97973</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125678</xdr:rowOff>
    </xdr:from>
    <xdr:to>
      <xdr:col>4</xdr:col>
      <xdr:colOff>1020288</xdr:colOff>
      <xdr:row>86</xdr:row>
      <xdr:rowOff>72239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27</xdr:row>
      <xdr:rowOff>168235</xdr:rowOff>
    </xdr:from>
    <xdr:to>
      <xdr:col>4</xdr:col>
      <xdr:colOff>1025236</xdr:colOff>
      <xdr:row>54</xdr:row>
      <xdr:rowOff>189018</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84115</xdr:rowOff>
    </xdr:from>
    <xdr:to>
      <xdr:col>4</xdr:col>
      <xdr:colOff>1094509</xdr:colOff>
      <xdr:row>86</xdr:row>
      <xdr:rowOff>30676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27</xdr:row>
      <xdr:rowOff>90055</xdr:rowOff>
    </xdr:from>
    <xdr:to>
      <xdr:col>4</xdr:col>
      <xdr:colOff>1025236</xdr:colOff>
      <xdr:row>54</xdr:row>
      <xdr:rowOff>110838</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103909</xdr:rowOff>
    </xdr:from>
    <xdr:to>
      <xdr:col>4</xdr:col>
      <xdr:colOff>1094509</xdr:colOff>
      <xdr:row>86</xdr:row>
      <xdr:rowOff>50470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27</xdr:row>
      <xdr:rowOff>151409</xdr:rowOff>
    </xdr:from>
    <xdr:to>
      <xdr:col>4</xdr:col>
      <xdr:colOff>1025236</xdr:colOff>
      <xdr:row>54</xdr:row>
      <xdr:rowOff>172192</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147449</xdr:rowOff>
    </xdr:from>
    <xdr:to>
      <xdr:col>4</xdr:col>
      <xdr:colOff>1094509</xdr:colOff>
      <xdr:row>86</xdr:row>
      <xdr:rowOff>94010</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27</xdr:row>
      <xdr:rowOff>74222</xdr:rowOff>
    </xdr:from>
    <xdr:to>
      <xdr:col>4</xdr:col>
      <xdr:colOff>1025236</xdr:colOff>
      <xdr:row>54</xdr:row>
      <xdr:rowOff>95005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39584</xdr:rowOff>
    </xdr:from>
    <xdr:to>
      <xdr:col>4</xdr:col>
      <xdr:colOff>1094509</xdr:colOff>
      <xdr:row>85</xdr:row>
      <xdr:rowOff>178129</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108856</xdr:colOff>
      <xdr:row>2</xdr:row>
      <xdr:rowOff>38099</xdr:rowOff>
    </xdr:from>
    <xdr:to>
      <xdr:col>29</xdr:col>
      <xdr:colOff>21772</xdr:colOff>
      <xdr:row>44</xdr:row>
      <xdr:rowOff>21771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7D"/>
  </sheetPr>
  <dimension ref="A1:Z85"/>
  <sheetViews>
    <sheetView showGridLines="0" tabSelected="1" zoomScale="70" zoomScaleNormal="70" workbookViewId="0">
      <pane xSplit="3" ySplit="2" topLeftCell="D3" activePane="bottomRight" state="frozen"/>
      <selection activeCell="D39" sqref="D39"/>
      <selection pane="topRight" activeCell="D39" sqref="D39"/>
      <selection pane="bottomLeft" activeCell="D39" sqref="D39"/>
      <selection pane="bottomRight"/>
    </sheetView>
  </sheetViews>
  <sheetFormatPr defaultRowHeight="14.5" x14ac:dyDescent="0.35"/>
  <cols>
    <col min="1" max="1" width="46.453125" style="7" customWidth="1"/>
    <col min="2" max="2" width="16.453125" style="7" customWidth="1"/>
    <col min="3" max="3" width="70.453125" style="7" customWidth="1"/>
    <col min="4" max="4" width="12.81640625" customWidth="1"/>
    <col min="5" max="5" width="13.54296875" customWidth="1"/>
    <col min="6" max="6" width="14.81640625" customWidth="1"/>
    <col min="7" max="7" width="15.453125" customWidth="1"/>
    <col min="8" max="8" width="1.81640625" customWidth="1"/>
    <col min="9" max="9" width="13" customWidth="1"/>
    <col min="10" max="10" width="17.54296875" customWidth="1"/>
    <col min="11" max="11" width="17.81640625" customWidth="1"/>
    <col min="12" max="12" width="16.453125" customWidth="1"/>
    <col min="13" max="13" width="17.26953125" customWidth="1"/>
    <col min="14" max="14" width="17.453125" customWidth="1"/>
    <col min="15" max="15" width="1.81640625" customWidth="1"/>
    <col min="16" max="17" width="17.1796875" customWidth="1"/>
    <col min="18" max="18" width="1.81640625" customWidth="1"/>
    <col min="19" max="19" width="14.453125" bestFit="1" customWidth="1"/>
    <col min="20" max="20" width="18.453125" bestFit="1" customWidth="1"/>
    <col min="21" max="21" width="15.54296875" bestFit="1" customWidth="1"/>
  </cols>
  <sheetData>
    <row r="1" spans="1:23" ht="20.149999999999999" customHeight="1" x14ac:dyDescent="0.35">
      <c r="A1" s="91">
        <v>45657</v>
      </c>
      <c r="B1" s="25"/>
      <c r="C1" s="26"/>
      <c r="D1" s="100" t="s">
        <v>90</v>
      </c>
      <c r="E1" s="30" t="s">
        <v>75</v>
      </c>
      <c r="F1" s="100" t="s">
        <v>100</v>
      </c>
      <c r="G1" s="100" t="s">
        <v>71</v>
      </c>
      <c r="H1" s="27"/>
      <c r="I1" s="98" t="s">
        <v>72</v>
      </c>
      <c r="J1" s="104"/>
      <c r="K1" s="104"/>
      <c r="L1" s="104"/>
      <c r="M1" s="104"/>
      <c r="N1" s="86"/>
      <c r="O1" s="28"/>
      <c r="P1" s="102" t="s">
        <v>97</v>
      </c>
      <c r="Q1" s="103"/>
      <c r="S1" s="98" t="s">
        <v>164</v>
      </c>
      <c r="T1" s="99"/>
      <c r="U1" s="99"/>
    </row>
    <row r="2" spans="1:23" ht="81" x14ac:dyDescent="0.35">
      <c r="A2" s="24" t="s">
        <v>42</v>
      </c>
      <c r="B2" s="24" t="s">
        <v>43</v>
      </c>
      <c r="C2" s="24" t="s">
        <v>44</v>
      </c>
      <c r="D2" s="101"/>
      <c r="E2" s="24" t="s">
        <v>99</v>
      </c>
      <c r="F2" s="101"/>
      <c r="G2" s="101"/>
      <c r="H2" s="27"/>
      <c r="I2" s="62" t="s">
        <v>92</v>
      </c>
      <c r="J2" s="24" t="s">
        <v>157</v>
      </c>
      <c r="K2" s="24" t="s">
        <v>158</v>
      </c>
      <c r="L2" s="24" t="s">
        <v>94</v>
      </c>
      <c r="M2" s="24" t="s">
        <v>159</v>
      </c>
      <c r="N2" s="24" t="s">
        <v>160</v>
      </c>
      <c r="O2" s="29"/>
      <c r="P2" s="24" t="s">
        <v>111</v>
      </c>
      <c r="Q2" s="24" t="s">
        <v>112</v>
      </c>
      <c r="S2" s="24" t="s">
        <v>149</v>
      </c>
      <c r="T2" s="24" t="s">
        <v>150</v>
      </c>
      <c r="U2" s="24" t="s">
        <v>151</v>
      </c>
      <c r="V2" s="47"/>
    </row>
    <row r="3" spans="1:23" s="46" customFormat="1" ht="18.649999999999999" customHeight="1" x14ac:dyDescent="0.35">
      <c r="A3" s="105" t="s">
        <v>45</v>
      </c>
      <c r="B3" s="105"/>
      <c r="C3" s="105"/>
      <c r="D3" s="43"/>
      <c r="E3" s="43"/>
      <c r="F3" s="44"/>
      <c r="G3" s="45" t="s">
        <v>98</v>
      </c>
      <c r="H3" s="43"/>
      <c r="I3" s="67">
        <v>20.315129518655077</v>
      </c>
      <c r="J3" s="67">
        <v>5.8745881075853115</v>
      </c>
      <c r="K3" s="67">
        <v>10.48811013187083</v>
      </c>
      <c r="L3" s="67">
        <v>24.114960340974658</v>
      </c>
      <c r="M3" s="67">
        <v>8.0455473500028578</v>
      </c>
      <c r="N3" s="67">
        <v>12.041877825383919</v>
      </c>
      <c r="O3" s="43"/>
      <c r="P3" s="43"/>
      <c r="Q3" s="43"/>
      <c r="S3"/>
      <c r="T3"/>
      <c r="U3"/>
    </row>
    <row r="4" spans="1:23" x14ac:dyDescent="0.35">
      <c r="A4" s="31" t="s">
        <v>36</v>
      </c>
      <c r="B4" s="31" t="s">
        <v>4</v>
      </c>
      <c r="C4" s="31" t="s">
        <v>46</v>
      </c>
      <c r="D4" s="65" t="s">
        <v>170</v>
      </c>
      <c r="E4" s="65">
        <v>90</v>
      </c>
      <c r="F4" s="32">
        <v>29.740268920000002</v>
      </c>
      <c r="G4" s="34">
        <v>18502</v>
      </c>
      <c r="H4" s="22"/>
      <c r="I4" s="35">
        <v>21.785575553541371</v>
      </c>
      <c r="J4" s="35">
        <v>5.3417720732442664</v>
      </c>
      <c r="K4" s="35">
        <v>8.5651123995637022</v>
      </c>
      <c r="L4" s="35">
        <v>22.678328560485749</v>
      </c>
      <c r="M4" s="35">
        <v>7.3698752191499128</v>
      </c>
      <c r="N4" s="35">
        <v>10.501966055416068</v>
      </c>
      <c r="O4" s="23"/>
      <c r="P4" s="35">
        <v>10.953493600976055</v>
      </c>
      <c r="Q4" s="35">
        <v>11.802404626149677</v>
      </c>
      <c r="S4" s="83">
        <v>0.49</v>
      </c>
      <c r="T4" s="83">
        <v>0.70000000000000007</v>
      </c>
      <c r="U4" s="83" t="s">
        <v>91</v>
      </c>
      <c r="V4" s="57"/>
      <c r="W4" s="57"/>
    </row>
    <row r="5" spans="1:23" x14ac:dyDescent="0.35">
      <c r="A5" s="31" t="s">
        <v>162</v>
      </c>
      <c r="B5" s="31" t="s">
        <v>2</v>
      </c>
      <c r="C5" s="31" t="s">
        <v>124</v>
      </c>
      <c r="D5" s="65" t="s">
        <v>170</v>
      </c>
      <c r="E5" s="65">
        <v>97</v>
      </c>
      <c r="F5" s="32">
        <v>48.602559647</v>
      </c>
      <c r="G5" s="34">
        <v>20721</v>
      </c>
      <c r="H5" s="22"/>
      <c r="I5" s="35">
        <v>19.498296686280582</v>
      </c>
      <c r="J5" s="35">
        <v>6.5727644243402272</v>
      </c>
      <c r="K5" s="35">
        <v>10.694019858982461</v>
      </c>
      <c r="L5" s="35">
        <v>23.246260477169002</v>
      </c>
      <c r="M5" s="35">
        <v>7.6822450584804081</v>
      </c>
      <c r="N5" s="35">
        <v>11.586117076887126</v>
      </c>
      <c r="O5" s="23"/>
      <c r="P5" s="35">
        <v>10.501563457874765</v>
      </c>
      <c r="Q5" s="35">
        <v>12.88963908790981</v>
      </c>
      <c r="S5" s="83">
        <v>0.5</v>
      </c>
      <c r="T5" s="83">
        <v>1.2</v>
      </c>
      <c r="U5" s="83">
        <v>1.2</v>
      </c>
      <c r="V5" s="57"/>
      <c r="W5" s="57"/>
    </row>
    <row r="6" spans="1:23" s="1" customFormat="1" x14ac:dyDescent="0.35">
      <c r="A6" s="31" t="s">
        <v>88</v>
      </c>
      <c r="B6" s="31" t="s">
        <v>1</v>
      </c>
      <c r="C6" s="31" t="s">
        <v>47</v>
      </c>
      <c r="D6" s="65" t="s">
        <v>170</v>
      </c>
      <c r="E6" s="65">
        <v>98</v>
      </c>
      <c r="F6" s="32">
        <v>65.179485150000005</v>
      </c>
      <c r="G6" s="34">
        <v>22918</v>
      </c>
      <c r="H6" s="95"/>
      <c r="I6" s="35">
        <v>21.404310504538991</v>
      </c>
      <c r="J6" s="35">
        <v>6.0151502967555226</v>
      </c>
      <c r="K6" s="35">
        <v>10.46227331213878</v>
      </c>
      <c r="L6" s="35">
        <v>25.856890474413841</v>
      </c>
      <c r="M6" s="35">
        <v>9.1385627733598707</v>
      </c>
      <c r="N6" s="35">
        <v>13.192720176757589</v>
      </c>
      <c r="O6" s="96"/>
      <c r="P6" s="35">
        <v>11.866263189495237</v>
      </c>
      <c r="Q6" s="35">
        <v>13.359245838487817</v>
      </c>
      <c r="S6" s="32">
        <v>0.5</v>
      </c>
      <c r="T6" s="32" t="s">
        <v>91</v>
      </c>
      <c r="U6" s="32">
        <v>0.89</v>
      </c>
      <c r="V6" s="97"/>
      <c r="W6" s="97"/>
    </row>
    <row r="7" spans="1:23" x14ac:dyDescent="0.35">
      <c r="A7" s="31" t="s">
        <v>89</v>
      </c>
      <c r="B7" s="31" t="s">
        <v>3</v>
      </c>
      <c r="C7" s="31" t="s">
        <v>102</v>
      </c>
      <c r="D7" s="65" t="s">
        <v>170</v>
      </c>
      <c r="E7" s="65">
        <v>97</v>
      </c>
      <c r="F7" s="32">
        <v>147.85244422</v>
      </c>
      <c r="G7" s="34">
        <v>50971</v>
      </c>
      <c r="H7" s="22"/>
      <c r="I7" s="35">
        <v>18.284168815648783</v>
      </c>
      <c r="J7" s="35">
        <v>5.2931933194923397</v>
      </c>
      <c r="K7" s="35">
        <v>10.755162305154897</v>
      </c>
      <c r="L7" s="35">
        <v>24.595699867256492</v>
      </c>
      <c r="M7" s="35">
        <v>8.2189059427223867</v>
      </c>
      <c r="N7" s="35">
        <v>12.161141653201412</v>
      </c>
      <c r="O7" s="23"/>
      <c r="P7" s="35">
        <v>13.008241713976862</v>
      </c>
      <c r="Q7" s="35">
        <v>13.138753320926142</v>
      </c>
      <c r="S7" s="83">
        <v>0.5</v>
      </c>
      <c r="T7" s="83" t="s">
        <v>91</v>
      </c>
      <c r="U7" s="83">
        <v>0.84130000000000005</v>
      </c>
      <c r="V7" s="57"/>
      <c r="W7" s="57"/>
    </row>
    <row r="8" spans="1:23" x14ac:dyDescent="0.35">
      <c r="A8" s="31" t="s">
        <v>116</v>
      </c>
      <c r="B8" s="31" t="s">
        <v>5</v>
      </c>
      <c r="C8" s="31" t="s">
        <v>117</v>
      </c>
      <c r="D8" s="65" t="s">
        <v>170</v>
      </c>
      <c r="E8" s="65">
        <v>90</v>
      </c>
      <c r="F8" s="32">
        <v>52.952191240000005</v>
      </c>
      <c r="G8" s="34">
        <v>21252</v>
      </c>
      <c r="H8" s="22"/>
      <c r="I8" s="35">
        <v>23.006628483171365</v>
      </c>
      <c r="J8" s="35">
        <v>6.9833581895546448</v>
      </c>
      <c r="K8" s="35">
        <v>10.665297208204173</v>
      </c>
      <c r="L8" s="35">
        <v>22.232700731163323</v>
      </c>
      <c r="M8" s="35">
        <v>6.9290386529283321</v>
      </c>
      <c r="N8" s="35">
        <v>11.575490491689401</v>
      </c>
      <c r="O8" s="23"/>
      <c r="P8" s="35">
        <v>12.054386611495641</v>
      </c>
      <c r="Q8" s="35">
        <v>12.818715422184933</v>
      </c>
      <c r="S8" s="83">
        <v>0.5</v>
      </c>
      <c r="T8" s="83">
        <v>1.1100000000000001</v>
      </c>
      <c r="U8" s="83" t="s">
        <v>91</v>
      </c>
      <c r="V8" s="57"/>
      <c r="W8" s="57"/>
    </row>
    <row r="9" spans="1:23" x14ac:dyDescent="0.35">
      <c r="A9" s="31" t="s">
        <v>154</v>
      </c>
      <c r="B9" s="31" t="s">
        <v>132</v>
      </c>
      <c r="C9" s="31" t="s">
        <v>146</v>
      </c>
      <c r="D9" s="65" t="s">
        <v>166</v>
      </c>
      <c r="E9" s="65">
        <v>100</v>
      </c>
      <c r="F9" s="32">
        <v>25.580505237200001</v>
      </c>
      <c r="G9" s="34">
        <v>11144</v>
      </c>
      <c r="H9" s="22"/>
      <c r="I9" s="35">
        <v>23.549552976983069</v>
      </c>
      <c r="J9" s="35" t="s">
        <v>163</v>
      </c>
      <c r="K9" s="35" t="s">
        <v>163</v>
      </c>
      <c r="L9" s="35">
        <v>24.02640264026401</v>
      </c>
      <c r="M9" s="35" t="s">
        <v>163</v>
      </c>
      <c r="N9" s="35" t="s">
        <v>163</v>
      </c>
      <c r="O9" s="23"/>
      <c r="P9" s="35" t="s">
        <v>163</v>
      </c>
      <c r="Q9" s="35" t="s">
        <v>163</v>
      </c>
      <c r="S9" s="83">
        <v>0.44</v>
      </c>
      <c r="T9" s="89">
        <v>0.56999999999999995</v>
      </c>
      <c r="U9" s="83" t="s">
        <v>91</v>
      </c>
      <c r="V9" s="57"/>
      <c r="W9" s="57"/>
    </row>
    <row r="10" spans="1:23" s="46" customFormat="1" ht="18.649999999999999" customHeight="1" x14ac:dyDescent="0.35">
      <c r="A10" s="105" t="s">
        <v>48</v>
      </c>
      <c r="B10" s="105"/>
      <c r="C10" s="105"/>
      <c r="D10" s="92"/>
      <c r="E10" s="92"/>
      <c r="F10" s="44"/>
      <c r="G10" s="45" t="s">
        <v>98</v>
      </c>
      <c r="H10" s="43"/>
      <c r="I10" s="67">
        <v>19.6468620909083</v>
      </c>
      <c r="J10" s="67">
        <v>5.8523418844430122</v>
      </c>
      <c r="K10" s="67">
        <v>10.513423385100756</v>
      </c>
      <c r="L10" s="67">
        <v>24.191327961700544</v>
      </c>
      <c r="M10" s="67">
        <v>8.0935407387984295</v>
      </c>
      <c r="N10" s="67">
        <v>12.084167389321001</v>
      </c>
      <c r="O10" s="43"/>
      <c r="P10" s="43"/>
      <c r="Q10" s="43"/>
      <c r="S10" s="84"/>
      <c r="T10" s="84"/>
      <c r="U10" s="84"/>
      <c r="V10" s="57"/>
      <c r="W10" s="57"/>
    </row>
    <row r="11" spans="1:23" x14ac:dyDescent="0.35">
      <c r="A11" s="31" t="s">
        <v>36</v>
      </c>
      <c r="B11" s="31" t="s">
        <v>9</v>
      </c>
      <c r="C11" s="31" t="s">
        <v>49</v>
      </c>
      <c r="D11" s="65" t="s">
        <v>170</v>
      </c>
      <c r="E11" s="65">
        <v>90</v>
      </c>
      <c r="F11" s="32">
        <v>83.279511360000001</v>
      </c>
      <c r="G11" s="34">
        <v>21086</v>
      </c>
      <c r="H11" s="22"/>
      <c r="I11" s="35">
        <v>22.277195495084957</v>
      </c>
      <c r="J11" s="35">
        <v>5.394375555171127</v>
      </c>
      <c r="K11" s="35">
        <v>8.6593502790256682</v>
      </c>
      <c r="L11" s="35">
        <v>22.678328560485749</v>
      </c>
      <c r="M11" s="35">
        <v>7.3698752191499128</v>
      </c>
      <c r="N11" s="35">
        <v>10.501966055416068</v>
      </c>
      <c r="O11" s="23"/>
      <c r="P11" s="35">
        <v>10.901240910311421</v>
      </c>
      <c r="Q11" s="35">
        <v>11.802404626149677</v>
      </c>
      <c r="S11" s="83">
        <v>0.49</v>
      </c>
      <c r="T11" s="83">
        <v>0.71000000000000008</v>
      </c>
      <c r="U11" s="83" t="s">
        <v>91</v>
      </c>
      <c r="V11" s="57"/>
      <c r="W11" s="57"/>
    </row>
    <row r="12" spans="1:23" x14ac:dyDescent="0.35">
      <c r="A12" s="31" t="s">
        <v>162</v>
      </c>
      <c r="B12" s="31" t="s">
        <v>7</v>
      </c>
      <c r="C12" s="31" t="s">
        <v>125</v>
      </c>
      <c r="D12" s="65" t="s">
        <v>170</v>
      </c>
      <c r="E12" s="65">
        <v>97</v>
      </c>
      <c r="F12" s="32">
        <v>168.7069388139</v>
      </c>
      <c r="G12" s="34">
        <v>35841</v>
      </c>
      <c r="H12" s="22"/>
      <c r="I12" s="35">
        <v>18.916584402764069</v>
      </c>
      <c r="J12" s="35">
        <v>6.5466817966358226</v>
      </c>
      <c r="K12" s="35">
        <v>10.696919795302895</v>
      </c>
      <c r="L12" s="35">
        <v>23.246260477169002</v>
      </c>
      <c r="M12" s="35">
        <v>7.6822450584804081</v>
      </c>
      <c r="N12" s="35">
        <v>11.586117076887126</v>
      </c>
      <c r="O12" s="23"/>
      <c r="P12" s="35">
        <v>10.144219239651159</v>
      </c>
      <c r="Q12" s="35">
        <v>12.88963908790981</v>
      </c>
      <c r="S12" s="83">
        <v>0.5</v>
      </c>
      <c r="T12" s="83">
        <v>1.37</v>
      </c>
      <c r="U12" s="83">
        <v>1.37</v>
      </c>
      <c r="V12" s="57"/>
      <c r="W12" s="57"/>
    </row>
    <row r="13" spans="1:23" s="1" customFormat="1" x14ac:dyDescent="0.35">
      <c r="A13" s="31" t="s">
        <v>88</v>
      </c>
      <c r="B13" s="31" t="s">
        <v>6</v>
      </c>
      <c r="C13" s="31" t="s">
        <v>50</v>
      </c>
      <c r="D13" s="65" t="s">
        <v>170</v>
      </c>
      <c r="E13" s="65">
        <v>98</v>
      </c>
      <c r="F13" s="32">
        <v>228.51173763999998</v>
      </c>
      <c r="G13" s="34">
        <v>46031</v>
      </c>
      <c r="H13" s="95"/>
      <c r="I13" s="35">
        <v>21.246353423127061</v>
      </c>
      <c r="J13" s="35">
        <v>5.8584586001411809</v>
      </c>
      <c r="K13" s="35">
        <v>10.376234397551819</v>
      </c>
      <c r="L13" s="35">
        <v>25.856890474413841</v>
      </c>
      <c r="M13" s="35">
        <v>9.1385627733598707</v>
      </c>
      <c r="N13" s="35">
        <v>13.192720176757589</v>
      </c>
      <c r="O13" s="96"/>
      <c r="P13" s="35">
        <v>11.802548349020409</v>
      </c>
      <c r="Q13" s="35">
        <v>13.359245838487817</v>
      </c>
      <c r="S13" s="32">
        <v>0.5</v>
      </c>
      <c r="T13" s="32" t="s">
        <v>91</v>
      </c>
      <c r="U13" s="32">
        <v>0.88</v>
      </c>
      <c r="V13" s="97"/>
      <c r="W13" s="97"/>
    </row>
    <row r="14" spans="1:23" x14ac:dyDescent="0.35">
      <c r="A14" s="31" t="s">
        <v>89</v>
      </c>
      <c r="B14" s="31" t="s">
        <v>8</v>
      </c>
      <c r="C14" s="31" t="s">
        <v>103</v>
      </c>
      <c r="D14" s="65" t="s">
        <v>170</v>
      </c>
      <c r="E14" s="65">
        <v>97</v>
      </c>
      <c r="F14" s="32">
        <v>456.89684125999997</v>
      </c>
      <c r="G14" s="34">
        <v>96074</v>
      </c>
      <c r="H14" s="22"/>
      <c r="I14" s="35">
        <v>17.109675816668734</v>
      </c>
      <c r="J14" s="35">
        <v>5.147348507764149</v>
      </c>
      <c r="K14" s="35">
        <v>10.684337090343753</v>
      </c>
      <c r="L14" s="35">
        <v>24.595699867256492</v>
      </c>
      <c r="M14" s="35">
        <v>8.2189059427223867</v>
      </c>
      <c r="N14" s="35">
        <v>12.161141653201412</v>
      </c>
      <c r="O14" s="23"/>
      <c r="P14" s="35">
        <v>12.571949946363025</v>
      </c>
      <c r="Q14" s="35">
        <v>13.138753320926142</v>
      </c>
      <c r="S14" s="83">
        <v>0.5</v>
      </c>
      <c r="T14" s="83" t="s">
        <v>91</v>
      </c>
      <c r="U14" s="83">
        <v>0.82230000000000003</v>
      </c>
      <c r="V14" s="57"/>
      <c r="W14" s="57"/>
    </row>
    <row r="15" spans="1:23" x14ac:dyDescent="0.35">
      <c r="A15" s="31" t="s">
        <v>116</v>
      </c>
      <c r="B15" s="31" t="s">
        <v>10</v>
      </c>
      <c r="C15" s="31" t="s">
        <v>118</v>
      </c>
      <c r="D15" s="65" t="s">
        <v>170</v>
      </c>
      <c r="E15" s="65">
        <v>90</v>
      </c>
      <c r="F15" s="32">
        <v>142.91414558000002</v>
      </c>
      <c r="G15" s="34">
        <v>34412</v>
      </c>
      <c r="H15" s="22"/>
      <c r="I15" s="35">
        <v>23.490322580645163</v>
      </c>
      <c r="J15" s="35">
        <v>7.5436423196709956</v>
      </c>
      <c r="K15" s="35">
        <v>11.050169039046388</v>
      </c>
      <c r="L15" s="35">
        <v>22.232700731163323</v>
      </c>
      <c r="M15" s="35">
        <v>6.9290386529283321</v>
      </c>
      <c r="N15" s="35">
        <v>11.575490491689401</v>
      </c>
      <c r="O15" s="23"/>
      <c r="P15" s="35">
        <v>11.806467416783114</v>
      </c>
      <c r="Q15" s="35">
        <v>12.818715422184933</v>
      </c>
      <c r="S15" s="83">
        <v>0.5</v>
      </c>
      <c r="T15" s="83">
        <v>0.94</v>
      </c>
      <c r="U15" s="83" t="s">
        <v>91</v>
      </c>
      <c r="V15" s="57"/>
      <c r="W15" s="57"/>
    </row>
    <row r="16" spans="1:23" x14ac:dyDescent="0.35">
      <c r="A16" s="31" t="s">
        <v>131</v>
      </c>
      <c r="B16" s="31" t="s">
        <v>133</v>
      </c>
      <c r="C16" s="31" t="s">
        <v>145</v>
      </c>
      <c r="D16" s="65" t="s">
        <v>166</v>
      </c>
      <c r="E16" s="65">
        <v>100</v>
      </c>
      <c r="F16" s="32">
        <v>38.2338525057</v>
      </c>
      <c r="G16" s="34">
        <v>9075</v>
      </c>
      <c r="H16" s="22"/>
      <c r="I16" s="35">
        <v>23.533339692836019</v>
      </c>
      <c r="J16" s="35" t="s">
        <v>163</v>
      </c>
      <c r="K16" s="35" t="s">
        <v>163</v>
      </c>
      <c r="L16" s="35">
        <v>24.02640264026401</v>
      </c>
      <c r="M16" s="35" t="s">
        <v>163</v>
      </c>
      <c r="N16" s="35" t="s">
        <v>163</v>
      </c>
      <c r="O16" s="23"/>
      <c r="P16" s="35" t="s">
        <v>163</v>
      </c>
      <c r="Q16" s="35" t="s">
        <v>163</v>
      </c>
      <c r="S16" s="83">
        <v>0.44</v>
      </c>
      <c r="T16" s="83">
        <v>0.56000000000000005</v>
      </c>
      <c r="U16" s="83" t="s">
        <v>91</v>
      </c>
      <c r="V16" s="57"/>
      <c r="W16" s="57"/>
    </row>
    <row r="17" spans="1:26" s="46" customFormat="1" ht="18.649999999999999" customHeight="1" x14ac:dyDescent="0.35">
      <c r="A17" s="105" t="s">
        <v>51</v>
      </c>
      <c r="B17" s="105"/>
      <c r="C17" s="105"/>
      <c r="D17" s="92"/>
      <c r="E17" s="92"/>
      <c r="F17" s="44"/>
      <c r="G17" s="45" t="s">
        <v>98</v>
      </c>
      <c r="H17" s="43"/>
      <c r="I17" s="67">
        <v>19.857531476669372</v>
      </c>
      <c r="J17" s="67">
        <v>5.9398233598291945</v>
      </c>
      <c r="K17" s="67">
        <v>10.549431049416967</v>
      </c>
      <c r="L17" s="67">
        <v>24.250117261418687</v>
      </c>
      <c r="M17" s="67">
        <v>8.141408491767125</v>
      </c>
      <c r="N17" s="67">
        <v>12.133373131010167</v>
      </c>
      <c r="O17" s="43"/>
      <c r="P17" s="43"/>
      <c r="Q17" s="43"/>
      <c r="S17" s="84"/>
      <c r="T17" s="84"/>
      <c r="U17" s="84"/>
      <c r="V17" s="57"/>
      <c r="W17" s="57"/>
    </row>
    <row r="18" spans="1:26" x14ac:dyDescent="0.35">
      <c r="A18" s="31" t="s">
        <v>36</v>
      </c>
      <c r="B18" s="31" t="s">
        <v>14</v>
      </c>
      <c r="C18" s="31" t="s">
        <v>52</v>
      </c>
      <c r="D18" s="65" t="s">
        <v>170</v>
      </c>
      <c r="E18" s="65">
        <v>90</v>
      </c>
      <c r="F18" s="32">
        <v>150.21693203000001</v>
      </c>
      <c r="G18" s="34">
        <v>27697</v>
      </c>
      <c r="H18" s="22"/>
      <c r="I18" s="35">
        <v>22.512096246894188</v>
      </c>
      <c r="J18" s="35">
        <v>5.5655040209743323</v>
      </c>
      <c r="K18" s="35">
        <v>8.8053582838870668</v>
      </c>
      <c r="L18" s="35">
        <v>22.678328560485749</v>
      </c>
      <c r="M18" s="35">
        <v>7.3698752191499128</v>
      </c>
      <c r="N18" s="35">
        <v>10.501966055416068</v>
      </c>
      <c r="O18" s="23"/>
      <c r="P18" s="35">
        <v>10.834791700832405</v>
      </c>
      <c r="Q18" s="35">
        <v>11.802404626149677</v>
      </c>
      <c r="S18" s="83">
        <v>0.49</v>
      </c>
      <c r="T18" s="83">
        <v>0.72</v>
      </c>
      <c r="U18" s="83" t="s">
        <v>91</v>
      </c>
      <c r="V18" s="57"/>
      <c r="W18" s="57"/>
    </row>
    <row r="19" spans="1:26" x14ac:dyDescent="0.35">
      <c r="A19" s="31" t="s">
        <v>162</v>
      </c>
      <c r="B19" s="31" t="s">
        <v>12</v>
      </c>
      <c r="C19" s="31" t="s">
        <v>126</v>
      </c>
      <c r="D19" s="65" t="s">
        <v>170</v>
      </c>
      <c r="E19" s="65">
        <v>97</v>
      </c>
      <c r="F19" s="32">
        <v>288.90304398110004</v>
      </c>
      <c r="G19" s="34">
        <v>43483</v>
      </c>
      <c r="H19" s="22"/>
      <c r="I19" s="35">
        <v>18.75</v>
      </c>
      <c r="J19" s="35">
        <v>6.6174767639551213</v>
      </c>
      <c r="K19" s="35">
        <v>10.748837176966886</v>
      </c>
      <c r="L19" s="35">
        <v>23.246260477169002</v>
      </c>
      <c r="M19" s="35">
        <v>7.6822450584804081</v>
      </c>
      <c r="N19" s="35">
        <v>11.586117076887126</v>
      </c>
      <c r="O19" s="23"/>
      <c r="P19" s="35">
        <v>10.078659315591029</v>
      </c>
      <c r="Q19" s="35">
        <v>12.88963908790981</v>
      </c>
      <c r="S19" s="83">
        <v>0.5</v>
      </c>
      <c r="T19" s="83">
        <v>1.38</v>
      </c>
      <c r="U19" s="83">
        <v>1.38</v>
      </c>
      <c r="V19" s="57"/>
      <c r="W19" s="57"/>
    </row>
    <row r="20" spans="1:26" s="1" customFormat="1" x14ac:dyDescent="0.35">
      <c r="A20" s="31" t="s">
        <v>88</v>
      </c>
      <c r="B20" s="31" t="s">
        <v>11</v>
      </c>
      <c r="C20" s="31" t="s">
        <v>53</v>
      </c>
      <c r="D20" s="65" t="s">
        <v>170</v>
      </c>
      <c r="E20" s="65">
        <v>98</v>
      </c>
      <c r="F20" s="32">
        <v>489.31449203</v>
      </c>
      <c r="G20" s="34">
        <v>74150</v>
      </c>
      <c r="H20" s="95"/>
      <c r="I20" s="35">
        <v>21.24217442509142</v>
      </c>
      <c r="J20" s="35">
        <v>5.806972972337876</v>
      </c>
      <c r="K20" s="35">
        <v>10.364757666847613</v>
      </c>
      <c r="L20" s="35">
        <v>25.856890474413841</v>
      </c>
      <c r="M20" s="35">
        <v>9.1385627733598707</v>
      </c>
      <c r="N20" s="35">
        <v>13.192720176757589</v>
      </c>
      <c r="O20" s="96"/>
      <c r="P20" s="35">
        <v>11.745928058512934</v>
      </c>
      <c r="Q20" s="35">
        <v>13.359245838487817</v>
      </c>
      <c r="S20" s="32">
        <v>0.5</v>
      </c>
      <c r="T20" s="32" t="s">
        <v>91</v>
      </c>
      <c r="U20" s="32">
        <v>0.88</v>
      </c>
      <c r="V20" s="97"/>
      <c r="W20" s="97"/>
    </row>
    <row r="21" spans="1:26" x14ac:dyDescent="0.35">
      <c r="A21" s="31" t="s">
        <v>89</v>
      </c>
      <c r="B21" s="31" t="s">
        <v>13</v>
      </c>
      <c r="C21" s="31" t="s">
        <v>104</v>
      </c>
      <c r="D21" s="65" t="s">
        <v>170</v>
      </c>
      <c r="E21" s="65">
        <v>97</v>
      </c>
      <c r="F21" s="32">
        <v>638.10334465999995</v>
      </c>
      <c r="G21" s="34">
        <v>114284</v>
      </c>
      <c r="H21" s="22"/>
      <c r="I21" s="35">
        <v>17.101699088894339</v>
      </c>
      <c r="J21" s="35">
        <v>5.2480747453745202</v>
      </c>
      <c r="K21" s="35">
        <v>10.877164866287782</v>
      </c>
      <c r="L21" s="35">
        <v>24.595699867256492</v>
      </c>
      <c r="M21" s="35">
        <v>8.2189059427223867</v>
      </c>
      <c r="N21" s="35">
        <v>12.161141653201412</v>
      </c>
      <c r="O21" s="23"/>
      <c r="P21" s="35">
        <v>12.511237711171605</v>
      </c>
      <c r="Q21" s="35">
        <v>13.138753320926142</v>
      </c>
      <c r="S21" s="83">
        <v>0.5</v>
      </c>
      <c r="T21" s="83" t="s">
        <v>91</v>
      </c>
      <c r="U21" s="83">
        <v>0.82509999999999994</v>
      </c>
      <c r="V21" s="57"/>
      <c r="W21" s="57"/>
    </row>
    <row r="22" spans="1:26" x14ac:dyDescent="0.35">
      <c r="A22" s="31" t="s">
        <v>116</v>
      </c>
      <c r="B22" s="31" t="s">
        <v>15</v>
      </c>
      <c r="C22" s="31" t="s">
        <v>119</v>
      </c>
      <c r="D22" s="65" t="s">
        <v>170</v>
      </c>
      <c r="E22" s="65">
        <v>90</v>
      </c>
      <c r="F22" s="32">
        <v>238.22957273</v>
      </c>
      <c r="G22" s="34">
        <v>48153</v>
      </c>
      <c r="H22" s="22"/>
      <c r="I22" s="35">
        <v>23.462605665612692</v>
      </c>
      <c r="J22" s="35">
        <v>7.4797904247102753</v>
      </c>
      <c r="K22" s="35">
        <v>10.908813554015961</v>
      </c>
      <c r="L22" s="35">
        <v>22.232700731163323</v>
      </c>
      <c r="M22" s="35">
        <v>6.9290386529283321</v>
      </c>
      <c r="N22" s="35">
        <v>11.575490491689401</v>
      </c>
      <c r="O22" s="23"/>
      <c r="P22" s="35">
        <v>11.774869978103567</v>
      </c>
      <c r="Q22" s="35">
        <v>12.818715422184933</v>
      </c>
      <c r="S22" s="83">
        <v>0.5</v>
      </c>
      <c r="T22" s="83">
        <v>0.98</v>
      </c>
      <c r="U22" s="83" t="s">
        <v>91</v>
      </c>
      <c r="V22" s="57"/>
      <c r="W22" s="57"/>
    </row>
    <row r="23" spans="1:26" x14ac:dyDescent="0.35">
      <c r="A23" s="31" t="s">
        <v>131</v>
      </c>
      <c r="B23" s="31" t="s">
        <v>134</v>
      </c>
      <c r="C23" s="31" t="s">
        <v>144</v>
      </c>
      <c r="D23" s="65" t="s">
        <v>166</v>
      </c>
      <c r="E23" s="65">
        <v>100</v>
      </c>
      <c r="F23" s="32">
        <v>39.4845374581</v>
      </c>
      <c r="G23" s="34">
        <v>6641</v>
      </c>
      <c r="H23" s="22"/>
      <c r="I23" s="35">
        <v>23.488151658767787</v>
      </c>
      <c r="J23" s="35" t="s">
        <v>163</v>
      </c>
      <c r="K23" s="35" t="s">
        <v>163</v>
      </c>
      <c r="L23" s="35">
        <v>24.02640264026401</v>
      </c>
      <c r="M23" s="35" t="s">
        <v>163</v>
      </c>
      <c r="N23" s="35" t="s">
        <v>163</v>
      </c>
      <c r="O23" s="23"/>
      <c r="P23" s="35" t="s">
        <v>163</v>
      </c>
      <c r="Q23" s="35" t="s">
        <v>163</v>
      </c>
      <c r="S23" s="83">
        <v>0.44</v>
      </c>
      <c r="T23" s="83">
        <v>0.56000000000000005</v>
      </c>
      <c r="U23" s="83" t="s">
        <v>91</v>
      </c>
      <c r="V23" s="57"/>
      <c r="W23" s="57"/>
    </row>
    <row r="24" spans="1:26" s="46" customFormat="1" ht="18.649999999999999" customHeight="1" x14ac:dyDescent="0.35">
      <c r="A24" s="105" t="s">
        <v>54</v>
      </c>
      <c r="B24" s="105"/>
      <c r="C24" s="105"/>
      <c r="D24" s="92"/>
      <c r="E24" s="92"/>
      <c r="F24" s="44"/>
      <c r="G24" s="45" t="s">
        <v>98</v>
      </c>
      <c r="H24" s="43"/>
      <c r="I24" s="67">
        <v>19.759610784617099</v>
      </c>
      <c r="J24" s="67">
        <v>5.8859772616908028</v>
      </c>
      <c r="K24" s="67">
        <v>10.508061346813165</v>
      </c>
      <c r="L24" s="67">
        <v>24.299161272301728</v>
      </c>
      <c r="M24" s="67">
        <v>8.1662965944137724</v>
      </c>
      <c r="N24" s="67">
        <v>12.169459067849985</v>
      </c>
      <c r="O24" s="43"/>
      <c r="P24" s="43"/>
      <c r="Q24" s="43"/>
      <c r="S24" s="84"/>
      <c r="T24" s="84"/>
      <c r="U24" s="84"/>
      <c r="V24" s="57"/>
      <c r="W24" s="57"/>
      <c r="X24" s="72"/>
      <c r="Y24" s="72"/>
    </row>
    <row r="25" spans="1:26" x14ac:dyDescent="0.35">
      <c r="A25" s="31" t="s">
        <v>36</v>
      </c>
      <c r="B25" s="31" t="s">
        <v>19</v>
      </c>
      <c r="C25" s="31" t="s">
        <v>55</v>
      </c>
      <c r="D25" s="65" t="s">
        <v>170</v>
      </c>
      <c r="E25" s="65">
        <v>90</v>
      </c>
      <c r="F25" s="32">
        <v>161.82778838999999</v>
      </c>
      <c r="G25" s="34">
        <v>19808</v>
      </c>
      <c r="H25" s="22"/>
      <c r="I25" s="35">
        <v>22.583170254403129</v>
      </c>
      <c r="J25" s="35">
        <v>5.6819667993607048</v>
      </c>
      <c r="K25" s="35">
        <v>8.9564985587868851</v>
      </c>
      <c r="L25" s="35">
        <v>22.678328560485749</v>
      </c>
      <c r="M25" s="35">
        <v>7.3698752191499128</v>
      </c>
      <c r="N25" s="35">
        <v>10.501966055416068</v>
      </c>
      <c r="O25" s="23"/>
      <c r="P25" s="35">
        <v>10.852231248522031</v>
      </c>
      <c r="Q25" s="35">
        <v>11.802404626149677</v>
      </c>
      <c r="S25" s="83">
        <v>0.49</v>
      </c>
      <c r="T25" s="83">
        <v>0.72</v>
      </c>
      <c r="U25" s="83" t="s">
        <v>91</v>
      </c>
      <c r="V25" s="57"/>
      <c r="W25" s="57"/>
      <c r="X25" s="47"/>
      <c r="Y25" s="47"/>
      <c r="Z25" s="46"/>
    </row>
    <row r="26" spans="1:26" x14ac:dyDescent="0.35">
      <c r="A26" s="31" t="s">
        <v>162</v>
      </c>
      <c r="B26" s="31" t="s">
        <v>17</v>
      </c>
      <c r="C26" s="31" t="s">
        <v>127</v>
      </c>
      <c r="D26" s="65" t="s">
        <v>170</v>
      </c>
      <c r="E26" s="65">
        <v>97</v>
      </c>
      <c r="F26" s="32">
        <v>285.03266145179998</v>
      </c>
      <c r="G26" s="34">
        <v>27066</v>
      </c>
      <c r="H26" s="22"/>
      <c r="I26" s="35">
        <v>18.480530647340608</v>
      </c>
      <c r="J26" s="35">
        <v>6.5490310641724836</v>
      </c>
      <c r="K26" s="35">
        <v>10.686844356498026</v>
      </c>
      <c r="L26" s="35">
        <v>23.246260477169002</v>
      </c>
      <c r="M26" s="35">
        <v>7.6822450584804081</v>
      </c>
      <c r="N26" s="35">
        <v>11.586117076887126</v>
      </c>
      <c r="O26" s="23"/>
      <c r="P26" s="35">
        <v>10.022748188566775</v>
      </c>
      <c r="Q26" s="35">
        <v>12.88963908790981</v>
      </c>
      <c r="S26" s="83">
        <v>0.5</v>
      </c>
      <c r="T26" s="83">
        <v>1.39</v>
      </c>
      <c r="U26" s="83">
        <v>1.39</v>
      </c>
      <c r="V26" s="57"/>
      <c r="W26" s="57"/>
      <c r="X26" s="47"/>
      <c r="Y26" s="47"/>
      <c r="Z26" s="46"/>
    </row>
    <row r="27" spans="1:26" s="1" customFormat="1" x14ac:dyDescent="0.35">
      <c r="A27" s="31" t="s">
        <v>88</v>
      </c>
      <c r="B27" s="31" t="s">
        <v>16</v>
      </c>
      <c r="C27" s="31" t="s">
        <v>56</v>
      </c>
      <c r="D27" s="65" t="s">
        <v>170</v>
      </c>
      <c r="E27" s="65">
        <v>98</v>
      </c>
      <c r="F27" s="32">
        <v>598.69280014999993</v>
      </c>
      <c r="G27" s="34">
        <v>62505</v>
      </c>
      <c r="H27" s="95"/>
      <c r="I27" s="35">
        <v>21.184330397813532</v>
      </c>
      <c r="J27" s="35">
        <v>5.7542200590170012</v>
      </c>
      <c r="K27" s="35">
        <v>10.331738444072336</v>
      </c>
      <c r="L27" s="35">
        <v>25.85652350906884</v>
      </c>
      <c r="M27" s="35">
        <v>9.1383622799463549</v>
      </c>
      <c r="N27" s="35">
        <v>13.192600043928815</v>
      </c>
      <c r="O27" s="96"/>
      <c r="P27" s="35">
        <v>11.716771216440236</v>
      </c>
      <c r="Q27" s="35">
        <v>13.35932735728349</v>
      </c>
      <c r="S27" s="32">
        <v>0.5</v>
      </c>
      <c r="T27" s="32" t="s">
        <v>91</v>
      </c>
      <c r="U27" s="32">
        <v>0.87</v>
      </c>
      <c r="V27" s="97"/>
      <c r="W27" s="97"/>
    </row>
    <row r="28" spans="1:26" x14ac:dyDescent="0.35">
      <c r="A28" s="31" t="s">
        <v>89</v>
      </c>
      <c r="B28" s="31" t="s">
        <v>18</v>
      </c>
      <c r="C28" s="31" t="s">
        <v>105</v>
      </c>
      <c r="D28" s="65" t="s">
        <v>170</v>
      </c>
      <c r="E28" s="65">
        <v>97</v>
      </c>
      <c r="F28" s="32">
        <v>749.1640366900001</v>
      </c>
      <c r="G28" s="34">
        <v>97734</v>
      </c>
      <c r="H28" s="22"/>
      <c r="I28" s="35">
        <v>17.073020183939256</v>
      </c>
      <c r="J28" s="35">
        <v>5.2584796658375232</v>
      </c>
      <c r="K28" s="35">
        <v>10.867468199430963</v>
      </c>
      <c r="L28" s="35">
        <v>24.595699867256492</v>
      </c>
      <c r="M28" s="35">
        <v>8.2189059427223867</v>
      </c>
      <c r="N28" s="35">
        <v>12.161141653201412</v>
      </c>
      <c r="O28" s="23"/>
      <c r="P28" s="35">
        <v>12.386309729625488</v>
      </c>
      <c r="Q28" s="35">
        <v>13.138753320926142</v>
      </c>
      <c r="S28" s="83">
        <v>0.5</v>
      </c>
      <c r="T28" s="83" t="s">
        <v>91</v>
      </c>
      <c r="U28" s="83">
        <v>0.83079999999999998</v>
      </c>
      <c r="V28" s="57"/>
      <c r="W28" s="57"/>
    </row>
    <row r="29" spans="1:26" x14ac:dyDescent="0.35">
      <c r="A29" s="31" t="s">
        <v>116</v>
      </c>
      <c r="B29" s="31" t="s">
        <v>20</v>
      </c>
      <c r="C29" s="31" t="s">
        <v>120</v>
      </c>
      <c r="D29" s="65" t="s">
        <v>170</v>
      </c>
      <c r="E29" s="65">
        <v>90</v>
      </c>
      <c r="F29" s="32">
        <v>286.54344393999997</v>
      </c>
      <c r="G29" s="34">
        <v>40034</v>
      </c>
      <c r="H29" s="22"/>
      <c r="I29" s="35">
        <v>23.036785807461534</v>
      </c>
      <c r="J29" s="35">
        <v>7.2575085277627238</v>
      </c>
      <c r="K29" s="35">
        <v>10.635216729647867</v>
      </c>
      <c r="L29" s="35">
        <v>22.232700731163323</v>
      </c>
      <c r="M29" s="35">
        <v>6.9290386529283321</v>
      </c>
      <c r="N29" s="35">
        <v>11.575490491689401</v>
      </c>
      <c r="O29" s="23"/>
      <c r="P29" s="35">
        <v>11.818214242999193</v>
      </c>
      <c r="Q29" s="35">
        <v>12.818715422184933</v>
      </c>
      <c r="S29" s="83">
        <v>0.5</v>
      </c>
      <c r="T29" s="83">
        <v>0.99</v>
      </c>
      <c r="U29" s="83" t="s">
        <v>91</v>
      </c>
      <c r="V29" s="57"/>
      <c r="W29" s="57"/>
    </row>
    <row r="30" spans="1:26" x14ac:dyDescent="0.35">
      <c r="A30" s="31" t="s">
        <v>131</v>
      </c>
      <c r="B30" s="31" t="s">
        <v>135</v>
      </c>
      <c r="C30" s="31" t="s">
        <v>143</v>
      </c>
      <c r="D30" s="65" t="s">
        <v>166</v>
      </c>
      <c r="E30" s="65">
        <v>100</v>
      </c>
      <c r="F30" s="32">
        <v>33.738875479199997</v>
      </c>
      <c r="G30" s="34">
        <v>2900</v>
      </c>
      <c r="H30" s="22"/>
      <c r="I30" s="35">
        <v>23.563054046325437</v>
      </c>
      <c r="J30" s="35" t="s">
        <v>163</v>
      </c>
      <c r="K30" s="35" t="s">
        <v>163</v>
      </c>
      <c r="L30" s="35">
        <v>24.02640264026401</v>
      </c>
      <c r="M30" s="35" t="s">
        <v>163</v>
      </c>
      <c r="N30" s="35" t="s">
        <v>163</v>
      </c>
      <c r="O30" s="23"/>
      <c r="P30" s="35" t="s">
        <v>163</v>
      </c>
      <c r="Q30" s="35" t="s">
        <v>163</v>
      </c>
      <c r="S30" s="83">
        <v>0.45</v>
      </c>
      <c r="T30" s="83">
        <v>0.56999999999999995</v>
      </c>
      <c r="U30" s="83" t="s">
        <v>91</v>
      </c>
      <c r="V30" s="57"/>
      <c r="W30" s="57"/>
    </row>
    <row r="31" spans="1:26" s="46" customFormat="1" ht="18.649999999999999" customHeight="1" x14ac:dyDescent="0.35">
      <c r="A31" s="105" t="s">
        <v>57</v>
      </c>
      <c r="B31" s="105"/>
      <c r="C31" s="105"/>
      <c r="D31" s="92"/>
      <c r="E31" s="92"/>
      <c r="F31" s="44"/>
      <c r="G31" s="45" t="s">
        <v>98</v>
      </c>
      <c r="H31" s="43"/>
      <c r="I31" s="67">
        <v>15.799552692575675</v>
      </c>
      <c r="J31" s="67">
        <v>4.3677602516416627</v>
      </c>
      <c r="K31" s="67">
        <v>8.5729958815414733</v>
      </c>
      <c r="L31" s="67">
        <v>18.311512581658764</v>
      </c>
      <c r="M31" s="67">
        <v>5.5897103205915872</v>
      </c>
      <c r="N31" s="67">
        <v>9.3319744087203578</v>
      </c>
      <c r="O31" s="43"/>
      <c r="P31" s="43"/>
      <c r="Q31" s="43"/>
      <c r="S31" s="84"/>
      <c r="T31" s="84"/>
      <c r="U31" s="84"/>
      <c r="V31" s="57"/>
      <c r="W31" s="57"/>
    </row>
    <row r="32" spans="1:26" x14ac:dyDescent="0.35">
      <c r="A32" s="31" t="s">
        <v>36</v>
      </c>
      <c r="B32" s="31" t="s">
        <v>24</v>
      </c>
      <c r="C32" s="31" t="s">
        <v>58</v>
      </c>
      <c r="D32" s="65" t="s">
        <v>170</v>
      </c>
      <c r="E32" s="65">
        <v>70</v>
      </c>
      <c r="F32" s="32">
        <v>149.82507113999998</v>
      </c>
      <c r="G32" s="34">
        <v>18231</v>
      </c>
      <c r="H32" s="22"/>
      <c r="I32" s="35">
        <v>18.42296752001058</v>
      </c>
      <c r="J32" s="35">
        <v>4.106545134813544</v>
      </c>
      <c r="K32" s="35">
        <v>7.5502340518034838</v>
      </c>
      <c r="L32" s="35">
        <v>18.292117758784432</v>
      </c>
      <c r="M32" s="35">
        <v>5.3184126756731009</v>
      </c>
      <c r="N32" s="35">
        <v>8.7641919547166722</v>
      </c>
      <c r="O32" s="23"/>
      <c r="P32" s="35">
        <v>9.8894086216901975</v>
      </c>
      <c r="Q32" s="35">
        <v>10.942362002689459</v>
      </c>
      <c r="S32" s="83">
        <v>0.49</v>
      </c>
      <c r="T32" s="83">
        <v>0.72</v>
      </c>
      <c r="U32" s="83" t="s">
        <v>91</v>
      </c>
      <c r="V32" s="57"/>
      <c r="W32" s="57"/>
    </row>
    <row r="33" spans="1:23" x14ac:dyDescent="0.35">
      <c r="A33" s="31" t="s">
        <v>162</v>
      </c>
      <c r="B33" s="31" t="s">
        <v>22</v>
      </c>
      <c r="C33" s="31" t="s">
        <v>128</v>
      </c>
      <c r="D33" s="65" t="s">
        <v>170</v>
      </c>
      <c r="E33" s="93">
        <v>67.58</v>
      </c>
      <c r="F33" s="32">
        <v>227.53408827759998</v>
      </c>
      <c r="G33" s="34">
        <v>22802</v>
      </c>
      <c r="H33" s="22"/>
      <c r="I33" s="35">
        <v>14.139559286463799</v>
      </c>
      <c r="J33" s="35">
        <v>4.8010807175122183</v>
      </c>
      <c r="K33" s="35">
        <v>8.1704901466282731</v>
      </c>
      <c r="L33" s="35">
        <v>17.130892796720399</v>
      </c>
      <c r="M33" s="35">
        <v>4.4113609157786282</v>
      </c>
      <c r="N33" s="35">
        <v>7.918891750766921</v>
      </c>
      <c r="O33" s="23"/>
      <c r="P33" s="35">
        <v>8.2469053361012197</v>
      </c>
      <c r="Q33" s="35">
        <v>11.179450292066512</v>
      </c>
      <c r="S33" s="83">
        <v>0.5</v>
      </c>
      <c r="T33" s="83">
        <v>1.23</v>
      </c>
      <c r="U33" s="83">
        <v>1.23</v>
      </c>
      <c r="V33" s="57"/>
      <c r="W33" s="57"/>
    </row>
    <row r="34" spans="1:23" s="1" customFormat="1" x14ac:dyDescent="0.35">
      <c r="A34" s="31" t="s">
        <v>88</v>
      </c>
      <c r="B34" s="31" t="s">
        <v>21</v>
      </c>
      <c r="C34" s="31" t="s">
        <v>59</v>
      </c>
      <c r="D34" s="65" t="s">
        <v>170</v>
      </c>
      <c r="E34" s="65">
        <v>68.099999999999994</v>
      </c>
      <c r="F34" s="32">
        <v>510.87520738000001</v>
      </c>
      <c r="G34" s="34">
        <v>53181</v>
      </c>
      <c r="H34" s="95"/>
      <c r="I34" s="35">
        <v>16.332730093071369</v>
      </c>
      <c r="J34" s="35">
        <v>4.1587381654529576</v>
      </c>
      <c r="K34" s="35">
        <v>8.2934198282449856</v>
      </c>
      <c r="L34" s="35">
        <v>19.240881286883258</v>
      </c>
      <c r="M34" s="35">
        <v>6.5025651247931915</v>
      </c>
      <c r="N34" s="35">
        <v>10.158663434680214</v>
      </c>
      <c r="O34" s="96"/>
      <c r="P34" s="35">
        <v>10.007306522793799</v>
      </c>
      <c r="Q34" s="35">
        <v>11.431551658129552</v>
      </c>
      <c r="S34" s="32">
        <v>0.5</v>
      </c>
      <c r="T34" s="32" t="s">
        <v>91</v>
      </c>
      <c r="U34" s="32">
        <v>0.79</v>
      </c>
      <c r="V34" s="97"/>
      <c r="W34" s="97"/>
    </row>
    <row r="35" spans="1:23" x14ac:dyDescent="0.35">
      <c r="A35" s="31" t="s">
        <v>89</v>
      </c>
      <c r="B35" s="31" t="s">
        <v>23</v>
      </c>
      <c r="C35" s="31" t="s">
        <v>106</v>
      </c>
      <c r="D35" s="65" t="s">
        <v>170</v>
      </c>
      <c r="E35" s="65">
        <v>70</v>
      </c>
      <c r="F35" s="32">
        <v>732.90933046999999</v>
      </c>
      <c r="G35" s="34">
        <v>94787</v>
      </c>
      <c r="H35" s="22"/>
      <c r="I35" s="35">
        <v>14.023105891364018</v>
      </c>
      <c r="J35" s="35">
        <v>3.9717052957709109</v>
      </c>
      <c r="K35" s="35">
        <v>9.1605931705205137</v>
      </c>
      <c r="L35" s="35">
        <v>18.24934989963829</v>
      </c>
      <c r="M35" s="35">
        <v>5.3823236545414099</v>
      </c>
      <c r="N35" s="35">
        <v>9.3677836429266303</v>
      </c>
      <c r="O35" s="23"/>
      <c r="P35" s="35">
        <v>10.463956810015802</v>
      </c>
      <c r="Q35" s="35">
        <v>11.63430294006548</v>
      </c>
      <c r="S35" s="83">
        <v>0.5</v>
      </c>
      <c r="T35" s="83" t="s">
        <v>91</v>
      </c>
      <c r="U35" s="83">
        <v>0.78720000000000001</v>
      </c>
      <c r="V35" s="57"/>
      <c r="W35" s="57"/>
    </row>
    <row r="36" spans="1:23" x14ac:dyDescent="0.35">
      <c r="A36" s="31" t="s">
        <v>116</v>
      </c>
      <c r="B36" s="31" t="s">
        <v>25</v>
      </c>
      <c r="C36" s="31" t="s">
        <v>121</v>
      </c>
      <c r="D36" s="65" t="s">
        <v>170</v>
      </c>
      <c r="E36" s="65">
        <v>70</v>
      </c>
      <c r="F36" s="32">
        <v>287.16376073999999</v>
      </c>
      <c r="G36" s="34">
        <v>38969</v>
      </c>
      <c r="H36" s="22"/>
      <c r="I36" s="35">
        <v>18.753964338572125</v>
      </c>
      <c r="J36" s="35">
        <v>5.5433889926185254</v>
      </c>
      <c r="K36" s="35">
        <v>8.4232279511636587</v>
      </c>
      <c r="L36" s="35">
        <v>17.76236688561934</v>
      </c>
      <c r="M36" s="35">
        <v>5.5702182426912827</v>
      </c>
      <c r="N36" s="35">
        <v>9.1857605252793952</v>
      </c>
      <c r="O36" s="23"/>
      <c r="P36" s="35">
        <v>10.37364950578179</v>
      </c>
      <c r="Q36" s="35">
        <v>11.181309337978197</v>
      </c>
      <c r="S36" s="83">
        <v>0.5</v>
      </c>
      <c r="T36" s="83">
        <v>0.87</v>
      </c>
      <c r="U36" s="83" t="s">
        <v>91</v>
      </c>
      <c r="V36" s="57"/>
      <c r="W36" s="57"/>
    </row>
    <row r="37" spans="1:23" x14ac:dyDescent="0.35">
      <c r="A37" s="31" t="s">
        <v>131</v>
      </c>
      <c r="B37" s="31" t="s">
        <v>136</v>
      </c>
      <c r="C37" s="31" t="s">
        <v>142</v>
      </c>
      <c r="D37" s="65" t="s">
        <v>166</v>
      </c>
      <c r="E37" s="65">
        <v>100</v>
      </c>
      <c r="F37" s="32">
        <v>21.592143967799998</v>
      </c>
      <c r="G37" s="34">
        <v>1951</v>
      </c>
      <c r="H37" s="22"/>
      <c r="I37" s="35">
        <v>23.480083857442335</v>
      </c>
      <c r="J37" s="35" t="s">
        <v>163</v>
      </c>
      <c r="K37" s="35" t="s">
        <v>163</v>
      </c>
      <c r="L37" s="35">
        <v>24.02640264026401</v>
      </c>
      <c r="M37" s="35" t="s">
        <v>163</v>
      </c>
      <c r="N37" s="35" t="s">
        <v>163</v>
      </c>
      <c r="O37" s="23"/>
      <c r="P37" s="35" t="s">
        <v>163</v>
      </c>
      <c r="Q37" s="35" t="s">
        <v>163</v>
      </c>
      <c r="S37" s="83">
        <v>0.45</v>
      </c>
      <c r="T37" s="83">
        <v>0.56999999999999995</v>
      </c>
      <c r="U37" s="83" t="s">
        <v>91</v>
      </c>
      <c r="V37" s="57"/>
      <c r="W37" s="57"/>
    </row>
    <row r="38" spans="1:23" s="46" customFormat="1" ht="18.649999999999999" customHeight="1" x14ac:dyDescent="0.35">
      <c r="A38" s="105" t="s">
        <v>60</v>
      </c>
      <c r="B38" s="105"/>
      <c r="C38" s="105"/>
      <c r="D38" s="92"/>
      <c r="E38" s="92"/>
      <c r="F38" s="44"/>
      <c r="G38" s="45" t="s">
        <v>98</v>
      </c>
      <c r="H38" s="43"/>
      <c r="I38" s="67">
        <v>10.433905041269977</v>
      </c>
      <c r="J38" s="67">
        <v>2.0443205991670244</v>
      </c>
      <c r="K38" s="67">
        <v>4.4405959013748157</v>
      </c>
      <c r="L38" s="67">
        <v>10.628744196942304</v>
      </c>
      <c r="M38" s="67">
        <v>1.9538910639045874</v>
      </c>
      <c r="N38" s="67">
        <v>4.1412861136249877</v>
      </c>
      <c r="O38" s="43"/>
      <c r="P38" s="43"/>
      <c r="Q38" s="43"/>
      <c r="S38" s="84"/>
      <c r="T38" s="84"/>
      <c r="U38" s="84"/>
      <c r="V38" s="57"/>
      <c r="W38" s="57"/>
    </row>
    <row r="39" spans="1:23" x14ac:dyDescent="0.35">
      <c r="A39" s="31" t="s">
        <v>36</v>
      </c>
      <c r="B39" s="31" t="s">
        <v>27</v>
      </c>
      <c r="C39" s="31" t="s">
        <v>61</v>
      </c>
      <c r="D39" s="65" t="s">
        <v>170</v>
      </c>
      <c r="E39" s="65">
        <v>35</v>
      </c>
      <c r="F39" s="32">
        <v>114.61345226</v>
      </c>
      <c r="G39" s="34">
        <v>16490</v>
      </c>
      <c r="H39" s="22"/>
      <c r="I39" s="35">
        <v>11.504219245954928</v>
      </c>
      <c r="J39" s="35">
        <v>1.3257904061443782</v>
      </c>
      <c r="K39" s="35">
        <v>3.6227816437500948</v>
      </c>
      <c r="L39" s="35">
        <v>11.153829187013198</v>
      </c>
      <c r="M39" s="35">
        <v>2.1238308094847724</v>
      </c>
      <c r="N39" s="35">
        <v>4.39964535005819</v>
      </c>
      <c r="O39" s="23"/>
      <c r="P39" s="35">
        <v>8.1020399334413913</v>
      </c>
      <c r="Q39" s="35">
        <v>8.6905576533329825</v>
      </c>
      <c r="S39" s="83">
        <v>0.49</v>
      </c>
      <c r="T39" s="83">
        <v>0.71000000000000008</v>
      </c>
      <c r="U39" s="83" t="s">
        <v>91</v>
      </c>
      <c r="V39" s="57"/>
      <c r="W39" s="57"/>
    </row>
    <row r="40" spans="1:23" x14ac:dyDescent="0.35">
      <c r="A40" s="31" t="s">
        <v>162</v>
      </c>
      <c r="B40" s="31" t="s">
        <v>29</v>
      </c>
      <c r="C40" s="31" t="s">
        <v>129</v>
      </c>
      <c r="D40" s="65" t="s">
        <v>170</v>
      </c>
      <c r="E40" s="93">
        <v>31.75</v>
      </c>
      <c r="F40" s="32">
        <v>140.58014317210001</v>
      </c>
      <c r="G40" s="34">
        <v>17259</v>
      </c>
      <c r="H40" s="22"/>
      <c r="I40" s="35">
        <v>10.035620257085331</v>
      </c>
      <c r="J40" s="35">
        <v>2.7220777888801617</v>
      </c>
      <c r="K40" s="35">
        <v>4.3905702166054716</v>
      </c>
      <c r="L40" s="35">
        <v>10.432082949062904</v>
      </c>
      <c r="M40" s="35">
        <v>0.36012424434119783</v>
      </c>
      <c r="N40" s="35">
        <v>2.5856874035423472</v>
      </c>
      <c r="O40" s="23"/>
      <c r="P40" s="35">
        <v>6.4933202844188171</v>
      </c>
      <c r="Q40" s="35">
        <v>9.1684811749283295</v>
      </c>
      <c r="S40" s="83">
        <v>0.5</v>
      </c>
      <c r="T40" s="83">
        <v>0.86</v>
      </c>
      <c r="U40" s="83">
        <v>0.86</v>
      </c>
      <c r="V40" s="57"/>
      <c r="W40" s="57"/>
    </row>
    <row r="41" spans="1:23" s="1" customFormat="1" x14ac:dyDescent="0.35">
      <c r="A41" s="31" t="s">
        <v>88</v>
      </c>
      <c r="B41" s="31" t="s">
        <v>28</v>
      </c>
      <c r="C41" s="31" t="s">
        <v>62</v>
      </c>
      <c r="D41" s="65" t="s">
        <v>170</v>
      </c>
      <c r="E41" s="65">
        <v>35.299999999999997</v>
      </c>
      <c r="F41" s="32">
        <v>374.40780761000002</v>
      </c>
      <c r="G41" s="34">
        <v>46592</v>
      </c>
      <c r="H41" s="95"/>
      <c r="I41" s="35">
        <v>10.957848501194412</v>
      </c>
      <c r="J41" s="35">
        <v>1.8363943168719254</v>
      </c>
      <c r="K41" s="35">
        <v>4.3822932405004789</v>
      </c>
      <c r="L41" s="35">
        <v>11.254850570062501</v>
      </c>
      <c r="M41" s="35">
        <v>2.9778652570480402</v>
      </c>
      <c r="N41" s="35">
        <v>5.1733092392500568</v>
      </c>
      <c r="O41" s="96"/>
      <c r="P41" s="35">
        <v>7.4004783228208613</v>
      </c>
      <c r="Q41" s="35">
        <v>8.5579730570290415</v>
      </c>
      <c r="S41" s="32">
        <v>0.5</v>
      </c>
      <c r="T41" s="32" t="s">
        <v>91</v>
      </c>
      <c r="U41" s="32">
        <v>0.7</v>
      </c>
      <c r="V41" s="97"/>
      <c r="W41" s="97"/>
    </row>
    <row r="42" spans="1:23" x14ac:dyDescent="0.35">
      <c r="A42" s="31" t="s">
        <v>89</v>
      </c>
      <c r="B42" s="31" t="s">
        <v>26</v>
      </c>
      <c r="C42" s="31" t="s">
        <v>107</v>
      </c>
      <c r="D42" s="65" t="s">
        <v>170</v>
      </c>
      <c r="E42" s="65">
        <v>35</v>
      </c>
      <c r="F42" s="32">
        <v>541.06788797000002</v>
      </c>
      <c r="G42" s="34">
        <v>82538</v>
      </c>
      <c r="H42" s="22"/>
      <c r="I42" s="35">
        <v>9.4613935969868344</v>
      </c>
      <c r="J42" s="35">
        <v>2.0519132078600233</v>
      </c>
      <c r="K42" s="35">
        <v>4.9642164128680166</v>
      </c>
      <c r="L42" s="35">
        <v>10.338508778446375</v>
      </c>
      <c r="M42" s="35">
        <v>1.1908204482209417</v>
      </c>
      <c r="N42" s="35">
        <v>3.6312906970272785</v>
      </c>
      <c r="O42" s="23"/>
      <c r="P42" s="35">
        <v>7.5194343154494305</v>
      </c>
      <c r="Q42" s="35">
        <v>9.3495876949748471</v>
      </c>
      <c r="S42" s="83">
        <v>0.5</v>
      </c>
      <c r="T42" s="83" t="s">
        <v>91</v>
      </c>
      <c r="U42" s="83">
        <v>0.59660000000000002</v>
      </c>
      <c r="V42" s="57"/>
      <c r="W42" s="57"/>
    </row>
    <row r="43" spans="1:23" x14ac:dyDescent="0.35">
      <c r="A43" s="31" t="s">
        <v>116</v>
      </c>
      <c r="B43" s="31" t="s">
        <v>30</v>
      </c>
      <c r="C43" s="31" t="s">
        <v>122</v>
      </c>
      <c r="D43" s="65" t="s">
        <v>170</v>
      </c>
      <c r="E43" s="65">
        <v>35</v>
      </c>
      <c r="F43" s="32">
        <v>237.27890543999999</v>
      </c>
      <c r="G43" s="34">
        <v>36174</v>
      </c>
      <c r="H43" s="22"/>
      <c r="I43" s="35">
        <v>11.51412905946858</v>
      </c>
      <c r="J43" s="35">
        <v>2.3006229023393443</v>
      </c>
      <c r="K43" s="35">
        <v>3.763248965638577</v>
      </c>
      <c r="L43" s="35">
        <v>10.165503748130744</v>
      </c>
      <c r="M43" s="35">
        <v>2.9403405758064327</v>
      </c>
      <c r="N43" s="35">
        <v>4.4726239217200536</v>
      </c>
      <c r="O43" s="23"/>
      <c r="P43" s="35">
        <v>6.8476060515641146</v>
      </c>
      <c r="Q43" s="35">
        <v>7.0042392984683763</v>
      </c>
      <c r="S43" s="83">
        <v>0.5</v>
      </c>
      <c r="T43" s="83">
        <v>0.7</v>
      </c>
      <c r="U43" s="83" t="s">
        <v>91</v>
      </c>
      <c r="V43" s="57"/>
      <c r="W43" s="57"/>
    </row>
    <row r="44" spans="1:23" x14ac:dyDescent="0.35">
      <c r="A44" s="31" t="s">
        <v>131</v>
      </c>
      <c r="B44" s="31" t="s">
        <v>137</v>
      </c>
      <c r="C44" s="31" t="s">
        <v>141</v>
      </c>
      <c r="D44" s="65" t="s">
        <v>166</v>
      </c>
      <c r="E44" s="65">
        <v>40</v>
      </c>
      <c r="F44" s="32">
        <v>7.0395491141999997</v>
      </c>
      <c r="G44" s="34">
        <v>770</v>
      </c>
      <c r="H44" s="22"/>
      <c r="I44" s="35">
        <v>11.432597463597926</v>
      </c>
      <c r="J44" s="35" t="s">
        <v>163</v>
      </c>
      <c r="K44" s="35" t="s">
        <v>163</v>
      </c>
      <c r="L44" s="35">
        <v>12.135967787245994</v>
      </c>
      <c r="M44" s="35" t="s">
        <v>163</v>
      </c>
      <c r="N44" s="35" t="s">
        <v>163</v>
      </c>
      <c r="O44" s="23"/>
      <c r="P44" s="35" t="s">
        <v>163</v>
      </c>
      <c r="Q44" s="35" t="s">
        <v>163</v>
      </c>
      <c r="S44" s="83">
        <v>0.45</v>
      </c>
      <c r="T44" s="83">
        <v>0.6</v>
      </c>
      <c r="U44" s="83" t="s">
        <v>91</v>
      </c>
      <c r="V44" s="57"/>
      <c r="W44" s="57"/>
    </row>
    <row r="45" spans="1:23" s="46" customFormat="1" ht="18.649999999999999" customHeight="1" x14ac:dyDescent="0.35">
      <c r="A45" s="106" t="s">
        <v>63</v>
      </c>
      <c r="B45" s="106"/>
      <c r="C45" s="106"/>
      <c r="D45" s="92"/>
      <c r="E45" s="92"/>
      <c r="F45" s="44"/>
      <c r="G45" s="45" t="s">
        <v>98</v>
      </c>
      <c r="H45" s="43"/>
      <c r="I45" s="67">
        <v>7.006265119829485</v>
      </c>
      <c r="J45" s="67">
        <v>0.37260204738709213</v>
      </c>
      <c r="K45" s="67">
        <v>1.1693071306634344</v>
      </c>
      <c r="L45" s="67">
        <v>6.4323370622954608</v>
      </c>
      <c r="M45" s="67">
        <v>-0.24984684829628187</v>
      </c>
      <c r="N45" s="67">
        <v>0.44676753170782768</v>
      </c>
      <c r="O45" s="43"/>
      <c r="P45" s="43"/>
      <c r="Q45" s="43"/>
      <c r="S45" s="84"/>
      <c r="T45" s="84"/>
      <c r="U45" s="84"/>
      <c r="V45" s="57"/>
      <c r="W45" s="57"/>
    </row>
    <row r="46" spans="1:23" x14ac:dyDescent="0.35">
      <c r="A46" s="31" t="s">
        <v>36</v>
      </c>
      <c r="B46" s="31" t="s">
        <v>32</v>
      </c>
      <c r="C46" s="31" t="s">
        <v>64</v>
      </c>
      <c r="D46" s="65" t="s">
        <v>170</v>
      </c>
      <c r="E46" s="65">
        <v>10</v>
      </c>
      <c r="F46" s="32">
        <v>13.513911759999999</v>
      </c>
      <c r="G46" s="34">
        <v>2163</v>
      </c>
      <c r="H46" s="22"/>
      <c r="I46" s="35">
        <v>6.7948478626096875</v>
      </c>
      <c r="J46" s="35">
        <v>-0.49325828001164362</v>
      </c>
      <c r="K46" s="35">
        <v>0.40388811415863479</v>
      </c>
      <c r="L46" s="35">
        <v>6.0350734377319082</v>
      </c>
      <c r="M46" s="35">
        <v>-0.46032654401236828</v>
      </c>
      <c r="N46" s="35">
        <v>0.56399735879746338</v>
      </c>
      <c r="O46" s="23"/>
      <c r="P46" s="35">
        <v>6.4425459042213626</v>
      </c>
      <c r="Q46" s="35">
        <v>6.9953604956026609</v>
      </c>
      <c r="S46" s="83">
        <v>0.49</v>
      </c>
      <c r="T46" s="83">
        <v>0.71000000000000008</v>
      </c>
      <c r="U46" s="83" t="s">
        <v>91</v>
      </c>
      <c r="V46" s="57"/>
      <c r="W46" s="57"/>
    </row>
    <row r="47" spans="1:23" x14ac:dyDescent="0.35">
      <c r="A47" s="31" t="s">
        <v>162</v>
      </c>
      <c r="B47" s="31" t="s">
        <v>35</v>
      </c>
      <c r="C47" s="31" t="s">
        <v>130</v>
      </c>
      <c r="D47" s="65" t="s">
        <v>170</v>
      </c>
      <c r="E47" s="93">
        <v>10</v>
      </c>
      <c r="F47" s="32">
        <v>12.2061001318</v>
      </c>
      <c r="G47" s="34">
        <v>1701</v>
      </c>
      <c r="H47" s="22"/>
      <c r="I47" s="35">
        <v>7.4471992653810881</v>
      </c>
      <c r="J47" s="35">
        <v>1.5237919571363001</v>
      </c>
      <c r="K47" s="35">
        <v>1.4643497541062755</v>
      </c>
      <c r="L47" s="35">
        <v>7.0657059945506751</v>
      </c>
      <c r="M47" s="35">
        <v>-1.0770297925486894</v>
      </c>
      <c r="N47" s="35">
        <v>-0.51565805104950568</v>
      </c>
      <c r="O47" s="23"/>
      <c r="P47" s="35">
        <v>5.1030101909057501</v>
      </c>
      <c r="Q47" s="35">
        <v>7.1269115520692097</v>
      </c>
      <c r="S47" s="83">
        <v>0.5</v>
      </c>
      <c r="T47" s="83">
        <v>0.54</v>
      </c>
      <c r="U47" s="83">
        <v>0.54</v>
      </c>
      <c r="V47" s="57"/>
      <c r="W47" s="57"/>
    </row>
    <row r="48" spans="1:23" s="1" customFormat="1" x14ac:dyDescent="0.35">
      <c r="A48" s="31" t="s">
        <v>88</v>
      </c>
      <c r="B48" s="31" t="s">
        <v>33</v>
      </c>
      <c r="C48" s="31" t="s">
        <v>65</v>
      </c>
      <c r="D48" s="65" t="s">
        <v>170</v>
      </c>
      <c r="E48" s="65">
        <v>18.5</v>
      </c>
      <c r="F48" s="32">
        <v>35.743582270000005</v>
      </c>
      <c r="G48" s="34">
        <v>4873</v>
      </c>
      <c r="H48" s="95"/>
      <c r="I48" s="35">
        <v>8.2638570774164144</v>
      </c>
      <c r="J48" s="35">
        <v>0.51296101411579809</v>
      </c>
      <c r="K48" s="35">
        <v>1.3722969868007917</v>
      </c>
      <c r="L48" s="35">
        <v>7.4161969222362512</v>
      </c>
      <c r="M48" s="35">
        <v>1.0382119401108447</v>
      </c>
      <c r="N48" s="35">
        <v>1.6707225529110969</v>
      </c>
      <c r="O48" s="96"/>
      <c r="P48" s="35">
        <v>5.6980105651518631</v>
      </c>
      <c r="Q48" s="35">
        <v>6.741237745485229</v>
      </c>
      <c r="S48" s="32">
        <v>0.5</v>
      </c>
      <c r="T48" s="32">
        <v>0.68</v>
      </c>
      <c r="U48" s="32" t="s">
        <v>91</v>
      </c>
      <c r="V48" s="97"/>
      <c r="W48" s="97"/>
    </row>
    <row r="49" spans="1:23" x14ac:dyDescent="0.35">
      <c r="A49" s="31" t="s">
        <v>89</v>
      </c>
      <c r="B49" s="31" t="s">
        <v>31</v>
      </c>
      <c r="C49" s="31" t="s">
        <v>66</v>
      </c>
      <c r="D49" s="65" t="s">
        <v>170</v>
      </c>
      <c r="E49" s="65">
        <v>15</v>
      </c>
      <c r="F49" s="32">
        <v>52.85293145</v>
      </c>
      <c r="G49" s="34">
        <v>5677</v>
      </c>
      <c r="H49" s="22"/>
      <c r="I49" s="35">
        <v>5.9076753984246277</v>
      </c>
      <c r="J49" s="35">
        <v>4.9054978290508089E-2</v>
      </c>
      <c r="K49" s="35">
        <v>0.96098890643512291</v>
      </c>
      <c r="L49" s="35">
        <v>5.9789655119815599</v>
      </c>
      <c r="M49" s="35">
        <v>-1.6403678386730958</v>
      </c>
      <c r="N49" s="35">
        <v>-0.94164197187227572</v>
      </c>
      <c r="O49" s="23"/>
      <c r="P49" s="35">
        <v>5.2644843079246568</v>
      </c>
      <c r="Q49" s="35">
        <v>8.0553439046390043</v>
      </c>
      <c r="S49" s="83">
        <v>0.5</v>
      </c>
      <c r="T49" s="83" t="s">
        <v>91</v>
      </c>
      <c r="U49" s="83">
        <v>0.52249999999999996</v>
      </c>
      <c r="V49" s="57"/>
      <c r="W49" s="57"/>
    </row>
    <row r="50" spans="1:23" x14ac:dyDescent="0.35">
      <c r="A50" s="31" t="s">
        <v>116</v>
      </c>
      <c r="B50" s="31" t="s">
        <v>34</v>
      </c>
      <c r="C50" s="31" t="s">
        <v>123</v>
      </c>
      <c r="D50" s="65" t="s">
        <v>170</v>
      </c>
      <c r="E50" s="65">
        <v>15</v>
      </c>
      <c r="F50" s="32">
        <v>28.52712086</v>
      </c>
      <c r="G50" s="34">
        <v>4314</v>
      </c>
      <c r="H50" s="22"/>
      <c r="I50" s="35">
        <v>7.3940403479548555</v>
      </c>
      <c r="J50" s="35">
        <v>0.71378963476442792</v>
      </c>
      <c r="K50" s="35">
        <v>1.5372772983224481</v>
      </c>
      <c r="L50" s="35">
        <v>5.9567531615550395</v>
      </c>
      <c r="M50" s="35">
        <v>1.1661515411109713</v>
      </c>
      <c r="N50" s="35">
        <v>1.8417980716282756</v>
      </c>
      <c r="O50" s="23"/>
      <c r="P50" s="35">
        <v>4.3074400654374063</v>
      </c>
      <c r="Q50" s="35">
        <v>4.1444244209310837</v>
      </c>
      <c r="S50" s="83">
        <v>0.5</v>
      </c>
      <c r="T50" s="83">
        <v>0.6</v>
      </c>
      <c r="U50" s="83" t="s">
        <v>91</v>
      </c>
    </row>
    <row r="51" spans="1:23" x14ac:dyDescent="0.35">
      <c r="A51" s="31" t="s">
        <v>131</v>
      </c>
      <c r="B51" s="31" t="s">
        <v>138</v>
      </c>
      <c r="C51" s="31" t="s">
        <v>140</v>
      </c>
      <c r="D51" s="65" t="s">
        <v>166</v>
      </c>
      <c r="E51" s="65">
        <v>0</v>
      </c>
      <c r="F51" s="32">
        <v>0.1075368082</v>
      </c>
      <c r="G51" s="34">
        <v>17</v>
      </c>
      <c r="H51" s="22"/>
      <c r="I51" s="35">
        <v>2.5958930647036027</v>
      </c>
      <c r="J51" s="35" t="s">
        <v>163</v>
      </c>
      <c r="K51" s="35" t="s">
        <v>163</v>
      </c>
      <c r="L51" s="35">
        <v>3.7851271267444142</v>
      </c>
      <c r="M51" s="35" t="s">
        <v>163</v>
      </c>
      <c r="N51" s="35" t="s">
        <v>163</v>
      </c>
      <c r="O51" s="23"/>
      <c r="P51" s="35" t="s">
        <v>163</v>
      </c>
      <c r="Q51" s="35" t="s">
        <v>163</v>
      </c>
      <c r="S51" s="83">
        <v>0.45</v>
      </c>
      <c r="T51" s="83">
        <v>0.59</v>
      </c>
      <c r="U51" s="83" t="s">
        <v>91</v>
      </c>
    </row>
    <row r="52" spans="1:23" s="46" customFormat="1" ht="18.649999999999999" customHeight="1" x14ac:dyDescent="0.35">
      <c r="A52" s="105" t="s">
        <v>67</v>
      </c>
      <c r="B52" s="105"/>
      <c r="C52" s="105"/>
      <c r="D52" s="92"/>
      <c r="E52" s="92"/>
      <c r="F52" s="44"/>
      <c r="G52" s="45" t="s">
        <v>98</v>
      </c>
      <c r="H52" s="43"/>
      <c r="I52" s="67">
        <v>6.7885770576528959</v>
      </c>
      <c r="J52" s="67">
        <v>0.53659915382741163</v>
      </c>
      <c r="K52" s="67">
        <v>1.132690771363305</v>
      </c>
      <c r="L52" s="67">
        <v>5.7791439263295654</v>
      </c>
      <c r="M52" s="67">
        <v>-0.38748906996227822</v>
      </c>
      <c r="N52" s="67">
        <v>0.19646726937601985</v>
      </c>
      <c r="O52" s="43"/>
      <c r="P52" s="43"/>
      <c r="Q52" s="43"/>
      <c r="S52" s="84"/>
      <c r="T52" s="84"/>
      <c r="U52" s="84"/>
    </row>
    <row r="53" spans="1:23" x14ac:dyDescent="0.35">
      <c r="A53" s="31" t="s">
        <v>36</v>
      </c>
      <c r="B53" s="31" t="s">
        <v>40</v>
      </c>
      <c r="C53" s="31" t="s">
        <v>110</v>
      </c>
      <c r="D53" s="65" t="s">
        <v>170</v>
      </c>
      <c r="E53" s="93">
        <v>10</v>
      </c>
      <c r="F53" s="32">
        <v>12.279213199999999</v>
      </c>
      <c r="G53" s="34">
        <v>2864</v>
      </c>
      <c r="H53" s="22"/>
      <c r="I53" s="35">
        <v>5.9856115107913777</v>
      </c>
      <c r="J53" s="35">
        <v>9.0522314244889657E-3</v>
      </c>
      <c r="K53" s="35">
        <v>0.55053001992078077</v>
      </c>
      <c r="L53" s="35">
        <v>5.2540553045687943</v>
      </c>
      <c r="M53" s="35">
        <v>0.35896373461816733</v>
      </c>
      <c r="N53" s="35">
        <v>0.96218389210711575</v>
      </c>
      <c r="O53" s="23"/>
      <c r="P53" s="35">
        <v>4.7969809623667929</v>
      </c>
      <c r="Q53" s="35">
        <v>5.0300871363665784</v>
      </c>
      <c r="S53" s="83">
        <v>0.19</v>
      </c>
      <c r="T53" s="83">
        <v>0.35000000000000003</v>
      </c>
      <c r="U53" s="83" t="s">
        <v>91</v>
      </c>
    </row>
    <row r="54" spans="1:23" x14ac:dyDescent="0.35">
      <c r="A54" s="31" t="s">
        <v>162</v>
      </c>
      <c r="B54" s="31" t="s">
        <v>38</v>
      </c>
      <c r="C54" s="31" t="s">
        <v>68</v>
      </c>
      <c r="D54" s="65" t="s">
        <v>170</v>
      </c>
      <c r="E54" s="93">
        <v>17</v>
      </c>
      <c r="F54" s="32">
        <v>14.225103926100001</v>
      </c>
      <c r="G54" s="34">
        <v>2473</v>
      </c>
      <c r="H54" s="22"/>
      <c r="I54" s="35">
        <v>7.3205784604329693</v>
      </c>
      <c r="J54" s="35">
        <v>1.2585693076868631</v>
      </c>
      <c r="K54" s="35">
        <v>1.763669757213604</v>
      </c>
      <c r="L54" s="35">
        <v>7.0750254726799966</v>
      </c>
      <c r="M54" s="35">
        <v>0.51895051866714947</v>
      </c>
      <c r="N54" s="35">
        <v>1.1637719288394743</v>
      </c>
      <c r="O54" s="23"/>
      <c r="P54" s="35">
        <v>4.5412549678956085</v>
      </c>
      <c r="Q54" s="35">
        <v>4.7848711836041442</v>
      </c>
      <c r="S54" s="83">
        <v>0.2</v>
      </c>
      <c r="T54" s="83">
        <v>0.3</v>
      </c>
      <c r="U54" s="83">
        <v>0.3</v>
      </c>
    </row>
    <row r="55" spans="1:23" s="1" customFormat="1" x14ac:dyDescent="0.35">
      <c r="A55" s="31" t="s">
        <v>88</v>
      </c>
      <c r="B55" s="31" t="s">
        <v>37</v>
      </c>
      <c r="C55" s="31" t="s">
        <v>69</v>
      </c>
      <c r="D55" s="65" t="s">
        <v>170</v>
      </c>
      <c r="E55" s="93">
        <v>15</v>
      </c>
      <c r="F55" s="32">
        <v>57.034804899999997</v>
      </c>
      <c r="G55" s="34">
        <v>7282</v>
      </c>
      <c r="H55" s="95"/>
      <c r="I55" s="35">
        <v>6.9930069930069783</v>
      </c>
      <c r="J55" s="35">
        <v>0.56998028556427549</v>
      </c>
      <c r="K55" s="35">
        <v>1.1915276782797912</v>
      </c>
      <c r="L55" s="35">
        <v>5.8075775005546726</v>
      </c>
      <c r="M55" s="35">
        <v>0.16148933870232529</v>
      </c>
      <c r="N55" s="35">
        <v>0.75079994778031178</v>
      </c>
      <c r="O55" s="96"/>
      <c r="P55" s="35">
        <v>5.1442377536998398</v>
      </c>
      <c r="Q55" s="35">
        <v>6.2400754982395288</v>
      </c>
      <c r="S55" s="32">
        <v>0.2</v>
      </c>
      <c r="T55" s="32">
        <v>0.32</v>
      </c>
      <c r="U55" s="32" t="s">
        <v>91</v>
      </c>
    </row>
    <row r="56" spans="1:23" x14ac:dyDescent="0.35">
      <c r="A56" s="31" t="s">
        <v>89</v>
      </c>
      <c r="B56" s="31" t="s">
        <v>39</v>
      </c>
      <c r="C56" s="31" t="s">
        <v>70</v>
      </c>
      <c r="D56" s="65" t="s">
        <v>170</v>
      </c>
      <c r="E56" s="93">
        <v>15</v>
      </c>
      <c r="F56" s="32">
        <v>71.585678560000005</v>
      </c>
      <c r="G56" s="34">
        <v>8822</v>
      </c>
      <c r="H56" s="22"/>
      <c r="I56" s="35">
        <v>6.7313915857605267</v>
      </c>
      <c r="J56" s="35">
        <v>0.86370717206978309</v>
      </c>
      <c r="K56" s="35">
        <v>1.5458584171362144</v>
      </c>
      <c r="L56" s="35">
        <v>5.9788780876027126</v>
      </c>
      <c r="M56" s="35">
        <v>-1.640392825243675</v>
      </c>
      <c r="N56" s="35">
        <v>-0.94165036987227113</v>
      </c>
      <c r="O56" s="23"/>
      <c r="P56" s="35">
        <v>5.4893783070906057</v>
      </c>
      <c r="Q56" s="35">
        <v>8.055350261497555</v>
      </c>
      <c r="S56" s="83">
        <v>0.2</v>
      </c>
      <c r="T56" s="83" t="s">
        <v>91</v>
      </c>
      <c r="U56" s="83">
        <v>0.22639999999999999</v>
      </c>
    </row>
    <row r="57" spans="1:23" x14ac:dyDescent="0.35">
      <c r="A57" s="31" t="s">
        <v>116</v>
      </c>
      <c r="B57" s="31" t="s">
        <v>41</v>
      </c>
      <c r="C57" s="31" t="s">
        <v>148</v>
      </c>
      <c r="D57" s="65" t="s">
        <v>170</v>
      </c>
      <c r="E57" s="93">
        <v>10</v>
      </c>
      <c r="F57" s="32">
        <v>32.474127500000002</v>
      </c>
      <c r="G57" s="34">
        <v>6981</v>
      </c>
      <c r="H57" s="22"/>
      <c r="I57" s="35">
        <v>6.7066574884452779</v>
      </c>
      <c r="J57" s="35">
        <v>-0.35987990080628141</v>
      </c>
      <c r="K57" s="35">
        <v>6.2303169606692244E-2</v>
      </c>
      <c r="L57" s="35">
        <v>4.9198080330974836</v>
      </c>
      <c r="M57" s="35">
        <v>0.73091014114898822</v>
      </c>
      <c r="N57" s="35">
        <v>1.0184835145805593</v>
      </c>
      <c r="O57" s="23"/>
      <c r="P57" s="35">
        <v>4.1373154957991227</v>
      </c>
      <c r="Q57" s="35">
        <v>3.7187870759039559</v>
      </c>
      <c r="S57" s="83">
        <v>0.2</v>
      </c>
      <c r="T57" s="83">
        <v>0.33</v>
      </c>
      <c r="U57" s="83" t="s">
        <v>91</v>
      </c>
    </row>
    <row r="58" spans="1:23" x14ac:dyDescent="0.35">
      <c r="A58" s="31" t="s">
        <v>131</v>
      </c>
      <c r="B58" s="31" t="s">
        <v>139</v>
      </c>
      <c r="C58" s="31" t="s">
        <v>147</v>
      </c>
      <c r="D58" s="65" t="s">
        <v>166</v>
      </c>
      <c r="E58" s="65">
        <v>0</v>
      </c>
      <c r="F58" s="32">
        <v>0.65275061560000003</v>
      </c>
      <c r="G58" s="34">
        <v>45</v>
      </c>
      <c r="H58" s="22"/>
      <c r="I58" s="35">
        <v>2.7844686385971595</v>
      </c>
      <c r="J58" s="35" t="s">
        <v>163</v>
      </c>
      <c r="K58" s="35" t="s">
        <v>163</v>
      </c>
      <c r="L58" s="35">
        <v>3.3574529667149022</v>
      </c>
      <c r="M58" s="35" t="s">
        <v>163</v>
      </c>
      <c r="N58" s="35" t="s">
        <v>163</v>
      </c>
      <c r="O58" s="23"/>
      <c r="P58" s="35" t="s">
        <v>163</v>
      </c>
      <c r="Q58" s="35" t="s">
        <v>163</v>
      </c>
      <c r="S58" s="83">
        <v>0.18</v>
      </c>
      <c r="T58" s="83">
        <v>0.34</v>
      </c>
      <c r="U58" s="83" t="s">
        <v>91</v>
      </c>
    </row>
    <row r="59" spans="1:23" x14ac:dyDescent="0.35">
      <c r="D59" s="8"/>
      <c r="E59" s="20"/>
      <c r="F59" s="21"/>
      <c r="G59" s="9"/>
      <c r="H59" s="7"/>
      <c r="I59" s="10"/>
      <c r="J59" s="10"/>
      <c r="K59" s="10"/>
      <c r="L59" s="11"/>
      <c r="M59" s="11"/>
      <c r="N59" s="11"/>
      <c r="O59" s="12"/>
      <c r="P59" s="13"/>
      <c r="Q59" s="14"/>
      <c r="R59" s="1"/>
      <c r="S59" s="14"/>
      <c r="T59" s="14"/>
      <c r="U59" s="14"/>
    </row>
    <row r="60" spans="1:23" s="42" customFormat="1" x14ac:dyDescent="0.35">
      <c r="A60" s="36"/>
      <c r="B60" s="36"/>
      <c r="C60" s="36"/>
      <c r="D60" s="36"/>
      <c r="E60" s="37"/>
      <c r="F60" s="38"/>
      <c r="G60" s="39" t="s">
        <v>109</v>
      </c>
      <c r="H60" s="40"/>
      <c r="I60" s="40">
        <v>17.036704417519104</v>
      </c>
      <c r="J60" s="40">
        <v>4.678162943436643</v>
      </c>
      <c r="K60" s="40">
        <v>8.644424376220142</v>
      </c>
      <c r="L60" s="40">
        <v>20.23142177974556</v>
      </c>
      <c r="M60" s="40">
        <v>6.1940086296502148</v>
      </c>
      <c r="N60" s="40">
        <v>9.8631846246326518</v>
      </c>
      <c r="O60" s="40"/>
      <c r="P60" s="40"/>
      <c r="Q60" s="40"/>
      <c r="R60" s="41"/>
      <c r="S60" s="40"/>
      <c r="T60" s="40"/>
      <c r="U60" s="40"/>
    </row>
    <row r="61" spans="1:23" x14ac:dyDescent="0.35">
      <c r="A61" s="15"/>
      <c r="B61" s="15"/>
      <c r="C61" s="15"/>
      <c r="D61" s="15"/>
      <c r="E61" s="15"/>
      <c r="F61" s="15"/>
      <c r="G61" s="15"/>
      <c r="H61" s="15"/>
      <c r="I61" s="15"/>
      <c r="J61" s="15"/>
      <c r="K61" s="15"/>
      <c r="L61" s="15"/>
      <c r="M61" s="15"/>
      <c r="N61" s="15"/>
      <c r="O61" s="15"/>
      <c r="P61" s="15"/>
      <c r="Q61" s="15"/>
      <c r="R61" s="1"/>
    </row>
    <row r="62" spans="1:23" s="49" customFormat="1" ht="13.5" x14ac:dyDescent="0.3">
      <c r="A62" s="48" t="s">
        <v>82</v>
      </c>
      <c r="B62" s="48"/>
      <c r="C62" s="48"/>
      <c r="D62" s="48"/>
      <c r="E62" s="48"/>
      <c r="F62" s="48"/>
      <c r="G62" s="48"/>
      <c r="H62" s="48"/>
      <c r="I62" s="48"/>
      <c r="J62" s="48"/>
      <c r="K62" s="48"/>
      <c r="L62" s="48"/>
      <c r="M62" s="48"/>
      <c r="N62" s="48"/>
      <c r="O62" s="48"/>
      <c r="P62" s="48"/>
    </row>
    <row r="63" spans="1:23" s="49" customFormat="1" ht="13.5" x14ac:dyDescent="0.3">
      <c r="A63" s="48" t="s">
        <v>93</v>
      </c>
      <c r="B63" s="48"/>
      <c r="C63" s="48"/>
      <c r="D63" s="48"/>
      <c r="E63" s="48"/>
      <c r="F63" s="71"/>
      <c r="G63" s="71"/>
      <c r="H63" s="48"/>
      <c r="I63" s="48"/>
      <c r="J63" s="48"/>
      <c r="K63" s="48"/>
      <c r="L63" s="48"/>
      <c r="M63" s="48"/>
      <c r="N63" s="48"/>
      <c r="O63" s="48"/>
      <c r="P63" s="48"/>
    </row>
    <row r="64" spans="1:23" s="49" customFormat="1" ht="13.5" x14ac:dyDescent="0.3">
      <c r="A64" s="48" t="s">
        <v>95</v>
      </c>
      <c r="B64" s="48"/>
      <c r="C64" s="48"/>
      <c r="D64" s="48"/>
      <c r="E64" s="48"/>
      <c r="F64" s="48"/>
      <c r="G64" s="48"/>
      <c r="H64" s="48"/>
      <c r="I64" s="48"/>
      <c r="J64" s="48"/>
      <c r="K64" s="48"/>
      <c r="L64" s="48"/>
      <c r="M64" s="48"/>
      <c r="N64" s="48"/>
      <c r="O64" s="48"/>
      <c r="P64" s="48"/>
    </row>
    <row r="65" spans="1:18" s="49" customFormat="1" ht="13.5" x14ac:dyDescent="0.3">
      <c r="A65" s="48" t="s">
        <v>96</v>
      </c>
      <c r="B65" s="48"/>
      <c r="C65" s="48"/>
      <c r="D65" s="48"/>
      <c r="E65" s="48"/>
      <c r="F65" s="48"/>
      <c r="G65" s="48"/>
      <c r="H65" s="48"/>
      <c r="I65" s="48"/>
      <c r="J65" s="48"/>
      <c r="K65" s="48"/>
      <c r="L65" s="48"/>
      <c r="M65" s="48"/>
      <c r="N65" s="48"/>
      <c r="O65" s="48"/>
      <c r="P65" s="48"/>
    </row>
    <row r="66" spans="1:18" s="49" customFormat="1" ht="13.5" x14ac:dyDescent="0.3">
      <c r="A66" s="48" t="s">
        <v>167</v>
      </c>
      <c r="B66" s="50"/>
      <c r="C66" s="50"/>
      <c r="D66" s="50"/>
      <c r="E66" s="50"/>
      <c r="F66" s="50"/>
      <c r="G66" s="50"/>
      <c r="H66" s="50"/>
      <c r="I66" s="50"/>
      <c r="J66" s="50"/>
      <c r="K66" s="50"/>
      <c r="L66" s="50"/>
      <c r="M66" s="50"/>
      <c r="N66" s="50"/>
      <c r="O66" s="50"/>
      <c r="P66" s="50"/>
    </row>
    <row r="67" spans="1:18" s="49" customFormat="1" ht="13.5" x14ac:dyDescent="0.3">
      <c r="A67" s="51" t="s">
        <v>115</v>
      </c>
      <c r="B67" s="50"/>
      <c r="C67" s="50"/>
      <c r="D67" s="50"/>
      <c r="E67" s="50"/>
      <c r="F67" s="50"/>
      <c r="G67" s="50"/>
      <c r="H67" s="50"/>
      <c r="I67" s="50"/>
      <c r="J67" s="50"/>
      <c r="K67" s="50"/>
      <c r="L67" s="50"/>
      <c r="M67" s="50"/>
      <c r="N67" s="50"/>
      <c r="O67" s="50"/>
      <c r="P67" s="50"/>
    </row>
    <row r="68" spans="1:18" s="49" customFormat="1" ht="13.5" x14ac:dyDescent="0.3">
      <c r="A68" s="50" t="s">
        <v>101</v>
      </c>
      <c r="B68" s="50"/>
      <c r="C68" s="50"/>
      <c r="D68" s="50"/>
      <c r="E68" s="50"/>
      <c r="F68" s="50"/>
      <c r="G68" s="50"/>
      <c r="H68" s="50"/>
      <c r="I68" s="50"/>
      <c r="J68" s="50"/>
      <c r="K68" s="50"/>
      <c r="L68" s="50"/>
      <c r="M68" s="50"/>
      <c r="N68" s="50"/>
      <c r="O68" s="50"/>
      <c r="P68" s="50"/>
    </row>
    <row r="69" spans="1:18" s="49" customFormat="1" ht="13.5" x14ac:dyDescent="0.3">
      <c r="A69" s="50" t="s">
        <v>108</v>
      </c>
      <c r="B69" s="50"/>
      <c r="C69" s="50"/>
      <c r="D69" s="50"/>
      <c r="E69" s="50"/>
      <c r="F69" s="50"/>
      <c r="G69" s="50"/>
      <c r="H69" s="50"/>
      <c r="I69" s="50"/>
      <c r="J69" s="50"/>
      <c r="K69" s="50"/>
      <c r="L69" s="50"/>
      <c r="M69" s="50"/>
      <c r="N69" s="50"/>
      <c r="O69" s="50"/>
      <c r="P69" s="50"/>
    </row>
    <row r="70" spans="1:18" x14ac:dyDescent="0.35">
      <c r="A70" s="48" t="s">
        <v>152</v>
      </c>
      <c r="D70" s="7"/>
      <c r="E70" s="7"/>
      <c r="F70" s="7"/>
      <c r="G70" s="7"/>
      <c r="H70" s="7"/>
      <c r="I70" s="7"/>
      <c r="J70" s="7"/>
      <c r="K70" s="7"/>
      <c r="L70" s="7"/>
      <c r="M70" s="7"/>
      <c r="N70" s="7"/>
      <c r="O70" s="7"/>
      <c r="P70" s="7"/>
    </row>
    <row r="71" spans="1:18" x14ac:dyDescent="0.35">
      <c r="A71" s="48" t="s">
        <v>153</v>
      </c>
    </row>
    <row r="72" spans="1:18" x14ac:dyDescent="0.35">
      <c r="A72" s="48" t="s">
        <v>156</v>
      </c>
    </row>
    <row r="73" spans="1:18" x14ac:dyDescent="0.35">
      <c r="A73" s="48" t="s">
        <v>155</v>
      </c>
      <c r="E73" s="64"/>
      <c r="F73" s="64"/>
      <c r="G73" s="64"/>
    </row>
    <row r="74" spans="1:18" x14ac:dyDescent="0.35">
      <c r="A74" s="88"/>
      <c r="E74" s="64"/>
      <c r="F74" s="64"/>
      <c r="G74" s="64"/>
      <c r="I74" s="58"/>
      <c r="J74" s="58"/>
      <c r="K74" s="58"/>
      <c r="L74" s="58"/>
      <c r="M74" s="58"/>
      <c r="N74" s="58"/>
      <c r="O74" s="58"/>
      <c r="P74" s="58"/>
      <c r="Q74" s="58"/>
      <c r="R74" s="58"/>
    </row>
    <row r="75" spans="1:18" x14ac:dyDescent="0.35">
      <c r="A75" s="85"/>
      <c r="E75" s="5"/>
      <c r="F75" s="64"/>
      <c r="G75" s="59"/>
      <c r="I75" s="61"/>
      <c r="J75" s="61"/>
      <c r="K75" s="61"/>
      <c r="L75" s="60"/>
      <c r="M75" s="60"/>
      <c r="N75" s="60"/>
      <c r="O75" s="58"/>
      <c r="P75" s="58"/>
      <c r="Q75" s="58"/>
      <c r="R75" s="58"/>
    </row>
    <row r="76" spans="1:18" x14ac:dyDescent="0.35">
      <c r="A76" s="85"/>
      <c r="E76" s="47"/>
      <c r="F76" s="47"/>
      <c r="G76" s="47"/>
      <c r="J76" s="47"/>
      <c r="K76" s="47"/>
      <c r="L76" s="80"/>
      <c r="M76" s="80"/>
      <c r="N76" s="80"/>
    </row>
    <row r="77" spans="1:18" x14ac:dyDescent="0.35">
      <c r="A77" s="85"/>
      <c r="E77" s="5"/>
      <c r="F77" s="64"/>
      <c r="G77" s="59"/>
      <c r="I77" s="77"/>
      <c r="J77" s="77"/>
      <c r="K77" s="77"/>
      <c r="L77" s="82"/>
      <c r="M77" s="80"/>
      <c r="N77" s="80"/>
      <c r="P77" s="76"/>
      <c r="Q77" s="76"/>
    </row>
    <row r="78" spans="1:18" x14ac:dyDescent="0.35">
      <c r="A78" s="85"/>
      <c r="E78" s="47"/>
      <c r="F78" s="47"/>
      <c r="G78" s="47"/>
      <c r="I78" s="77"/>
      <c r="J78" s="77"/>
      <c r="K78" s="77"/>
      <c r="L78" s="77"/>
      <c r="M78" s="77"/>
      <c r="N78" s="77"/>
      <c r="P78" s="77"/>
      <c r="Q78" s="77"/>
    </row>
    <row r="79" spans="1:18" x14ac:dyDescent="0.35">
      <c r="A79" s="85"/>
      <c r="E79" s="5"/>
      <c r="F79" s="64"/>
      <c r="G79" s="59"/>
      <c r="I79" s="78"/>
      <c r="J79" s="79"/>
      <c r="K79" s="79"/>
      <c r="L79" s="75"/>
      <c r="M79" s="77"/>
      <c r="N79" s="77"/>
      <c r="P79" s="77"/>
      <c r="Q79" s="77"/>
    </row>
    <row r="80" spans="1:18" x14ac:dyDescent="0.35">
      <c r="A80" s="85"/>
      <c r="E80" s="81"/>
      <c r="F80" s="81"/>
      <c r="G80" s="81"/>
      <c r="I80" s="47"/>
      <c r="J80" s="57"/>
      <c r="K80" s="57"/>
      <c r="L80" s="60"/>
    </row>
    <row r="81" spans="1:11" x14ac:dyDescent="0.35">
      <c r="A81" s="85"/>
      <c r="D81" s="74"/>
      <c r="E81" s="81"/>
      <c r="F81" s="81"/>
      <c r="G81" s="81"/>
    </row>
    <row r="82" spans="1:11" x14ac:dyDescent="0.35">
      <c r="A82" s="85"/>
      <c r="D82" s="74"/>
      <c r="E82" s="6"/>
      <c r="G82" s="57"/>
      <c r="H82" s="57"/>
      <c r="I82" s="57"/>
    </row>
    <row r="83" spans="1:11" x14ac:dyDescent="0.35">
      <c r="G83" s="60"/>
      <c r="H83" s="73"/>
      <c r="I83" s="60"/>
      <c r="J83" s="73"/>
      <c r="K83" s="73"/>
    </row>
    <row r="85" spans="1:11" x14ac:dyDescent="0.35">
      <c r="F85" s="70"/>
    </row>
  </sheetData>
  <mergeCells count="14">
    <mergeCell ref="A38:C38"/>
    <mergeCell ref="A45:C45"/>
    <mergeCell ref="A52:C52"/>
    <mergeCell ref="A3:C3"/>
    <mergeCell ref="A10:C10"/>
    <mergeCell ref="A17:C17"/>
    <mergeCell ref="A24:C24"/>
    <mergeCell ref="A31:C31"/>
    <mergeCell ref="S1:U1"/>
    <mergeCell ref="D1:D2"/>
    <mergeCell ref="F1:F2"/>
    <mergeCell ref="G1:G2"/>
    <mergeCell ref="P1:Q1"/>
    <mergeCell ref="I1:M1"/>
  </mergeCells>
  <phoneticPr fontId="33" type="noConversion"/>
  <conditionalFormatting sqref="I59:K59">
    <cfRule type="top10" dxfId="356" priority="566" percent="1" rank="10"/>
  </conditionalFormatting>
  <conditionalFormatting sqref="P53:Q57 P11:Q15 P18:Q22 P25:Q29 P32:Q36 P39:Q43 P46:Q50 P4:Q9">
    <cfRule type="cellIs" dxfId="355" priority="487" operator="greaterThanOrEqual">
      <formula>0</formula>
    </cfRule>
    <cfRule type="cellIs" dxfId="354" priority="488" operator="lessThan">
      <formula>0</formula>
    </cfRule>
  </conditionalFormatting>
  <conditionalFormatting sqref="I4:I8">
    <cfRule type="cellIs" dxfId="353" priority="369" operator="greaterThanOrEqual">
      <formula>0</formula>
    </cfRule>
    <cfRule type="cellIs" dxfId="352" priority="370" operator="lessThan">
      <formula>0</formula>
    </cfRule>
  </conditionalFormatting>
  <conditionalFormatting sqref="J4:N4 J5:L8 M5:N9">
    <cfRule type="cellIs" dxfId="351" priority="367" operator="greaterThanOrEqual">
      <formula>0</formula>
    </cfRule>
    <cfRule type="cellIs" dxfId="350" priority="368" operator="lessThan">
      <formula>0</formula>
    </cfRule>
  </conditionalFormatting>
  <conditionalFormatting sqref="I11:I15">
    <cfRule type="cellIs" dxfId="349" priority="365" operator="greaterThanOrEqual">
      <formula>0</formula>
    </cfRule>
    <cfRule type="cellIs" dxfId="348" priority="366" operator="lessThan">
      <formula>0</formula>
    </cfRule>
  </conditionalFormatting>
  <conditionalFormatting sqref="L11:L15">
    <cfRule type="cellIs" dxfId="347" priority="363" operator="greaterThanOrEqual">
      <formula>0</formula>
    </cfRule>
    <cfRule type="cellIs" dxfId="346" priority="364" operator="lessThan">
      <formula>0</formula>
    </cfRule>
  </conditionalFormatting>
  <conditionalFormatting sqref="I18:I22">
    <cfRule type="cellIs" dxfId="345" priority="361" operator="greaterThanOrEqual">
      <formula>0</formula>
    </cfRule>
    <cfRule type="cellIs" dxfId="344" priority="362" operator="lessThan">
      <formula>0</formula>
    </cfRule>
  </conditionalFormatting>
  <conditionalFormatting sqref="L18:L22">
    <cfRule type="cellIs" dxfId="343" priority="359" operator="greaterThanOrEqual">
      <formula>0</formula>
    </cfRule>
    <cfRule type="cellIs" dxfId="342" priority="360" operator="lessThan">
      <formula>0</formula>
    </cfRule>
  </conditionalFormatting>
  <conditionalFormatting sqref="I25:I29">
    <cfRule type="cellIs" dxfId="341" priority="357" operator="greaterThanOrEqual">
      <formula>0</formula>
    </cfRule>
    <cfRule type="cellIs" dxfId="340" priority="358" operator="lessThan">
      <formula>0</formula>
    </cfRule>
  </conditionalFormatting>
  <conditionalFormatting sqref="L25:L29">
    <cfRule type="cellIs" dxfId="339" priority="355" operator="greaterThanOrEqual">
      <formula>0</formula>
    </cfRule>
    <cfRule type="cellIs" dxfId="338" priority="356" operator="lessThan">
      <formula>0</formula>
    </cfRule>
  </conditionalFormatting>
  <conditionalFormatting sqref="I32:I36">
    <cfRule type="cellIs" dxfId="337" priority="353" operator="greaterThanOrEqual">
      <formula>0</formula>
    </cfRule>
    <cfRule type="cellIs" dxfId="336" priority="354" operator="lessThan">
      <formula>0</formula>
    </cfRule>
  </conditionalFormatting>
  <conditionalFormatting sqref="L32:L36">
    <cfRule type="cellIs" dxfId="335" priority="351" operator="greaterThanOrEqual">
      <formula>0</formula>
    </cfRule>
    <cfRule type="cellIs" dxfId="334" priority="352" operator="lessThan">
      <formula>0</formula>
    </cfRule>
  </conditionalFormatting>
  <conditionalFormatting sqref="I39:I43">
    <cfRule type="cellIs" dxfId="333" priority="349" operator="greaterThanOrEqual">
      <formula>0</formula>
    </cfRule>
    <cfRule type="cellIs" dxfId="332" priority="350" operator="lessThan">
      <formula>0</formula>
    </cfRule>
  </conditionalFormatting>
  <conditionalFormatting sqref="L39:L43">
    <cfRule type="cellIs" dxfId="331" priority="347" operator="greaterThanOrEqual">
      <formula>0</formula>
    </cfRule>
    <cfRule type="cellIs" dxfId="330" priority="348" operator="lessThan">
      <formula>0</formula>
    </cfRule>
  </conditionalFormatting>
  <conditionalFormatting sqref="I46:I50">
    <cfRule type="cellIs" dxfId="329" priority="345" operator="greaterThanOrEqual">
      <formula>0</formula>
    </cfRule>
    <cfRule type="cellIs" dxfId="328" priority="346" operator="lessThan">
      <formula>0</formula>
    </cfRule>
  </conditionalFormatting>
  <conditionalFormatting sqref="L46:L50">
    <cfRule type="cellIs" dxfId="327" priority="343" operator="greaterThanOrEqual">
      <formula>0</formula>
    </cfRule>
    <cfRule type="cellIs" dxfId="326" priority="344" operator="lessThan">
      <formula>0</formula>
    </cfRule>
  </conditionalFormatting>
  <conditionalFormatting sqref="I53:I57">
    <cfRule type="cellIs" dxfId="325" priority="341" operator="greaterThanOrEqual">
      <formula>0</formula>
    </cfRule>
    <cfRule type="cellIs" dxfId="324" priority="342" operator="lessThan">
      <formula>0</formula>
    </cfRule>
  </conditionalFormatting>
  <conditionalFormatting sqref="L53:L57">
    <cfRule type="cellIs" dxfId="323" priority="339" operator="greaterThanOrEqual">
      <formula>0</formula>
    </cfRule>
    <cfRule type="cellIs" dxfId="322" priority="340" operator="lessThan">
      <formula>0</formula>
    </cfRule>
  </conditionalFormatting>
  <conditionalFormatting sqref="I3">
    <cfRule type="cellIs" dxfId="321" priority="309" operator="greaterThanOrEqual">
      <formula>0</formula>
    </cfRule>
    <cfRule type="cellIs" dxfId="320" priority="310" operator="lessThan">
      <formula>0</formula>
    </cfRule>
  </conditionalFormatting>
  <conditionalFormatting sqref="J3:N3">
    <cfRule type="cellIs" dxfId="319" priority="307" operator="greaterThanOrEqual">
      <formula>0</formula>
    </cfRule>
    <cfRule type="cellIs" dxfId="318" priority="308" operator="lessThan">
      <formula>0</formula>
    </cfRule>
  </conditionalFormatting>
  <conditionalFormatting sqref="I10">
    <cfRule type="cellIs" dxfId="317" priority="277" operator="greaterThanOrEqual">
      <formula>0</formula>
    </cfRule>
    <cfRule type="cellIs" dxfId="316" priority="278" operator="lessThan">
      <formula>0</formula>
    </cfRule>
  </conditionalFormatting>
  <conditionalFormatting sqref="J10 L10:M10">
    <cfRule type="cellIs" dxfId="315" priority="275" operator="greaterThanOrEqual">
      <formula>0</formula>
    </cfRule>
    <cfRule type="cellIs" dxfId="314" priority="276" operator="lessThan">
      <formula>0</formula>
    </cfRule>
  </conditionalFormatting>
  <conditionalFormatting sqref="I17">
    <cfRule type="cellIs" dxfId="313" priority="273" operator="greaterThanOrEqual">
      <formula>0</formula>
    </cfRule>
    <cfRule type="cellIs" dxfId="312" priority="274" operator="lessThan">
      <formula>0</formula>
    </cfRule>
  </conditionalFormatting>
  <conditionalFormatting sqref="J17 L17:M17">
    <cfRule type="cellIs" dxfId="311" priority="271" operator="greaterThanOrEqual">
      <formula>0</formula>
    </cfRule>
    <cfRule type="cellIs" dxfId="310" priority="272" operator="lessThan">
      <formula>0</formula>
    </cfRule>
  </conditionalFormatting>
  <conditionalFormatting sqref="I24">
    <cfRule type="cellIs" dxfId="309" priority="269" operator="greaterThanOrEqual">
      <formula>0</formula>
    </cfRule>
    <cfRule type="cellIs" dxfId="308" priority="270" operator="lessThan">
      <formula>0</formula>
    </cfRule>
  </conditionalFormatting>
  <conditionalFormatting sqref="J24 L24:M24">
    <cfRule type="cellIs" dxfId="307" priority="267" operator="greaterThanOrEqual">
      <formula>0</formula>
    </cfRule>
    <cfRule type="cellIs" dxfId="306" priority="268" operator="lessThan">
      <formula>0</formula>
    </cfRule>
  </conditionalFormatting>
  <conditionalFormatting sqref="I31">
    <cfRule type="cellIs" dxfId="305" priority="265" operator="greaterThanOrEqual">
      <formula>0</formula>
    </cfRule>
    <cfRule type="cellIs" dxfId="304" priority="266" operator="lessThan">
      <formula>0</formula>
    </cfRule>
  </conditionalFormatting>
  <conditionalFormatting sqref="J31 L31:M31">
    <cfRule type="cellIs" dxfId="303" priority="263" operator="greaterThanOrEqual">
      <formula>0</formula>
    </cfRule>
    <cfRule type="cellIs" dxfId="302" priority="264" operator="lessThan">
      <formula>0</formula>
    </cfRule>
  </conditionalFormatting>
  <conditionalFormatting sqref="I38">
    <cfRule type="cellIs" dxfId="301" priority="261" operator="greaterThanOrEqual">
      <formula>0</formula>
    </cfRule>
    <cfRule type="cellIs" dxfId="300" priority="262" operator="lessThan">
      <formula>0</formula>
    </cfRule>
  </conditionalFormatting>
  <conditionalFormatting sqref="J38 L38:M38">
    <cfRule type="cellIs" dxfId="299" priority="259" operator="greaterThanOrEqual">
      <formula>0</formula>
    </cfRule>
    <cfRule type="cellIs" dxfId="298" priority="260" operator="lessThan">
      <formula>0</formula>
    </cfRule>
  </conditionalFormatting>
  <conditionalFormatting sqref="I45">
    <cfRule type="cellIs" dxfId="297" priority="257" operator="greaterThanOrEqual">
      <formula>0</formula>
    </cfRule>
    <cfRule type="cellIs" dxfId="296" priority="258" operator="lessThan">
      <formula>0</formula>
    </cfRule>
  </conditionalFormatting>
  <conditionalFormatting sqref="J45 L45:M45">
    <cfRule type="cellIs" dxfId="295" priority="255" operator="greaterThanOrEqual">
      <formula>0</formula>
    </cfRule>
    <cfRule type="cellIs" dxfId="294" priority="256" operator="lessThan">
      <formula>0</formula>
    </cfRule>
  </conditionalFormatting>
  <conditionalFormatting sqref="I52">
    <cfRule type="cellIs" dxfId="293" priority="253" operator="greaterThanOrEqual">
      <formula>0</formula>
    </cfRule>
    <cfRule type="cellIs" dxfId="292" priority="254" operator="lessThan">
      <formula>0</formula>
    </cfRule>
  </conditionalFormatting>
  <conditionalFormatting sqref="J52 L52:M52">
    <cfRule type="cellIs" dxfId="291" priority="251" operator="greaterThanOrEqual">
      <formula>0</formula>
    </cfRule>
    <cfRule type="cellIs" dxfId="290" priority="252" operator="lessThan">
      <formula>0</formula>
    </cfRule>
  </conditionalFormatting>
  <conditionalFormatting sqref="J11:J15">
    <cfRule type="cellIs" dxfId="289" priority="249" operator="greaterThanOrEqual">
      <formula>0</formula>
    </cfRule>
    <cfRule type="cellIs" dxfId="288" priority="250" operator="lessThan">
      <formula>0</formula>
    </cfRule>
  </conditionalFormatting>
  <conditionalFormatting sqref="J18:J22">
    <cfRule type="cellIs" dxfId="287" priority="247" operator="greaterThanOrEqual">
      <formula>0</formula>
    </cfRule>
    <cfRule type="cellIs" dxfId="286" priority="248" operator="lessThan">
      <formula>0</formula>
    </cfRule>
  </conditionalFormatting>
  <conditionalFormatting sqref="J25:J29">
    <cfRule type="cellIs" dxfId="285" priority="245" operator="greaterThanOrEqual">
      <formula>0</formula>
    </cfRule>
    <cfRule type="cellIs" dxfId="284" priority="246" operator="lessThan">
      <formula>0</formula>
    </cfRule>
  </conditionalFormatting>
  <conditionalFormatting sqref="J32:J36">
    <cfRule type="cellIs" dxfId="283" priority="243" operator="greaterThanOrEqual">
      <formula>0</formula>
    </cfRule>
    <cfRule type="cellIs" dxfId="282" priority="244" operator="lessThan">
      <formula>0</formula>
    </cfRule>
  </conditionalFormatting>
  <conditionalFormatting sqref="J39:J43">
    <cfRule type="cellIs" dxfId="281" priority="241" operator="greaterThanOrEqual">
      <formula>0</formula>
    </cfRule>
    <cfRule type="cellIs" dxfId="280" priority="242" operator="lessThan">
      <formula>0</formula>
    </cfRule>
  </conditionalFormatting>
  <conditionalFormatting sqref="J46:J50">
    <cfRule type="cellIs" dxfId="279" priority="239" operator="greaterThanOrEqual">
      <formula>0</formula>
    </cfRule>
    <cfRule type="cellIs" dxfId="278" priority="240" operator="lessThan">
      <formula>0</formula>
    </cfRule>
  </conditionalFormatting>
  <conditionalFormatting sqref="J53:J57">
    <cfRule type="cellIs" dxfId="277" priority="237" operator="greaterThanOrEqual">
      <formula>0</formula>
    </cfRule>
    <cfRule type="cellIs" dxfId="276" priority="238" operator="lessThan">
      <formula>0</formula>
    </cfRule>
  </conditionalFormatting>
  <conditionalFormatting sqref="I9">
    <cfRule type="cellIs" dxfId="275" priority="219" operator="greaterThanOrEqual">
      <formula>0</formula>
    </cfRule>
    <cfRule type="cellIs" dxfId="274" priority="220" operator="lessThan">
      <formula>0</formula>
    </cfRule>
  </conditionalFormatting>
  <conditionalFormatting sqref="J9:L9">
    <cfRule type="cellIs" dxfId="273" priority="217" operator="greaterThanOrEqual">
      <formula>0</formula>
    </cfRule>
    <cfRule type="cellIs" dxfId="272" priority="218" operator="lessThan">
      <formula>0</formula>
    </cfRule>
  </conditionalFormatting>
  <conditionalFormatting sqref="P16:Q16">
    <cfRule type="cellIs" dxfId="271" priority="145" operator="greaterThanOrEqual">
      <formula>0</formula>
    </cfRule>
    <cfRule type="cellIs" dxfId="270" priority="146" operator="lessThan">
      <formula>0</formula>
    </cfRule>
  </conditionalFormatting>
  <conditionalFormatting sqref="I16">
    <cfRule type="cellIs" dxfId="269" priority="143" operator="greaterThanOrEqual">
      <formula>0</formula>
    </cfRule>
    <cfRule type="cellIs" dxfId="268" priority="144" operator="lessThan">
      <formula>0</formula>
    </cfRule>
  </conditionalFormatting>
  <conditionalFormatting sqref="J16 L16">
    <cfRule type="cellIs" dxfId="267" priority="141" operator="greaterThanOrEqual">
      <formula>0</formula>
    </cfRule>
    <cfRule type="cellIs" dxfId="266" priority="142" operator="lessThan">
      <formula>0</formula>
    </cfRule>
  </conditionalFormatting>
  <conditionalFormatting sqref="P23:Q23">
    <cfRule type="cellIs" dxfId="265" priority="139" operator="greaterThanOrEqual">
      <formula>0</formula>
    </cfRule>
    <cfRule type="cellIs" dxfId="264" priority="140" operator="lessThan">
      <formula>0</formula>
    </cfRule>
  </conditionalFormatting>
  <conditionalFormatting sqref="I23">
    <cfRule type="cellIs" dxfId="263" priority="137" operator="greaterThanOrEqual">
      <formula>0</formula>
    </cfRule>
    <cfRule type="cellIs" dxfId="262" priority="138" operator="lessThan">
      <formula>0</formula>
    </cfRule>
  </conditionalFormatting>
  <conditionalFormatting sqref="J23 L23">
    <cfRule type="cellIs" dxfId="261" priority="135" operator="greaterThanOrEqual">
      <formula>0</formula>
    </cfRule>
    <cfRule type="cellIs" dxfId="260" priority="136" operator="lessThan">
      <formula>0</formula>
    </cfRule>
  </conditionalFormatting>
  <conditionalFormatting sqref="P30:Q30">
    <cfRule type="cellIs" dxfId="259" priority="133" operator="greaterThanOrEqual">
      <formula>0</formula>
    </cfRule>
    <cfRule type="cellIs" dxfId="258" priority="134" operator="lessThan">
      <formula>0</formula>
    </cfRule>
  </conditionalFormatting>
  <conditionalFormatting sqref="I30">
    <cfRule type="cellIs" dxfId="257" priority="131" operator="greaterThanOrEqual">
      <formula>0</formula>
    </cfRule>
    <cfRule type="cellIs" dxfId="256" priority="132" operator="lessThan">
      <formula>0</formula>
    </cfRule>
  </conditionalFormatting>
  <conditionalFormatting sqref="J30 L30">
    <cfRule type="cellIs" dxfId="255" priority="129" operator="greaterThanOrEqual">
      <formula>0</formula>
    </cfRule>
    <cfRule type="cellIs" dxfId="254" priority="130" operator="lessThan">
      <formula>0</formula>
    </cfRule>
  </conditionalFormatting>
  <conditionalFormatting sqref="P37:Q37">
    <cfRule type="cellIs" dxfId="253" priority="127" operator="greaterThanOrEqual">
      <formula>0</formula>
    </cfRule>
    <cfRule type="cellIs" dxfId="252" priority="128" operator="lessThan">
      <formula>0</formula>
    </cfRule>
  </conditionalFormatting>
  <conditionalFormatting sqref="I37">
    <cfRule type="cellIs" dxfId="251" priority="125" operator="greaterThanOrEqual">
      <formula>0</formula>
    </cfRule>
    <cfRule type="cellIs" dxfId="250" priority="126" operator="lessThan">
      <formula>0</formula>
    </cfRule>
  </conditionalFormatting>
  <conditionalFormatting sqref="J37 L37">
    <cfRule type="cellIs" dxfId="249" priority="123" operator="greaterThanOrEqual">
      <formula>0</formula>
    </cfRule>
    <cfRule type="cellIs" dxfId="248" priority="124" operator="lessThan">
      <formula>0</formula>
    </cfRule>
  </conditionalFormatting>
  <conditionalFormatting sqref="P44:Q44">
    <cfRule type="cellIs" dxfId="247" priority="121" operator="greaterThanOrEqual">
      <formula>0</formula>
    </cfRule>
    <cfRule type="cellIs" dxfId="246" priority="122" operator="lessThan">
      <formula>0</formula>
    </cfRule>
  </conditionalFormatting>
  <conditionalFormatting sqref="I44">
    <cfRule type="cellIs" dxfId="245" priority="119" operator="greaterThanOrEqual">
      <formula>0</formula>
    </cfRule>
    <cfRule type="cellIs" dxfId="244" priority="120" operator="lessThan">
      <formula>0</formula>
    </cfRule>
  </conditionalFormatting>
  <conditionalFormatting sqref="J44 L44">
    <cfRule type="cellIs" dxfId="243" priority="117" operator="greaterThanOrEqual">
      <formula>0</formula>
    </cfRule>
    <cfRule type="cellIs" dxfId="242" priority="118" operator="lessThan">
      <formula>0</formula>
    </cfRule>
  </conditionalFormatting>
  <conditionalFormatting sqref="P51:Q51">
    <cfRule type="cellIs" dxfId="241" priority="115" operator="greaterThanOrEqual">
      <formula>0</formula>
    </cfRule>
    <cfRule type="cellIs" dxfId="240" priority="116" operator="lessThan">
      <formula>0</formula>
    </cfRule>
  </conditionalFormatting>
  <conditionalFormatting sqref="I51">
    <cfRule type="cellIs" dxfId="239" priority="113" operator="greaterThanOrEqual">
      <formula>0</formula>
    </cfRule>
    <cfRule type="cellIs" dxfId="238" priority="114" operator="lessThan">
      <formula>0</formula>
    </cfRule>
  </conditionalFormatting>
  <conditionalFormatting sqref="J51 L51">
    <cfRule type="cellIs" dxfId="237" priority="111" operator="greaterThanOrEqual">
      <formula>0</formula>
    </cfRule>
    <cfRule type="cellIs" dxfId="236" priority="112" operator="lessThan">
      <formula>0</formula>
    </cfRule>
  </conditionalFormatting>
  <conditionalFormatting sqref="P58:Q58">
    <cfRule type="cellIs" dxfId="235" priority="109" operator="greaterThanOrEqual">
      <formula>0</formula>
    </cfRule>
    <cfRule type="cellIs" dxfId="234" priority="110" operator="lessThan">
      <formula>0</formula>
    </cfRule>
  </conditionalFormatting>
  <conditionalFormatting sqref="I58">
    <cfRule type="cellIs" dxfId="233" priority="107" operator="greaterThanOrEqual">
      <formula>0</formula>
    </cfRule>
    <cfRule type="cellIs" dxfId="232" priority="108" operator="lessThan">
      <formula>0</formula>
    </cfRule>
  </conditionalFormatting>
  <conditionalFormatting sqref="J58 L58">
    <cfRule type="cellIs" dxfId="231" priority="105" operator="greaterThanOrEqual">
      <formula>0</formula>
    </cfRule>
    <cfRule type="cellIs" dxfId="230" priority="106" operator="lessThan">
      <formula>0</formula>
    </cfRule>
  </conditionalFormatting>
  <conditionalFormatting sqref="K11:K15">
    <cfRule type="cellIs" dxfId="229" priority="87" operator="greaterThanOrEqual">
      <formula>0</formula>
    </cfRule>
    <cfRule type="cellIs" dxfId="228" priority="88" operator="lessThan">
      <formula>0</formula>
    </cfRule>
  </conditionalFormatting>
  <conditionalFormatting sqref="K10">
    <cfRule type="cellIs" dxfId="227" priority="85" operator="greaterThanOrEqual">
      <formula>0</formula>
    </cfRule>
    <cfRule type="cellIs" dxfId="226" priority="86" operator="lessThan">
      <formula>0</formula>
    </cfRule>
  </conditionalFormatting>
  <conditionalFormatting sqref="K16">
    <cfRule type="cellIs" dxfId="225" priority="83" operator="greaterThanOrEqual">
      <formula>0</formula>
    </cfRule>
    <cfRule type="cellIs" dxfId="224" priority="84" operator="lessThan">
      <formula>0</formula>
    </cfRule>
  </conditionalFormatting>
  <conditionalFormatting sqref="K18:K22">
    <cfRule type="cellIs" dxfId="223" priority="81" operator="greaterThanOrEqual">
      <formula>0</formula>
    </cfRule>
    <cfRule type="cellIs" dxfId="222" priority="82" operator="lessThan">
      <formula>0</formula>
    </cfRule>
  </conditionalFormatting>
  <conditionalFormatting sqref="K17">
    <cfRule type="cellIs" dxfId="221" priority="79" operator="greaterThanOrEqual">
      <formula>0</formula>
    </cfRule>
    <cfRule type="cellIs" dxfId="220" priority="80" operator="lessThan">
      <formula>0</formula>
    </cfRule>
  </conditionalFormatting>
  <conditionalFormatting sqref="K23">
    <cfRule type="cellIs" dxfId="219" priority="77" operator="greaterThanOrEqual">
      <formula>0</formula>
    </cfRule>
    <cfRule type="cellIs" dxfId="218" priority="78" operator="lessThan">
      <formula>0</formula>
    </cfRule>
  </conditionalFormatting>
  <conditionalFormatting sqref="K25:K29">
    <cfRule type="cellIs" dxfId="217" priority="75" operator="greaterThanOrEqual">
      <formula>0</formula>
    </cfRule>
    <cfRule type="cellIs" dxfId="216" priority="76" operator="lessThan">
      <formula>0</formula>
    </cfRule>
  </conditionalFormatting>
  <conditionalFormatting sqref="K24">
    <cfRule type="cellIs" dxfId="215" priority="73" operator="greaterThanOrEqual">
      <formula>0</formula>
    </cfRule>
    <cfRule type="cellIs" dxfId="214" priority="74" operator="lessThan">
      <formula>0</formula>
    </cfRule>
  </conditionalFormatting>
  <conditionalFormatting sqref="K30">
    <cfRule type="cellIs" dxfId="213" priority="71" operator="greaterThanOrEqual">
      <formula>0</formula>
    </cfRule>
    <cfRule type="cellIs" dxfId="212" priority="72" operator="lessThan">
      <formula>0</formula>
    </cfRule>
  </conditionalFormatting>
  <conditionalFormatting sqref="K32:K36">
    <cfRule type="cellIs" dxfId="211" priority="69" operator="greaterThanOrEqual">
      <formula>0</formula>
    </cfRule>
    <cfRule type="cellIs" dxfId="210" priority="70" operator="lessThan">
      <formula>0</formula>
    </cfRule>
  </conditionalFormatting>
  <conditionalFormatting sqref="K31">
    <cfRule type="cellIs" dxfId="209" priority="67" operator="greaterThanOrEqual">
      <formula>0</formula>
    </cfRule>
    <cfRule type="cellIs" dxfId="208" priority="68" operator="lessThan">
      <formula>0</formula>
    </cfRule>
  </conditionalFormatting>
  <conditionalFormatting sqref="K37">
    <cfRule type="cellIs" dxfId="207" priority="65" operator="greaterThanOrEqual">
      <formula>0</formula>
    </cfRule>
    <cfRule type="cellIs" dxfId="206" priority="66" operator="lessThan">
      <formula>0</formula>
    </cfRule>
  </conditionalFormatting>
  <conditionalFormatting sqref="K39:K43">
    <cfRule type="cellIs" dxfId="205" priority="63" operator="greaterThanOrEqual">
      <formula>0</formula>
    </cfRule>
    <cfRule type="cellIs" dxfId="204" priority="64" operator="lessThan">
      <formula>0</formula>
    </cfRule>
  </conditionalFormatting>
  <conditionalFormatting sqref="K38">
    <cfRule type="cellIs" dxfId="203" priority="61" operator="greaterThanOrEqual">
      <formula>0</formula>
    </cfRule>
    <cfRule type="cellIs" dxfId="202" priority="62" operator="lessThan">
      <formula>0</formula>
    </cfRule>
  </conditionalFormatting>
  <conditionalFormatting sqref="K44">
    <cfRule type="cellIs" dxfId="201" priority="59" operator="greaterThanOrEqual">
      <formula>0</formula>
    </cfRule>
    <cfRule type="cellIs" dxfId="200" priority="60" operator="lessThan">
      <formula>0</formula>
    </cfRule>
  </conditionalFormatting>
  <conditionalFormatting sqref="K46:K50">
    <cfRule type="cellIs" dxfId="199" priority="57" operator="greaterThanOrEqual">
      <formula>0</formula>
    </cfRule>
    <cfRule type="cellIs" dxfId="198" priority="58" operator="lessThan">
      <formula>0</formula>
    </cfRule>
  </conditionalFormatting>
  <conditionalFormatting sqref="K45">
    <cfRule type="cellIs" dxfId="197" priority="55" operator="greaterThanOrEqual">
      <formula>0</formula>
    </cfRule>
    <cfRule type="cellIs" dxfId="196" priority="56" operator="lessThan">
      <formula>0</formula>
    </cfRule>
  </conditionalFormatting>
  <conditionalFormatting sqref="K51">
    <cfRule type="cellIs" dxfId="195" priority="53" operator="greaterThanOrEqual">
      <formula>0</formula>
    </cfRule>
    <cfRule type="cellIs" dxfId="194" priority="54" operator="lessThan">
      <formula>0</formula>
    </cfRule>
  </conditionalFormatting>
  <conditionalFormatting sqref="K53:K57">
    <cfRule type="cellIs" dxfId="193" priority="51" operator="greaterThanOrEqual">
      <formula>0</formula>
    </cfRule>
    <cfRule type="cellIs" dxfId="192" priority="52" operator="lessThan">
      <formula>0</formula>
    </cfRule>
  </conditionalFormatting>
  <conditionalFormatting sqref="K52">
    <cfRule type="cellIs" dxfId="191" priority="49" operator="greaterThanOrEqual">
      <formula>0</formula>
    </cfRule>
    <cfRule type="cellIs" dxfId="190" priority="50" operator="lessThan">
      <formula>0</formula>
    </cfRule>
  </conditionalFormatting>
  <conditionalFormatting sqref="K58">
    <cfRule type="cellIs" dxfId="189" priority="47" operator="greaterThanOrEqual">
      <formula>0</formula>
    </cfRule>
    <cfRule type="cellIs" dxfId="188" priority="48" operator="lessThan">
      <formula>0</formula>
    </cfRule>
  </conditionalFormatting>
  <conditionalFormatting sqref="M11:M16">
    <cfRule type="cellIs" dxfId="187" priority="45" operator="greaterThanOrEqual">
      <formula>0</formula>
    </cfRule>
    <cfRule type="cellIs" dxfId="186" priority="46" operator="lessThan">
      <formula>0</formula>
    </cfRule>
  </conditionalFormatting>
  <conditionalFormatting sqref="M18:M23">
    <cfRule type="cellIs" dxfId="185" priority="43" operator="greaterThanOrEqual">
      <formula>0</formula>
    </cfRule>
    <cfRule type="cellIs" dxfId="184" priority="44" operator="lessThan">
      <formula>0</formula>
    </cfRule>
  </conditionalFormatting>
  <conditionalFormatting sqref="M25:M30">
    <cfRule type="cellIs" dxfId="183" priority="41" operator="greaterThanOrEqual">
      <formula>0</formula>
    </cfRule>
    <cfRule type="cellIs" dxfId="182" priority="42" operator="lessThan">
      <formula>0</formula>
    </cfRule>
  </conditionalFormatting>
  <conditionalFormatting sqref="M32:M37">
    <cfRule type="cellIs" dxfId="181" priority="39" operator="greaterThanOrEqual">
      <formula>0</formula>
    </cfRule>
    <cfRule type="cellIs" dxfId="180" priority="40" operator="lessThan">
      <formula>0</formula>
    </cfRule>
  </conditionalFormatting>
  <conditionalFormatting sqref="M39:M44">
    <cfRule type="cellIs" dxfId="179" priority="37" operator="greaterThanOrEqual">
      <formula>0</formula>
    </cfRule>
    <cfRule type="cellIs" dxfId="178" priority="38" operator="lessThan">
      <formula>0</formula>
    </cfRule>
  </conditionalFormatting>
  <conditionalFormatting sqref="M46:M51">
    <cfRule type="cellIs" dxfId="177" priority="35" operator="greaterThanOrEqual">
      <formula>0</formula>
    </cfRule>
    <cfRule type="cellIs" dxfId="176" priority="36" operator="lessThan">
      <formula>0</formula>
    </cfRule>
  </conditionalFormatting>
  <conditionalFormatting sqref="M53:M58">
    <cfRule type="cellIs" dxfId="175" priority="33" operator="greaterThanOrEqual">
      <formula>0</formula>
    </cfRule>
    <cfRule type="cellIs" dxfId="174" priority="34" operator="lessThan">
      <formula>0</formula>
    </cfRule>
  </conditionalFormatting>
  <conditionalFormatting sqref="N11:N16">
    <cfRule type="cellIs" dxfId="173" priority="27" operator="greaterThanOrEqual">
      <formula>0</formula>
    </cfRule>
    <cfRule type="cellIs" dxfId="172" priority="28" operator="lessThan">
      <formula>0</formula>
    </cfRule>
  </conditionalFormatting>
  <conditionalFormatting sqref="N18:N23">
    <cfRule type="cellIs" dxfId="171" priority="25" operator="greaterThanOrEqual">
      <formula>0</formula>
    </cfRule>
    <cfRule type="cellIs" dxfId="170" priority="26" operator="lessThan">
      <formula>0</formula>
    </cfRule>
  </conditionalFormatting>
  <conditionalFormatting sqref="N25:N30">
    <cfRule type="cellIs" dxfId="169" priority="23" operator="greaterThanOrEqual">
      <formula>0</formula>
    </cfRule>
    <cfRule type="cellIs" dxfId="168" priority="24" operator="lessThan">
      <formula>0</formula>
    </cfRule>
  </conditionalFormatting>
  <conditionalFormatting sqref="N32:N37">
    <cfRule type="cellIs" dxfId="167" priority="21" operator="greaterThanOrEqual">
      <formula>0</formula>
    </cfRule>
    <cfRule type="cellIs" dxfId="166" priority="22" operator="lessThan">
      <formula>0</formula>
    </cfRule>
  </conditionalFormatting>
  <conditionalFormatting sqref="N39:N44">
    <cfRule type="cellIs" dxfId="165" priority="19" operator="greaterThanOrEqual">
      <formula>0</formula>
    </cfRule>
    <cfRule type="cellIs" dxfId="164" priority="20" operator="lessThan">
      <formula>0</formula>
    </cfRule>
  </conditionalFormatting>
  <conditionalFormatting sqref="N46:N51">
    <cfRule type="cellIs" dxfId="163" priority="17" operator="greaterThanOrEqual">
      <formula>0</formula>
    </cfRule>
    <cfRule type="cellIs" dxfId="162" priority="18" operator="lessThan">
      <formula>0</formula>
    </cfRule>
  </conditionalFormatting>
  <conditionalFormatting sqref="N53:N58">
    <cfRule type="cellIs" dxfId="161" priority="15" operator="greaterThanOrEqual">
      <formula>0</formula>
    </cfRule>
    <cfRule type="cellIs" dxfId="160" priority="16" operator="lessThan">
      <formula>0</formula>
    </cfRule>
  </conditionalFormatting>
  <conditionalFormatting sqref="N10">
    <cfRule type="cellIs" dxfId="159" priority="13" operator="greaterThanOrEqual">
      <formula>0</formula>
    </cfRule>
    <cfRule type="cellIs" dxfId="158" priority="14" operator="lessThan">
      <formula>0</formula>
    </cfRule>
  </conditionalFormatting>
  <conditionalFormatting sqref="N17">
    <cfRule type="cellIs" dxfId="157" priority="11" operator="greaterThanOrEqual">
      <formula>0</formula>
    </cfRule>
    <cfRule type="cellIs" dxfId="156" priority="12" operator="lessThan">
      <formula>0</formula>
    </cfRule>
  </conditionalFormatting>
  <conditionalFormatting sqref="N24">
    <cfRule type="cellIs" dxfId="155" priority="9" operator="greaterThanOrEqual">
      <formula>0</formula>
    </cfRule>
    <cfRule type="cellIs" dxfId="154" priority="10" operator="lessThan">
      <formula>0</formula>
    </cfRule>
  </conditionalFormatting>
  <conditionalFormatting sqref="N31">
    <cfRule type="cellIs" dxfId="153" priority="7" operator="greaterThanOrEqual">
      <formula>0</formula>
    </cfRule>
    <cfRule type="cellIs" dxfId="152" priority="8" operator="lessThan">
      <formula>0</formula>
    </cfRule>
  </conditionalFormatting>
  <conditionalFormatting sqref="N38">
    <cfRule type="cellIs" dxfId="151" priority="5" operator="greaterThanOrEqual">
      <formula>0</formula>
    </cfRule>
    <cfRule type="cellIs" dxfId="150" priority="6" operator="lessThan">
      <formula>0</formula>
    </cfRule>
  </conditionalFormatting>
  <conditionalFormatting sqref="N45">
    <cfRule type="cellIs" dxfId="149" priority="3" operator="greaterThanOrEqual">
      <formula>0</formula>
    </cfRule>
    <cfRule type="cellIs" dxfId="148" priority="4" operator="lessThan">
      <formula>0</formula>
    </cfRule>
  </conditionalFormatting>
  <conditionalFormatting sqref="N52">
    <cfRule type="cellIs" dxfId="147" priority="1" operator="greaterThanOrEqual">
      <formula>0</formula>
    </cfRule>
    <cfRule type="cellIs" dxfId="146" priority="2" operator="lessThan">
      <formula>0</formula>
    </cfRule>
  </conditionalFormatting>
  <hyperlinks>
    <hyperlink ref="E1" location="Strategijų_palyginimas!A1" display="Strategija " xr:uid="{00000000-0004-0000-0000-000000000000}"/>
    <hyperlink ref="A3" location="'1996-2002'!A1" display="Tikslinės pensijų fondų dalyvių grupės pensijų fondai, 1996-2002" xr:uid="{00000000-0004-0000-0000-000001000000}"/>
    <hyperlink ref="A10" location="'1989-1995'!A1" display="Tikslinės pensijų fondų dalyvių grupės pensijų fondai, 1989-1995" xr:uid="{00000000-0004-0000-0000-000002000000}"/>
    <hyperlink ref="A17" location="'1982-1988'!A1" display="Tikslinės pensijų fondų dalyvių grupės pensijų fondai, 1982-1988" xr:uid="{00000000-0004-0000-0000-000003000000}"/>
    <hyperlink ref="A24" location="'1975-1981'!A1" display="Tikslinės pensijų fondų dalyvių grupės pensijų fondai, 1975-1981" xr:uid="{00000000-0004-0000-0000-000004000000}"/>
    <hyperlink ref="A31" location="'1968-1974'!A1" display="Tikslinės pensijų fondų dalyvių grupės pensijų fondai, 1968-1974" xr:uid="{00000000-0004-0000-0000-000005000000}"/>
    <hyperlink ref="A38" location="'1961-1967'!A1" display="Tikslinės pensijų fondų dalyvių grupės pensijų fondai, 1961-1967" xr:uid="{00000000-0004-0000-0000-000006000000}"/>
    <hyperlink ref="A45" location="'1954-1960'!A1" display="Tikslinės pensijų fondų dalyvių grupės pensijų fondai, 1954-1960" xr:uid="{00000000-0004-0000-0000-000007000000}"/>
    <hyperlink ref="A52" location="TIF!A1" display="Pensijų turto išsaugojimo pensijų fondai" xr:uid="{00000000-0004-0000-0000-000008000000}"/>
  </hyperlinks>
  <pageMargins left="0.7" right="0.7" top="0.75" bottom="0.75" header="0.3" footer="0.3"/>
  <pageSetup paperSize="9" orientation="portrait" horizontalDpi="300" verticalDpi="300" r:id="rId1"/>
  <headerFooter>
    <oddHeader>&amp;R&amp;"Calibri"&amp;10&amp;K000000LB RIBOTO NAUDOJIMO (RESTRICTED)&amp;1#</oddHeader>
    <oddFooter>&amp;R&amp;1#&amp;"Calibri"&amp;10&amp;K000000LB RIBOTO NAUDOJIMO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70"/>
  <sheetViews>
    <sheetView showGridLines="0" zoomScale="70" zoomScaleNormal="70" workbookViewId="0"/>
  </sheetViews>
  <sheetFormatPr defaultColWidth="8.81640625" defaultRowHeight="15.5" x14ac:dyDescent="0.35"/>
  <cols>
    <col min="1" max="1" width="44.54296875" style="16" customWidth="1"/>
    <col min="2" max="2" width="14.81640625" style="16" bestFit="1" customWidth="1"/>
    <col min="3" max="3" width="67.54296875" style="16" customWidth="1"/>
    <col min="4" max="4" width="15.54296875" style="16" customWidth="1"/>
    <col min="5" max="5" width="16.1796875" style="16" bestFit="1" customWidth="1"/>
    <col min="6" max="6" width="17" style="16" customWidth="1"/>
    <col min="7" max="7" width="17.81640625" style="16" customWidth="1"/>
    <col min="8" max="8" width="1.453125" style="16" customWidth="1"/>
    <col min="9" max="9" width="16.54296875" style="16" customWidth="1"/>
    <col min="10" max="12" width="17.453125" style="16" customWidth="1"/>
    <col min="13" max="14" width="16.54296875" style="16" customWidth="1"/>
    <col min="15" max="15" width="1.453125" style="16" customWidth="1"/>
    <col min="16" max="16" width="15.81640625" style="16" customWidth="1"/>
    <col min="17" max="17" width="18.1796875" style="16" customWidth="1"/>
    <col min="18" max="18" width="1.453125" style="16" customWidth="1"/>
    <col min="19" max="19" width="15.453125" style="16" customWidth="1"/>
    <col min="20" max="20" width="14.453125" style="16" customWidth="1"/>
    <col min="21" max="21" width="17.453125" style="16" customWidth="1"/>
    <col min="22" max="16384" width="8.81640625" style="16"/>
  </cols>
  <sheetData>
    <row r="1" spans="1:23" ht="22.4" customHeight="1" x14ac:dyDescent="0.35">
      <c r="A1" s="91">
        <v>45657</v>
      </c>
      <c r="B1" s="25"/>
      <c r="C1" s="90" t="s">
        <v>76</v>
      </c>
      <c r="D1" s="100" t="s">
        <v>90</v>
      </c>
      <c r="E1" s="30" t="s">
        <v>75</v>
      </c>
      <c r="F1" s="100" t="s">
        <v>100</v>
      </c>
      <c r="G1" s="100" t="s">
        <v>71</v>
      </c>
      <c r="H1" s="27"/>
      <c r="I1" s="98" t="s">
        <v>72</v>
      </c>
      <c r="J1" s="104">
        <v>0</v>
      </c>
      <c r="K1" s="104"/>
      <c r="L1" s="104">
        <v>0</v>
      </c>
      <c r="M1" s="104">
        <v>0</v>
      </c>
      <c r="N1" s="87"/>
      <c r="O1" s="28"/>
      <c r="P1" s="102" t="s">
        <v>97</v>
      </c>
      <c r="Q1" s="103">
        <v>0</v>
      </c>
      <c r="R1" s="28"/>
      <c r="S1" s="98" t="s">
        <v>164</v>
      </c>
      <c r="T1" s="104">
        <v>0</v>
      </c>
      <c r="U1" s="104">
        <v>0</v>
      </c>
    </row>
    <row r="2" spans="1:23" ht="92.5" customHeight="1" x14ac:dyDescent="0.35">
      <c r="A2" s="24" t="s">
        <v>42</v>
      </c>
      <c r="B2" s="24" t="s">
        <v>43</v>
      </c>
      <c r="C2" s="24" t="s">
        <v>44</v>
      </c>
      <c r="D2" s="101">
        <v>0</v>
      </c>
      <c r="E2" s="24" t="s">
        <v>99</v>
      </c>
      <c r="F2" s="101">
        <v>0</v>
      </c>
      <c r="G2" s="101">
        <v>0</v>
      </c>
      <c r="H2" s="27"/>
      <c r="I2" s="62" t="s">
        <v>92</v>
      </c>
      <c r="J2" s="24" t="s">
        <v>157</v>
      </c>
      <c r="K2" s="24" t="s">
        <v>158</v>
      </c>
      <c r="L2" s="24" t="s">
        <v>94</v>
      </c>
      <c r="M2" s="24" t="s">
        <v>159</v>
      </c>
      <c r="N2" s="24" t="s">
        <v>160</v>
      </c>
      <c r="O2" s="29"/>
      <c r="P2" s="24" t="s">
        <v>111</v>
      </c>
      <c r="Q2" s="24" t="s">
        <v>112</v>
      </c>
      <c r="R2" s="29"/>
      <c r="S2" s="24" t="s">
        <v>149</v>
      </c>
      <c r="T2" s="24" t="s">
        <v>150</v>
      </c>
      <c r="U2" s="24" t="s">
        <v>151</v>
      </c>
    </row>
    <row r="3" spans="1:23" ht="29.15" customHeight="1" x14ac:dyDescent="0.35">
      <c r="A3" s="105" t="s">
        <v>45</v>
      </c>
      <c r="B3" s="105"/>
      <c r="C3" s="105"/>
      <c r="D3" s="43"/>
      <c r="E3" s="43"/>
      <c r="F3" s="44"/>
      <c r="G3" s="69" t="s">
        <v>98</v>
      </c>
      <c r="H3" s="44"/>
      <c r="I3" s="66">
        <v>20.315129518655077</v>
      </c>
      <c r="J3" s="66">
        <v>5.8745881075853115</v>
      </c>
      <c r="K3" s="66">
        <v>10.48811013187083</v>
      </c>
      <c r="L3" s="66">
        <v>24.114960340974658</v>
      </c>
      <c r="M3" s="66">
        <v>8.0455473500028578</v>
      </c>
      <c r="N3" s="66">
        <v>12.041877825383919</v>
      </c>
      <c r="O3" s="44"/>
      <c r="P3" s="44"/>
      <c r="Q3" s="44"/>
      <c r="R3" s="44"/>
      <c r="S3" s="44"/>
      <c r="T3" s="44"/>
      <c r="U3" s="44"/>
    </row>
    <row r="4" spans="1:23" customFormat="1" ht="14.5" x14ac:dyDescent="0.35">
      <c r="A4" s="31" t="s">
        <v>36</v>
      </c>
      <c r="B4" s="31" t="s">
        <v>4</v>
      </c>
      <c r="C4" s="31" t="s">
        <v>46</v>
      </c>
      <c r="D4" s="65" t="s">
        <v>165</v>
      </c>
      <c r="E4" s="33">
        <v>90</v>
      </c>
      <c r="F4" s="32">
        <v>29.740268920000002</v>
      </c>
      <c r="G4" s="34">
        <v>18502</v>
      </c>
      <c r="H4" s="22"/>
      <c r="I4" s="35">
        <v>21.785575553541371</v>
      </c>
      <c r="J4" s="35">
        <v>5.3417720732442664</v>
      </c>
      <c r="K4" s="35">
        <v>8.5651123995637022</v>
      </c>
      <c r="L4" s="35">
        <v>22.678328560485749</v>
      </c>
      <c r="M4" s="35">
        <v>7.3698752191499128</v>
      </c>
      <c r="N4" s="35">
        <v>10.501966055416068</v>
      </c>
      <c r="O4" s="23"/>
      <c r="P4" s="35">
        <v>10.953493600976055</v>
      </c>
      <c r="Q4" s="35">
        <v>11.802404626149677</v>
      </c>
      <c r="R4" s="23"/>
      <c r="S4" s="35">
        <v>0.49</v>
      </c>
      <c r="T4" s="35">
        <v>0.70000000000000007</v>
      </c>
      <c r="U4" s="35" t="s">
        <v>91</v>
      </c>
      <c r="V4" s="57"/>
      <c r="W4" s="57"/>
    </row>
    <row r="5" spans="1:23" customFormat="1" ht="14.5" x14ac:dyDescent="0.35">
      <c r="A5" s="31" t="s">
        <v>162</v>
      </c>
      <c r="B5" s="31" t="s">
        <v>2</v>
      </c>
      <c r="C5" s="31" t="s">
        <v>124</v>
      </c>
      <c r="D5" s="65" t="s">
        <v>165</v>
      </c>
      <c r="E5" s="33">
        <v>97</v>
      </c>
      <c r="F5" s="32">
        <v>48.602559647</v>
      </c>
      <c r="G5" s="34">
        <v>20721</v>
      </c>
      <c r="H5" s="22"/>
      <c r="I5" s="35">
        <v>19.498296686280582</v>
      </c>
      <c r="J5" s="35">
        <v>6.5727644243402272</v>
      </c>
      <c r="K5" s="35">
        <v>10.694019858982461</v>
      </c>
      <c r="L5" s="35">
        <v>23.246260477169002</v>
      </c>
      <c r="M5" s="35">
        <v>7.6822450584804081</v>
      </c>
      <c r="N5" s="35">
        <v>11.586117076887126</v>
      </c>
      <c r="O5" s="23"/>
      <c r="P5" s="35">
        <v>10.501563457874765</v>
      </c>
      <c r="Q5" s="35">
        <v>12.88963908790981</v>
      </c>
      <c r="R5" s="23"/>
      <c r="S5" s="35">
        <v>0.5</v>
      </c>
      <c r="T5" s="35">
        <v>1.2</v>
      </c>
      <c r="U5" s="35">
        <v>1.2</v>
      </c>
      <c r="V5" s="57"/>
      <c r="W5" s="57"/>
    </row>
    <row r="6" spans="1:23" customFormat="1" ht="14.5" x14ac:dyDescent="0.35">
      <c r="A6" s="31" t="s">
        <v>88</v>
      </c>
      <c r="B6" s="31" t="s">
        <v>1</v>
      </c>
      <c r="C6" s="68" t="s">
        <v>47</v>
      </c>
      <c r="D6" s="65" t="s">
        <v>165</v>
      </c>
      <c r="E6" s="33">
        <v>98</v>
      </c>
      <c r="F6" s="32">
        <v>65.179485150000005</v>
      </c>
      <c r="G6" s="34">
        <v>22918</v>
      </c>
      <c r="H6" s="22"/>
      <c r="I6" s="35">
        <v>21.404310504538991</v>
      </c>
      <c r="J6" s="35">
        <v>6.0151502967555226</v>
      </c>
      <c r="K6" s="35">
        <v>10.46227331213878</v>
      </c>
      <c r="L6" s="35">
        <v>25.856890474413841</v>
      </c>
      <c r="M6" s="35">
        <v>9.1385627733598707</v>
      </c>
      <c r="N6" s="35">
        <v>13.192720176757589</v>
      </c>
      <c r="O6" s="23"/>
      <c r="P6" s="35">
        <v>11.866263189495237</v>
      </c>
      <c r="Q6" s="35">
        <v>13.359245838487817</v>
      </c>
      <c r="R6" s="23"/>
      <c r="S6" s="35">
        <v>0.5</v>
      </c>
      <c r="T6" s="35" t="s">
        <v>91</v>
      </c>
      <c r="U6" s="35">
        <v>0.89</v>
      </c>
      <c r="V6" s="57"/>
      <c r="W6" s="57"/>
    </row>
    <row r="7" spans="1:23" customFormat="1" ht="14.5" x14ac:dyDescent="0.35">
      <c r="A7" s="31" t="s">
        <v>89</v>
      </c>
      <c r="B7" s="31" t="s">
        <v>3</v>
      </c>
      <c r="C7" s="31" t="s">
        <v>102</v>
      </c>
      <c r="D7" s="65" t="s">
        <v>165</v>
      </c>
      <c r="E7" s="33">
        <v>97</v>
      </c>
      <c r="F7" s="32">
        <v>147.85244422</v>
      </c>
      <c r="G7" s="34">
        <v>50971</v>
      </c>
      <c r="H7" s="22"/>
      <c r="I7" s="35">
        <v>18.284168815648783</v>
      </c>
      <c r="J7" s="35">
        <v>5.2931933194923397</v>
      </c>
      <c r="K7" s="35">
        <v>10.755162305154897</v>
      </c>
      <c r="L7" s="35">
        <v>24.595699867256492</v>
      </c>
      <c r="M7" s="35">
        <v>8.2189059427223867</v>
      </c>
      <c r="N7" s="35">
        <v>12.161141653201412</v>
      </c>
      <c r="O7" s="23"/>
      <c r="P7" s="35">
        <v>13.008241713976862</v>
      </c>
      <c r="Q7" s="35">
        <v>13.138753320926142</v>
      </c>
      <c r="R7" s="23"/>
      <c r="S7" s="35">
        <v>0.5</v>
      </c>
      <c r="T7" s="35" t="s">
        <v>91</v>
      </c>
      <c r="U7" s="35">
        <v>0.84130000000000005</v>
      </c>
      <c r="V7" s="57"/>
      <c r="W7" s="57"/>
    </row>
    <row r="8" spans="1:23" customFormat="1" ht="14.5" x14ac:dyDescent="0.35">
      <c r="A8" s="31" t="s">
        <v>116</v>
      </c>
      <c r="B8" s="31" t="s">
        <v>5</v>
      </c>
      <c r="C8" s="31" t="s">
        <v>117</v>
      </c>
      <c r="D8" s="65" t="s">
        <v>165</v>
      </c>
      <c r="E8" s="33">
        <v>90</v>
      </c>
      <c r="F8" s="32">
        <v>52.952191240000005</v>
      </c>
      <c r="G8" s="34">
        <v>21252</v>
      </c>
      <c r="H8" s="22"/>
      <c r="I8" s="35">
        <v>23.006628483171365</v>
      </c>
      <c r="J8" s="35">
        <v>6.9833581895546448</v>
      </c>
      <c r="K8" s="35">
        <v>10.665297208204173</v>
      </c>
      <c r="L8" s="35">
        <v>22.232700731163323</v>
      </c>
      <c r="M8" s="35">
        <v>6.9290386529283321</v>
      </c>
      <c r="N8" s="35">
        <v>11.575490491689401</v>
      </c>
      <c r="O8" s="23"/>
      <c r="P8" s="35">
        <v>12.054386611495641</v>
      </c>
      <c r="Q8" s="35">
        <v>12.818715422184933</v>
      </c>
      <c r="R8" s="23"/>
      <c r="S8" s="35">
        <v>0.5</v>
      </c>
      <c r="T8" s="35">
        <v>1.1100000000000001</v>
      </c>
      <c r="U8" s="35" t="s">
        <v>91</v>
      </c>
      <c r="V8" s="57"/>
      <c r="W8" s="57"/>
    </row>
    <row r="9" spans="1:23" customFormat="1" ht="13" customHeight="1" x14ac:dyDescent="0.35">
      <c r="A9" s="31" t="s">
        <v>154</v>
      </c>
      <c r="B9" s="31" t="s">
        <v>132</v>
      </c>
      <c r="C9" s="31" t="s">
        <v>146</v>
      </c>
      <c r="D9" s="65" t="s">
        <v>166</v>
      </c>
      <c r="E9" s="33">
        <v>100</v>
      </c>
      <c r="F9" s="32">
        <v>25.580505237200001</v>
      </c>
      <c r="G9" s="34">
        <v>11144</v>
      </c>
      <c r="H9" s="22"/>
      <c r="I9" s="35">
        <v>23.549552976983069</v>
      </c>
      <c r="J9" s="35" t="s">
        <v>163</v>
      </c>
      <c r="K9" s="35" t="s">
        <v>163</v>
      </c>
      <c r="L9" s="35">
        <v>24.02640264026401</v>
      </c>
      <c r="M9" s="35" t="s">
        <v>163</v>
      </c>
      <c r="N9" s="35" t="s">
        <v>163</v>
      </c>
      <c r="O9" s="23"/>
      <c r="P9" s="35" t="s">
        <v>163</v>
      </c>
      <c r="Q9" s="35" t="s">
        <v>163</v>
      </c>
      <c r="R9" s="23"/>
      <c r="S9" s="35">
        <v>0.44</v>
      </c>
      <c r="T9" s="35">
        <v>0.56999999999999995</v>
      </c>
      <c r="U9" s="35" t="s">
        <v>91</v>
      </c>
      <c r="V9" s="57"/>
      <c r="W9" s="57"/>
    </row>
    <row r="10" spans="1:23" x14ac:dyDescent="0.35">
      <c r="A10" s="17"/>
      <c r="B10" s="17"/>
      <c r="C10" s="17"/>
      <c r="D10" s="17"/>
      <c r="E10" s="17"/>
      <c r="F10" s="17"/>
      <c r="G10" s="17"/>
      <c r="H10" s="17"/>
      <c r="I10" s="17"/>
      <c r="J10" s="17"/>
      <c r="K10" s="17"/>
      <c r="L10" s="17"/>
      <c r="M10" s="17"/>
      <c r="N10" s="17"/>
      <c r="O10" s="17"/>
      <c r="P10" s="17"/>
      <c r="Q10" s="17"/>
      <c r="R10" s="17"/>
    </row>
    <row r="11" spans="1:23" s="54" customFormat="1" ht="13.5" x14ac:dyDescent="0.3">
      <c r="A11" s="52" t="s">
        <v>168</v>
      </c>
      <c r="B11" s="48"/>
      <c r="C11" s="48"/>
      <c r="D11" s="53"/>
      <c r="E11" s="53"/>
      <c r="F11" s="53"/>
      <c r="G11" s="53"/>
      <c r="H11" s="53"/>
      <c r="I11" s="53"/>
      <c r="J11" s="53"/>
      <c r="K11" s="53"/>
      <c r="L11" s="53"/>
      <c r="M11" s="53"/>
      <c r="N11" s="53"/>
    </row>
    <row r="12" spans="1:23" s="54" customFormat="1" ht="13.5" x14ac:dyDescent="0.3">
      <c r="A12" s="48" t="s">
        <v>93</v>
      </c>
      <c r="B12" s="52"/>
      <c r="C12" s="52"/>
    </row>
    <row r="13" spans="1:23" s="54" customFormat="1" ht="13.5" x14ac:dyDescent="0.3">
      <c r="A13" s="52" t="s">
        <v>95</v>
      </c>
      <c r="B13" s="52"/>
      <c r="C13" s="52"/>
    </row>
    <row r="14" spans="1:23" s="54" customFormat="1" ht="13.5" x14ac:dyDescent="0.3">
      <c r="A14" s="52" t="s">
        <v>96</v>
      </c>
      <c r="B14" s="52"/>
      <c r="C14" s="52"/>
    </row>
    <row r="15" spans="1:23" s="54" customFormat="1" ht="13.5" x14ac:dyDescent="0.3">
      <c r="A15" s="52" t="s">
        <v>167</v>
      </c>
      <c r="B15" s="53"/>
      <c r="C15" s="53"/>
    </row>
    <row r="16" spans="1:23" s="54" customFormat="1" ht="13.5" x14ac:dyDescent="0.3">
      <c r="A16" s="55" t="s">
        <v>115</v>
      </c>
      <c r="B16" s="53"/>
      <c r="C16" s="53"/>
    </row>
    <row r="17" spans="1:4" s="54" customFormat="1" ht="13.5" x14ac:dyDescent="0.3">
      <c r="A17" s="55" t="s">
        <v>101</v>
      </c>
    </row>
    <row r="18" spans="1:4" s="54" customFormat="1" ht="13.5" x14ac:dyDescent="0.3">
      <c r="A18" s="55" t="s">
        <v>169</v>
      </c>
    </row>
    <row r="19" spans="1:4" s="54" customFormat="1" ht="13.5" x14ac:dyDescent="0.3">
      <c r="A19" s="55" t="s">
        <v>152</v>
      </c>
    </row>
    <row r="20" spans="1:4" s="54" customFormat="1" ht="13.5" x14ac:dyDescent="0.3">
      <c r="A20" s="55" t="s">
        <v>153</v>
      </c>
    </row>
    <row r="21" spans="1:4" s="54" customFormat="1" ht="13.5" x14ac:dyDescent="0.3">
      <c r="A21" s="55" t="s">
        <v>156</v>
      </c>
    </row>
    <row r="22" spans="1:4" s="54" customFormat="1" ht="13.5" x14ac:dyDescent="0.3">
      <c r="A22" s="55" t="s">
        <v>155</v>
      </c>
    </row>
    <row r="23" spans="1:4" s="54" customFormat="1" ht="13.5" x14ac:dyDescent="0.3">
      <c r="A23" s="55"/>
    </row>
    <row r="24" spans="1:4" x14ac:dyDescent="0.35">
      <c r="A24" s="55"/>
    </row>
    <row r="25" spans="1:4" x14ac:dyDescent="0.35">
      <c r="A25" s="36" t="s">
        <v>113</v>
      </c>
      <c r="B25" s="36"/>
      <c r="C25" s="36"/>
      <c r="D25" s="36"/>
    </row>
    <row r="26" spans="1:4" s="54" customFormat="1" ht="13.5" x14ac:dyDescent="0.3">
      <c r="A26" s="52" t="s">
        <v>83</v>
      </c>
      <c r="B26" s="53"/>
      <c r="C26" s="53"/>
    </row>
    <row r="27" spans="1:4" s="54" customFormat="1" ht="13.5" x14ac:dyDescent="0.3">
      <c r="A27" s="52" t="s">
        <v>84</v>
      </c>
      <c r="B27" s="53"/>
      <c r="C27" s="53"/>
    </row>
    <row r="28" spans="1:4" x14ac:dyDescent="0.35">
      <c r="A28" s="18"/>
      <c r="B28" s="18"/>
      <c r="C28" s="18"/>
    </row>
    <row r="35" spans="1:3" x14ac:dyDescent="0.35">
      <c r="A35" s="36" t="s">
        <v>0</v>
      </c>
      <c r="B35" s="36" t="s">
        <v>73</v>
      </c>
      <c r="C35" s="36" t="s">
        <v>72</v>
      </c>
    </row>
    <row r="36" spans="1:3" x14ac:dyDescent="0.35">
      <c r="A36" s="31" t="s">
        <v>4</v>
      </c>
      <c r="B36" s="32">
        <v>10.953493600976055</v>
      </c>
      <c r="C36" s="32">
        <v>5.3417720732442664</v>
      </c>
    </row>
    <row r="37" spans="1:3" x14ac:dyDescent="0.35">
      <c r="A37" s="31" t="s">
        <v>2</v>
      </c>
      <c r="B37" s="32">
        <v>10.501563457874765</v>
      </c>
      <c r="C37" s="32">
        <v>6.5727644243402272</v>
      </c>
    </row>
    <row r="38" spans="1:3" x14ac:dyDescent="0.35">
      <c r="A38" s="31" t="s">
        <v>1</v>
      </c>
      <c r="B38" s="32">
        <v>11.866263189495237</v>
      </c>
      <c r="C38" s="32">
        <v>6.0151502967555226</v>
      </c>
    </row>
    <row r="39" spans="1:3" x14ac:dyDescent="0.35">
      <c r="A39" s="31" t="s">
        <v>3</v>
      </c>
      <c r="B39" s="32">
        <v>13.008241713976862</v>
      </c>
      <c r="C39" s="32">
        <v>5.2931933194923397</v>
      </c>
    </row>
    <row r="40" spans="1:3" x14ac:dyDescent="0.35">
      <c r="A40" s="31" t="s">
        <v>5</v>
      </c>
      <c r="B40" s="32">
        <v>12.054386611495641</v>
      </c>
      <c r="C40" s="32">
        <v>6.9833581895546448</v>
      </c>
    </row>
    <row r="57" spans="1:5" x14ac:dyDescent="0.35">
      <c r="A57" s="36" t="s">
        <v>114</v>
      </c>
      <c r="B57" s="36"/>
      <c r="C57" s="36"/>
      <c r="D57" s="36"/>
      <c r="E57" s="36"/>
    </row>
    <row r="58" spans="1:5" s="54" customFormat="1" ht="13.5" x14ac:dyDescent="0.3">
      <c r="A58" s="52" t="s">
        <v>85</v>
      </c>
      <c r="B58" s="53"/>
      <c r="C58" s="53"/>
    </row>
    <row r="59" spans="1:5" s="54" customFormat="1" ht="13.5" x14ac:dyDescent="0.3">
      <c r="A59" s="52" t="s">
        <v>86</v>
      </c>
      <c r="B59" s="53"/>
      <c r="C59" s="53"/>
    </row>
    <row r="60" spans="1:5" s="54" customFormat="1" ht="13.5" x14ac:dyDescent="0.3">
      <c r="A60" s="52" t="s">
        <v>87</v>
      </c>
      <c r="B60" s="53"/>
      <c r="C60" s="53"/>
    </row>
    <row r="65" spans="1:4" x14ac:dyDescent="0.35">
      <c r="A65" s="36" t="s">
        <v>0</v>
      </c>
      <c r="B65" s="36" t="s">
        <v>77</v>
      </c>
      <c r="C65" s="36" t="s">
        <v>78</v>
      </c>
      <c r="D65" s="36" t="s">
        <v>79</v>
      </c>
    </row>
    <row r="66" spans="1:4" x14ac:dyDescent="0.35">
      <c r="A66" s="31" t="s">
        <v>4</v>
      </c>
      <c r="B66" s="32">
        <v>18.501999999999999</v>
      </c>
      <c r="C66" s="32">
        <v>5.3417720732442664</v>
      </c>
      <c r="D66" s="32">
        <v>29.740268920000002</v>
      </c>
    </row>
    <row r="67" spans="1:4" x14ac:dyDescent="0.35">
      <c r="A67" s="31" t="s">
        <v>2</v>
      </c>
      <c r="B67" s="32">
        <v>20.721</v>
      </c>
      <c r="C67" s="32">
        <v>6.5727644243402272</v>
      </c>
      <c r="D67" s="32">
        <v>48.602559647</v>
      </c>
    </row>
    <row r="68" spans="1:4" x14ac:dyDescent="0.35">
      <c r="A68" s="31" t="s">
        <v>1</v>
      </c>
      <c r="B68" s="32">
        <v>22.917999999999999</v>
      </c>
      <c r="C68" s="32">
        <v>6.0151502967555226</v>
      </c>
      <c r="D68" s="32">
        <v>65.179485150000005</v>
      </c>
    </row>
    <row r="69" spans="1:4" x14ac:dyDescent="0.35">
      <c r="A69" s="31" t="s">
        <v>3</v>
      </c>
      <c r="B69" s="32">
        <v>50.970999999999997</v>
      </c>
      <c r="C69" s="32">
        <v>5.2931933194923397</v>
      </c>
      <c r="D69" s="32">
        <v>147.85244422</v>
      </c>
    </row>
    <row r="70" spans="1:4" x14ac:dyDescent="0.35">
      <c r="A70" s="31" t="s">
        <v>5</v>
      </c>
      <c r="B70" s="32">
        <v>21.251999999999999</v>
      </c>
      <c r="C70" s="32">
        <v>6.9833581895546448</v>
      </c>
      <c r="D70" s="32">
        <v>52.952191240000005</v>
      </c>
    </row>
  </sheetData>
  <mergeCells count="7">
    <mergeCell ref="S1:U1"/>
    <mergeCell ref="P1:Q1"/>
    <mergeCell ref="A3:C3"/>
    <mergeCell ref="D1:D2"/>
    <mergeCell ref="F1:F2"/>
    <mergeCell ref="G1:G2"/>
    <mergeCell ref="I1:M1"/>
  </mergeCells>
  <conditionalFormatting sqref="P4:Q8 S4:U8">
    <cfRule type="cellIs" dxfId="145" priority="19" operator="greaterThanOrEqual">
      <formula>0</formula>
    </cfRule>
    <cfRule type="cellIs" dxfId="144" priority="20" operator="lessThan">
      <formula>0</formula>
    </cfRule>
  </conditionalFormatting>
  <conditionalFormatting sqref="I4:I8">
    <cfRule type="cellIs" dxfId="143" priority="17" operator="greaterThanOrEqual">
      <formula>0</formula>
    </cfRule>
    <cfRule type="cellIs" dxfId="142" priority="18" operator="lessThan">
      <formula>0</formula>
    </cfRule>
  </conditionalFormatting>
  <conditionalFormatting sqref="J4:N8">
    <cfRule type="cellIs" dxfId="141" priority="15" operator="greaterThanOrEqual">
      <formula>0</formula>
    </cfRule>
    <cfRule type="cellIs" dxfId="140" priority="16" operator="lessThan">
      <formula>0</formula>
    </cfRule>
  </conditionalFormatting>
  <conditionalFormatting sqref="I3:N3">
    <cfRule type="cellIs" dxfId="139" priority="13" operator="greaterThanOrEqual">
      <formula>0</formula>
    </cfRule>
    <cfRule type="cellIs" dxfId="138" priority="14" operator="lessThan">
      <formula>0</formula>
    </cfRule>
  </conditionalFormatting>
  <conditionalFormatting sqref="P9:Q9 S9:U9">
    <cfRule type="cellIs" dxfId="137" priority="11" operator="greaterThanOrEqual">
      <formula>0</formula>
    </cfRule>
    <cfRule type="cellIs" dxfId="136" priority="12" operator="lessThan">
      <formula>0</formula>
    </cfRule>
  </conditionalFormatting>
  <conditionalFormatting sqref="I9">
    <cfRule type="cellIs" dxfId="135" priority="9" operator="greaterThanOrEqual">
      <formula>0</formula>
    </cfRule>
    <cfRule type="cellIs" dxfId="134" priority="10" operator="lessThan">
      <formula>0</formula>
    </cfRule>
  </conditionalFormatting>
  <conditionalFormatting sqref="J9:N9">
    <cfRule type="cellIs" dxfId="133" priority="7" operator="greaterThanOrEqual">
      <formula>0</formula>
    </cfRule>
    <cfRule type="cellIs" dxfId="132" priority="8" operator="lessThan">
      <formula>0</formula>
    </cfRule>
  </conditionalFormatting>
  <hyperlinks>
    <hyperlink ref="C1" location="GCF_2024!A1" display="Grįžti į pagrindinį puslapį" xr:uid="{6EA897B7-CFD7-4EE1-A7A4-535E0AA6DE9A}"/>
  </hyperlinks>
  <pageMargins left="0.7" right="0.7" top="0.75" bottom="0.75" header="0.3" footer="0.3"/>
  <pageSetup paperSize="9" orientation="portrait" r:id="rId1"/>
  <headerFooter>
    <oddHeader>&amp;R&amp;"Calibri"&amp;10&amp;K000000LB RIBOTO NAUDOJIMO (RESTRICTED)&amp;1#</oddHeader>
    <oddFooter>&amp;R&amp;1#&amp;"Calibri"&amp;10&amp;K000000LB RIBOTO NAUDOJIMO (RESTRICTED)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0"/>
  <sheetViews>
    <sheetView showGridLines="0" zoomScale="70" zoomScaleNormal="70" workbookViewId="0"/>
  </sheetViews>
  <sheetFormatPr defaultColWidth="8.81640625" defaultRowHeight="15.5" x14ac:dyDescent="0.35"/>
  <cols>
    <col min="1" max="1" width="45.54296875" style="16" customWidth="1"/>
    <col min="2" max="2" width="14.81640625" style="16" bestFit="1" customWidth="1"/>
    <col min="3" max="3" width="78.1796875" style="16" customWidth="1"/>
    <col min="4" max="4" width="13.1796875" style="16" customWidth="1"/>
    <col min="5" max="5" width="16.1796875" style="16" bestFit="1" customWidth="1"/>
    <col min="6" max="6" width="19.453125" style="16" customWidth="1"/>
    <col min="7" max="7" width="13.54296875" style="16" customWidth="1"/>
    <col min="8" max="8" width="1.54296875" style="16" customWidth="1"/>
    <col min="9" max="9" width="16.81640625" style="16" customWidth="1"/>
    <col min="10" max="11" width="15.54296875" style="16" customWidth="1"/>
    <col min="12" max="12" width="13.54296875" style="16" customWidth="1"/>
    <col min="13" max="14" width="15.54296875" style="16" customWidth="1"/>
    <col min="15" max="15" width="1.54296875" style="16" customWidth="1"/>
    <col min="16" max="16" width="19.453125" style="16" customWidth="1"/>
    <col min="17" max="17" width="15.54296875" style="16" customWidth="1"/>
    <col min="18" max="18" width="1.54296875" style="16" customWidth="1"/>
    <col min="19" max="19" width="9.1796875" style="16" customWidth="1"/>
    <col min="20" max="20" width="12.54296875" style="16" customWidth="1"/>
    <col min="21" max="21" width="13" style="16" customWidth="1"/>
    <col min="22" max="16384" width="8.81640625" style="16"/>
  </cols>
  <sheetData>
    <row r="1" spans="1:23" ht="22.4" customHeight="1" x14ac:dyDescent="0.35">
      <c r="A1" s="91">
        <v>45657</v>
      </c>
      <c r="B1" s="25"/>
      <c r="C1" s="90" t="s">
        <v>76</v>
      </c>
      <c r="D1" s="100" t="s">
        <v>90</v>
      </c>
      <c r="E1" s="30" t="s">
        <v>75</v>
      </c>
      <c r="F1" s="100" t="s">
        <v>100</v>
      </c>
      <c r="G1" s="100" t="s">
        <v>71</v>
      </c>
      <c r="H1" s="27"/>
      <c r="I1" s="98" t="s">
        <v>72</v>
      </c>
      <c r="J1" s="104">
        <v>0</v>
      </c>
      <c r="K1" s="104"/>
      <c r="L1" s="104">
        <v>0</v>
      </c>
      <c r="M1" s="104">
        <v>0</v>
      </c>
      <c r="N1" s="87"/>
      <c r="O1" s="28"/>
      <c r="P1" s="102" t="s">
        <v>97</v>
      </c>
      <c r="Q1" s="103">
        <v>0</v>
      </c>
      <c r="R1" s="28"/>
      <c r="S1" s="98" t="s">
        <v>164</v>
      </c>
      <c r="T1" s="104">
        <v>0</v>
      </c>
      <c r="U1" s="104">
        <v>0</v>
      </c>
    </row>
    <row r="2" spans="1:23" ht="100" customHeight="1" x14ac:dyDescent="0.35">
      <c r="A2" s="24" t="s">
        <v>42</v>
      </c>
      <c r="B2" s="24" t="s">
        <v>43</v>
      </c>
      <c r="C2" s="24" t="s">
        <v>44</v>
      </c>
      <c r="D2" s="101">
        <v>0</v>
      </c>
      <c r="E2" s="24" t="s">
        <v>99</v>
      </c>
      <c r="F2" s="101">
        <v>0</v>
      </c>
      <c r="G2" s="101">
        <v>0</v>
      </c>
      <c r="H2" s="27"/>
      <c r="I2" s="63" t="s">
        <v>92</v>
      </c>
      <c r="J2" s="24" t="s">
        <v>157</v>
      </c>
      <c r="K2" s="24" t="s">
        <v>158</v>
      </c>
      <c r="L2" s="24" t="s">
        <v>94</v>
      </c>
      <c r="M2" s="24" t="s">
        <v>159</v>
      </c>
      <c r="N2" s="24" t="s">
        <v>160</v>
      </c>
      <c r="O2" s="29"/>
      <c r="P2" s="24" t="s">
        <v>111</v>
      </c>
      <c r="Q2" s="24" t="s">
        <v>112</v>
      </c>
      <c r="R2" s="29"/>
      <c r="S2" s="24" t="s">
        <v>149</v>
      </c>
      <c r="T2" s="24" t="s">
        <v>150</v>
      </c>
      <c r="U2" s="24" t="s">
        <v>151</v>
      </c>
    </row>
    <row r="3" spans="1:23" ht="29.15" customHeight="1" x14ac:dyDescent="0.35">
      <c r="A3" s="105" t="s">
        <v>48</v>
      </c>
      <c r="B3" s="105">
        <v>0</v>
      </c>
      <c r="C3" s="105">
        <v>0</v>
      </c>
      <c r="D3" s="43"/>
      <c r="E3" s="43"/>
      <c r="F3" s="44"/>
      <c r="G3" s="69" t="s">
        <v>98</v>
      </c>
      <c r="H3" s="44"/>
      <c r="I3" s="66">
        <v>19.6468620909083</v>
      </c>
      <c r="J3" s="66">
        <v>5.8523418844430122</v>
      </c>
      <c r="K3" s="66">
        <v>10.513423385100756</v>
      </c>
      <c r="L3" s="66">
        <v>24.191327961700544</v>
      </c>
      <c r="M3" s="66">
        <v>8.0935407387984295</v>
      </c>
      <c r="N3" s="66">
        <v>12.084167389321001</v>
      </c>
      <c r="O3" s="44"/>
      <c r="P3" s="44"/>
      <c r="Q3" s="44"/>
      <c r="R3" s="44"/>
      <c r="S3" s="44"/>
      <c r="T3" s="44"/>
      <c r="U3" s="44"/>
    </row>
    <row r="4" spans="1:23" customFormat="1" ht="14.5" x14ac:dyDescent="0.35">
      <c r="A4" s="31" t="s">
        <v>36</v>
      </c>
      <c r="B4" s="31" t="s">
        <v>9</v>
      </c>
      <c r="C4" s="31" t="s">
        <v>49</v>
      </c>
      <c r="D4" s="65" t="s">
        <v>165</v>
      </c>
      <c r="E4" s="33">
        <v>90</v>
      </c>
      <c r="F4" s="32">
        <v>83.279511360000001</v>
      </c>
      <c r="G4" s="34">
        <v>21086</v>
      </c>
      <c r="H4" s="22"/>
      <c r="I4" s="35">
        <v>22.277195495084957</v>
      </c>
      <c r="J4" s="35">
        <v>5.394375555171127</v>
      </c>
      <c r="K4" s="35">
        <v>8.6593502790256682</v>
      </c>
      <c r="L4" s="35">
        <v>22.678328560485749</v>
      </c>
      <c r="M4" s="35">
        <v>7.3698752191499128</v>
      </c>
      <c r="N4" s="35">
        <v>10.501966055416068</v>
      </c>
      <c r="O4" s="22"/>
      <c r="P4" s="35">
        <v>10.901240910311421</v>
      </c>
      <c r="Q4" s="35">
        <v>11.802404626149677</v>
      </c>
      <c r="R4" s="23"/>
      <c r="S4" s="35">
        <v>0.49</v>
      </c>
      <c r="T4" s="35">
        <v>0.71000000000000008</v>
      </c>
      <c r="U4" s="35" t="s">
        <v>91</v>
      </c>
      <c r="V4" s="57"/>
      <c r="W4" s="57"/>
    </row>
    <row r="5" spans="1:23" customFormat="1" ht="14.5" x14ac:dyDescent="0.35">
      <c r="A5" s="31" t="s">
        <v>162</v>
      </c>
      <c r="B5" s="31" t="s">
        <v>7</v>
      </c>
      <c r="C5" s="31" t="s">
        <v>125</v>
      </c>
      <c r="D5" s="65" t="s">
        <v>165</v>
      </c>
      <c r="E5" s="33">
        <v>97</v>
      </c>
      <c r="F5" s="32">
        <v>168.7069388139</v>
      </c>
      <c r="G5" s="34">
        <v>35841</v>
      </c>
      <c r="H5" s="22"/>
      <c r="I5" s="35">
        <v>18.916584402764069</v>
      </c>
      <c r="J5" s="35">
        <v>6.5466817966358226</v>
      </c>
      <c r="K5" s="35">
        <v>10.696919795302895</v>
      </c>
      <c r="L5" s="35">
        <v>23.246260477169002</v>
      </c>
      <c r="M5" s="35">
        <v>7.6822450584804081</v>
      </c>
      <c r="N5" s="35">
        <v>11.586117076887126</v>
      </c>
      <c r="O5" s="22"/>
      <c r="P5" s="35">
        <v>10.144219239651159</v>
      </c>
      <c r="Q5" s="35">
        <v>12.88963908790981</v>
      </c>
      <c r="R5" s="23"/>
      <c r="S5" s="35">
        <v>0.5</v>
      </c>
      <c r="T5" s="35">
        <v>1.37</v>
      </c>
      <c r="U5" s="35">
        <v>1.37</v>
      </c>
      <c r="V5" s="57"/>
      <c r="W5" s="57"/>
    </row>
    <row r="6" spans="1:23" customFormat="1" ht="14.5" x14ac:dyDescent="0.35">
      <c r="A6" s="31" t="s">
        <v>88</v>
      </c>
      <c r="B6" s="31" t="s">
        <v>6</v>
      </c>
      <c r="C6" s="31" t="s">
        <v>50</v>
      </c>
      <c r="D6" s="65" t="s">
        <v>165</v>
      </c>
      <c r="E6" s="33">
        <v>98</v>
      </c>
      <c r="F6" s="32">
        <v>228.51173763999998</v>
      </c>
      <c r="G6" s="34">
        <v>46031</v>
      </c>
      <c r="H6" s="22"/>
      <c r="I6" s="35">
        <v>21.246353423127061</v>
      </c>
      <c r="J6" s="35">
        <v>5.8584586001411809</v>
      </c>
      <c r="K6" s="35">
        <v>10.376234397551819</v>
      </c>
      <c r="L6" s="35">
        <v>25.856890474413841</v>
      </c>
      <c r="M6" s="35">
        <v>9.1385627733598707</v>
      </c>
      <c r="N6" s="35">
        <v>13.192720176757589</v>
      </c>
      <c r="O6" s="22"/>
      <c r="P6" s="35">
        <v>11.802548349020409</v>
      </c>
      <c r="Q6" s="35">
        <v>13.359245838487817</v>
      </c>
      <c r="R6" s="23"/>
      <c r="S6" s="35">
        <v>0.5</v>
      </c>
      <c r="T6" s="35" t="s">
        <v>91</v>
      </c>
      <c r="U6" s="35">
        <v>0.88</v>
      </c>
      <c r="V6" s="57"/>
      <c r="W6" s="57"/>
    </row>
    <row r="7" spans="1:23" customFormat="1" ht="14.5" x14ac:dyDescent="0.35">
      <c r="A7" s="31" t="s">
        <v>89</v>
      </c>
      <c r="B7" s="31" t="s">
        <v>8</v>
      </c>
      <c r="C7" s="31" t="s">
        <v>103</v>
      </c>
      <c r="D7" s="65" t="s">
        <v>165</v>
      </c>
      <c r="E7" s="33">
        <v>97</v>
      </c>
      <c r="F7" s="32">
        <v>456.89684125999997</v>
      </c>
      <c r="G7" s="34">
        <v>96074</v>
      </c>
      <c r="H7" s="22"/>
      <c r="I7" s="35">
        <v>17.109675816668734</v>
      </c>
      <c r="J7" s="35">
        <v>5.147348507764149</v>
      </c>
      <c r="K7" s="35">
        <v>10.684337090343753</v>
      </c>
      <c r="L7" s="35">
        <v>24.595699867256492</v>
      </c>
      <c r="M7" s="35">
        <v>8.2189059427223867</v>
      </c>
      <c r="N7" s="35">
        <v>12.161141653201412</v>
      </c>
      <c r="O7" s="22"/>
      <c r="P7" s="35">
        <v>12.571949946363025</v>
      </c>
      <c r="Q7" s="35">
        <v>13.138753320926142</v>
      </c>
      <c r="R7" s="23"/>
      <c r="S7" s="35">
        <v>0.5</v>
      </c>
      <c r="T7" s="35" t="s">
        <v>91</v>
      </c>
      <c r="U7" s="35">
        <v>0.82230000000000003</v>
      </c>
      <c r="V7" s="57"/>
      <c r="W7" s="57"/>
    </row>
    <row r="8" spans="1:23" customFormat="1" ht="14.5" x14ac:dyDescent="0.35">
      <c r="A8" s="31" t="s">
        <v>116</v>
      </c>
      <c r="B8" s="31" t="s">
        <v>10</v>
      </c>
      <c r="C8" s="31" t="s">
        <v>118</v>
      </c>
      <c r="D8" s="65" t="s">
        <v>165</v>
      </c>
      <c r="E8" s="33">
        <v>90</v>
      </c>
      <c r="F8" s="32">
        <v>142.91414558000002</v>
      </c>
      <c r="G8" s="34">
        <v>34412</v>
      </c>
      <c r="H8" s="22"/>
      <c r="I8" s="35">
        <v>23.490322580645163</v>
      </c>
      <c r="J8" s="35">
        <v>7.5436423196709956</v>
      </c>
      <c r="K8" s="35">
        <v>11.050169039046388</v>
      </c>
      <c r="L8" s="35">
        <v>22.232700731163323</v>
      </c>
      <c r="M8" s="35">
        <v>6.9290386529283321</v>
      </c>
      <c r="N8" s="35">
        <v>11.575490491689401</v>
      </c>
      <c r="O8" s="22"/>
      <c r="P8" s="35">
        <v>11.806467416783114</v>
      </c>
      <c r="Q8" s="35">
        <v>12.818715422184933</v>
      </c>
      <c r="R8" s="23"/>
      <c r="S8" s="35">
        <v>0.5</v>
      </c>
      <c r="T8" s="35">
        <v>0.94</v>
      </c>
      <c r="U8" s="35" t="s">
        <v>91</v>
      </c>
      <c r="V8" s="57"/>
      <c r="W8" s="57"/>
    </row>
    <row r="9" spans="1:23" customFormat="1" ht="13.5" customHeight="1" x14ac:dyDescent="0.35">
      <c r="A9" s="31" t="s">
        <v>131</v>
      </c>
      <c r="B9" s="31" t="s">
        <v>133</v>
      </c>
      <c r="C9" s="31" t="s">
        <v>145</v>
      </c>
      <c r="D9" s="65" t="s">
        <v>166</v>
      </c>
      <c r="E9" s="33">
        <v>100</v>
      </c>
      <c r="F9" s="32">
        <v>38.2338525057</v>
      </c>
      <c r="G9" s="34">
        <v>9075</v>
      </c>
      <c r="H9" s="22"/>
      <c r="I9" s="35">
        <v>23.533339692836019</v>
      </c>
      <c r="J9" s="35" t="s">
        <v>163</v>
      </c>
      <c r="K9" s="35" t="s">
        <v>163</v>
      </c>
      <c r="L9" s="35">
        <v>24.02640264026401</v>
      </c>
      <c r="M9" s="35" t="s">
        <v>163</v>
      </c>
      <c r="N9" s="35" t="s">
        <v>163</v>
      </c>
      <c r="O9" s="22"/>
      <c r="P9" s="35" t="s">
        <v>163</v>
      </c>
      <c r="Q9" s="35" t="s">
        <v>163</v>
      </c>
      <c r="R9" s="23"/>
      <c r="S9" s="35">
        <v>0.44</v>
      </c>
      <c r="T9" s="35">
        <v>0.56000000000000005</v>
      </c>
      <c r="U9" s="35" t="s">
        <v>91</v>
      </c>
      <c r="V9" s="57"/>
      <c r="W9" s="57"/>
    </row>
    <row r="10" spans="1:23" x14ac:dyDescent="0.35">
      <c r="A10" s="17"/>
      <c r="B10" s="17"/>
      <c r="C10" s="17"/>
      <c r="D10" s="17"/>
      <c r="E10" s="17"/>
      <c r="F10" s="17"/>
      <c r="G10" s="17"/>
      <c r="H10" s="17"/>
      <c r="I10" s="17"/>
      <c r="J10" s="17"/>
      <c r="K10" s="17"/>
      <c r="L10" s="17"/>
      <c r="M10" s="17"/>
      <c r="N10" s="17"/>
      <c r="O10" s="17"/>
      <c r="P10" s="17"/>
      <c r="Q10" s="17"/>
      <c r="R10" s="17"/>
    </row>
    <row r="11" spans="1:23" s="54" customFormat="1" ht="13.5" x14ac:dyDescent="0.3">
      <c r="A11" s="52" t="s">
        <v>168</v>
      </c>
      <c r="B11" s="48"/>
      <c r="C11" s="48"/>
      <c r="D11" s="53"/>
      <c r="E11" s="53"/>
      <c r="F11" s="53"/>
      <c r="G11" s="53"/>
      <c r="H11" s="53"/>
      <c r="I11" s="53"/>
      <c r="J11" s="53"/>
      <c r="K11" s="53"/>
      <c r="L11" s="53"/>
      <c r="M11" s="53"/>
      <c r="N11" s="53"/>
    </row>
    <row r="12" spans="1:23" s="54" customFormat="1" ht="13.5" x14ac:dyDescent="0.3">
      <c r="A12" s="48" t="s">
        <v>93</v>
      </c>
      <c r="B12" s="52"/>
      <c r="C12" s="52"/>
    </row>
    <row r="13" spans="1:23" s="54" customFormat="1" ht="13.5" x14ac:dyDescent="0.3">
      <c r="A13" s="52" t="s">
        <v>95</v>
      </c>
      <c r="B13" s="52"/>
      <c r="C13" s="52"/>
    </row>
    <row r="14" spans="1:23" s="54" customFormat="1" ht="13.5" x14ac:dyDescent="0.3">
      <c r="A14" s="52" t="s">
        <v>96</v>
      </c>
      <c r="B14" s="52"/>
      <c r="C14" s="52"/>
    </row>
    <row r="15" spans="1:23" s="54" customFormat="1" ht="13.5" x14ac:dyDescent="0.3">
      <c r="A15" s="52" t="s">
        <v>167</v>
      </c>
      <c r="B15" s="53"/>
      <c r="C15" s="53"/>
    </row>
    <row r="16" spans="1:23" s="54" customFormat="1" ht="13.5" x14ac:dyDescent="0.3">
      <c r="A16" s="55" t="s">
        <v>115</v>
      </c>
      <c r="B16" s="53"/>
      <c r="C16" s="53"/>
    </row>
    <row r="17" spans="1:4" s="54" customFormat="1" ht="13.5" x14ac:dyDescent="0.3">
      <c r="A17" s="55" t="s">
        <v>101</v>
      </c>
    </row>
    <row r="18" spans="1:4" s="54" customFormat="1" ht="13.5" x14ac:dyDescent="0.3">
      <c r="A18" s="55" t="s">
        <v>169</v>
      </c>
    </row>
    <row r="19" spans="1:4" s="54" customFormat="1" ht="13.5" x14ac:dyDescent="0.3">
      <c r="A19" s="55" t="s">
        <v>152</v>
      </c>
    </row>
    <row r="20" spans="1:4" s="54" customFormat="1" ht="13.5" x14ac:dyDescent="0.3">
      <c r="A20" s="55" t="s">
        <v>153</v>
      </c>
    </row>
    <row r="21" spans="1:4" s="54" customFormat="1" ht="13.5" x14ac:dyDescent="0.3">
      <c r="A21" s="55" t="s">
        <v>156</v>
      </c>
    </row>
    <row r="22" spans="1:4" s="54" customFormat="1" ht="13.5" x14ac:dyDescent="0.3">
      <c r="A22" s="55" t="s">
        <v>155</v>
      </c>
    </row>
    <row r="23" spans="1:4" s="54" customFormat="1" ht="13.5" x14ac:dyDescent="0.3">
      <c r="A23" s="55"/>
    </row>
    <row r="24" spans="1:4" x14ac:dyDescent="0.35">
      <c r="A24" s="55"/>
    </row>
    <row r="25" spans="1:4" x14ac:dyDescent="0.35">
      <c r="A25" s="36" t="s">
        <v>113</v>
      </c>
      <c r="B25" s="36"/>
      <c r="C25" s="36"/>
      <c r="D25" s="36"/>
    </row>
    <row r="26" spans="1:4" s="54" customFormat="1" ht="13.5" x14ac:dyDescent="0.3">
      <c r="A26" s="52" t="s">
        <v>83</v>
      </c>
      <c r="B26" s="53"/>
      <c r="C26" s="53"/>
    </row>
    <row r="27" spans="1:4" s="54" customFormat="1" ht="13.5" x14ac:dyDescent="0.3">
      <c r="A27" s="52" t="s">
        <v>84</v>
      </c>
      <c r="B27" s="53"/>
      <c r="C27" s="53"/>
    </row>
    <row r="28" spans="1:4" x14ac:dyDescent="0.35">
      <c r="A28" s="18"/>
      <c r="B28" s="18"/>
      <c r="C28" s="18"/>
    </row>
    <row r="35" spans="1:3" x14ac:dyDescent="0.35">
      <c r="A35" s="36" t="s">
        <v>0</v>
      </c>
      <c r="B35" s="36" t="s">
        <v>73</v>
      </c>
      <c r="C35" s="36" t="s">
        <v>72</v>
      </c>
    </row>
    <row r="36" spans="1:3" x14ac:dyDescent="0.35">
      <c r="A36" s="31" t="s">
        <v>9</v>
      </c>
      <c r="B36" s="32">
        <v>10.901240910311421</v>
      </c>
      <c r="C36" s="32">
        <v>5.394375555171127</v>
      </c>
    </row>
    <row r="37" spans="1:3" x14ac:dyDescent="0.35">
      <c r="A37" s="31" t="s">
        <v>7</v>
      </c>
      <c r="B37" s="32">
        <v>10.144219239651159</v>
      </c>
      <c r="C37" s="32">
        <v>6.5466817966358226</v>
      </c>
    </row>
    <row r="38" spans="1:3" x14ac:dyDescent="0.35">
      <c r="A38" s="31" t="s">
        <v>6</v>
      </c>
      <c r="B38" s="32">
        <v>11.802548349020409</v>
      </c>
      <c r="C38" s="32">
        <v>5.8584586001411809</v>
      </c>
    </row>
    <row r="39" spans="1:3" x14ac:dyDescent="0.35">
      <c r="A39" s="31" t="s">
        <v>8</v>
      </c>
      <c r="B39" s="32">
        <v>12.571949946363025</v>
      </c>
      <c r="C39" s="32">
        <v>5.147348507764149</v>
      </c>
    </row>
    <row r="40" spans="1:3" x14ac:dyDescent="0.35">
      <c r="A40" s="31" t="s">
        <v>10</v>
      </c>
      <c r="B40" s="32">
        <v>11.806467416783114</v>
      </c>
      <c r="C40" s="32">
        <v>7.5436423196709956</v>
      </c>
    </row>
    <row r="57" spans="1:5" x14ac:dyDescent="0.35">
      <c r="A57" s="36" t="s">
        <v>114</v>
      </c>
      <c r="B57" s="36"/>
      <c r="C57" s="36"/>
      <c r="D57" s="36"/>
      <c r="E57" s="36"/>
    </row>
    <row r="58" spans="1:5" s="54" customFormat="1" ht="13.5" x14ac:dyDescent="0.3">
      <c r="A58" s="52" t="s">
        <v>85</v>
      </c>
      <c r="B58" s="53"/>
      <c r="C58" s="53"/>
    </row>
    <row r="59" spans="1:5" s="54" customFormat="1" ht="13.5" x14ac:dyDescent="0.3">
      <c r="A59" s="52" t="s">
        <v>86</v>
      </c>
      <c r="B59" s="53"/>
      <c r="C59" s="53"/>
    </row>
    <row r="60" spans="1:5" s="54" customFormat="1" ht="13.5" x14ac:dyDescent="0.3">
      <c r="A60" s="52" t="s">
        <v>87</v>
      </c>
      <c r="B60" s="53"/>
      <c r="C60" s="53"/>
    </row>
    <row r="65" spans="1:4" x14ac:dyDescent="0.35">
      <c r="A65" s="36" t="s">
        <v>0</v>
      </c>
      <c r="B65" s="36" t="s">
        <v>77</v>
      </c>
      <c r="C65" s="36" t="s">
        <v>78</v>
      </c>
      <c r="D65" s="36" t="s">
        <v>79</v>
      </c>
    </row>
    <row r="66" spans="1:4" x14ac:dyDescent="0.35">
      <c r="A66" s="31" t="s">
        <v>9</v>
      </c>
      <c r="B66" s="32">
        <v>21.085999999999999</v>
      </c>
      <c r="C66" s="32">
        <v>5.394375555171127</v>
      </c>
      <c r="D66" s="32">
        <v>83.279511360000001</v>
      </c>
    </row>
    <row r="67" spans="1:4" x14ac:dyDescent="0.35">
      <c r="A67" s="31" t="s">
        <v>7</v>
      </c>
      <c r="B67" s="32">
        <v>35.841000000000001</v>
      </c>
      <c r="C67" s="32">
        <v>6.5466817966358226</v>
      </c>
      <c r="D67" s="32">
        <v>168.7069388139</v>
      </c>
    </row>
    <row r="68" spans="1:4" x14ac:dyDescent="0.35">
      <c r="A68" s="31" t="s">
        <v>6</v>
      </c>
      <c r="B68" s="32">
        <v>46.030999999999999</v>
      </c>
      <c r="C68" s="32">
        <v>5.8584586001411809</v>
      </c>
      <c r="D68" s="32">
        <v>228.51173763999998</v>
      </c>
    </row>
    <row r="69" spans="1:4" x14ac:dyDescent="0.35">
      <c r="A69" s="31" t="s">
        <v>8</v>
      </c>
      <c r="B69" s="32">
        <v>96.073999999999998</v>
      </c>
      <c r="C69" s="32">
        <v>5.147348507764149</v>
      </c>
      <c r="D69" s="32">
        <v>456.89684125999997</v>
      </c>
    </row>
    <row r="70" spans="1:4" x14ac:dyDescent="0.35">
      <c r="A70" s="31" t="s">
        <v>10</v>
      </c>
      <c r="B70" s="32">
        <v>34.411999999999999</v>
      </c>
      <c r="C70" s="32">
        <v>7.5436423196709956</v>
      </c>
      <c r="D70" s="32">
        <v>142.91414558000002</v>
      </c>
    </row>
  </sheetData>
  <mergeCells count="7">
    <mergeCell ref="S1:U1"/>
    <mergeCell ref="P1:Q1"/>
    <mergeCell ref="A3:C3"/>
    <mergeCell ref="D1:D2"/>
    <mergeCell ref="F1:F2"/>
    <mergeCell ref="G1:G2"/>
    <mergeCell ref="I1:M1"/>
  </mergeCells>
  <conditionalFormatting sqref="P4:Q8">
    <cfRule type="cellIs" dxfId="131" priority="25" operator="greaterThanOrEqual">
      <formula>0</formula>
    </cfRule>
    <cfRule type="cellIs" dxfId="130" priority="26" operator="lessThan">
      <formula>0</formula>
    </cfRule>
  </conditionalFormatting>
  <conditionalFormatting sqref="I4:I8">
    <cfRule type="cellIs" dxfId="129" priority="23" operator="greaterThanOrEqual">
      <formula>0</formula>
    </cfRule>
    <cfRule type="cellIs" dxfId="128" priority="24" operator="lessThan">
      <formula>0</formula>
    </cfRule>
  </conditionalFormatting>
  <conditionalFormatting sqref="J4:N8">
    <cfRule type="cellIs" dxfId="127" priority="21" operator="greaterThanOrEqual">
      <formula>0</formula>
    </cfRule>
    <cfRule type="cellIs" dxfId="126" priority="22" operator="lessThan">
      <formula>0</formula>
    </cfRule>
  </conditionalFormatting>
  <conditionalFormatting sqref="I3:N3">
    <cfRule type="cellIs" dxfId="125" priority="17" operator="greaterThanOrEqual">
      <formula>0</formula>
    </cfRule>
    <cfRule type="cellIs" dxfId="124" priority="18" operator="lessThan">
      <formula>0</formula>
    </cfRule>
  </conditionalFormatting>
  <conditionalFormatting sqref="S4:U8">
    <cfRule type="cellIs" dxfId="123" priority="15" operator="greaterThanOrEqual">
      <formula>0</formula>
    </cfRule>
    <cfRule type="cellIs" dxfId="122" priority="16" operator="lessThan">
      <formula>0</formula>
    </cfRule>
  </conditionalFormatting>
  <conditionalFormatting sqref="P9:Q9">
    <cfRule type="cellIs" dxfId="121" priority="13" operator="greaterThanOrEqual">
      <formula>0</formula>
    </cfRule>
    <cfRule type="cellIs" dxfId="120" priority="14" operator="lessThan">
      <formula>0</formula>
    </cfRule>
  </conditionalFormatting>
  <conditionalFormatting sqref="I9">
    <cfRule type="cellIs" dxfId="119" priority="11" operator="greaterThanOrEqual">
      <formula>0</formula>
    </cfRule>
    <cfRule type="cellIs" dxfId="118" priority="12" operator="lessThan">
      <formula>0</formula>
    </cfRule>
  </conditionalFormatting>
  <conditionalFormatting sqref="J9:N9">
    <cfRule type="cellIs" dxfId="117" priority="9" operator="greaterThanOrEqual">
      <formula>0</formula>
    </cfRule>
    <cfRule type="cellIs" dxfId="116" priority="10" operator="lessThan">
      <formula>0</formula>
    </cfRule>
  </conditionalFormatting>
  <conditionalFormatting sqref="S9:U9">
    <cfRule type="cellIs" dxfId="115" priority="7" operator="greaterThanOrEqual">
      <formula>0</formula>
    </cfRule>
    <cfRule type="cellIs" dxfId="114" priority="8" operator="lessThan">
      <formula>0</formula>
    </cfRule>
  </conditionalFormatting>
  <hyperlinks>
    <hyperlink ref="C1" location="GCF_2024!A1" display="Grįžti į pagrindinį puslapį" xr:uid="{9589BDCF-51A6-4FEC-85C3-7F42060580E4}"/>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70"/>
  <sheetViews>
    <sheetView showGridLines="0" zoomScale="70" zoomScaleNormal="70" workbookViewId="0"/>
  </sheetViews>
  <sheetFormatPr defaultColWidth="8.81640625" defaultRowHeight="15.5" x14ac:dyDescent="0.35"/>
  <cols>
    <col min="1" max="1" width="43.453125" style="16" customWidth="1"/>
    <col min="2" max="2" width="14.81640625" style="16" bestFit="1" customWidth="1"/>
    <col min="3" max="3" width="69.54296875" style="16" customWidth="1"/>
    <col min="4" max="4" width="13.54296875" style="16" customWidth="1"/>
    <col min="5" max="5" width="16.1796875" style="16" bestFit="1" customWidth="1"/>
    <col min="6" max="6" width="19.453125" style="16" customWidth="1"/>
    <col min="7" max="7" width="15.1796875" style="16" customWidth="1"/>
    <col min="8" max="8" width="1.453125" style="16" customWidth="1"/>
    <col min="9" max="9" width="16" style="16" customWidth="1"/>
    <col min="10" max="11" width="18.453125" style="16" customWidth="1"/>
    <col min="12" max="12" width="17.453125" style="16" customWidth="1"/>
    <col min="13" max="13" width="16.81640625" style="16" customWidth="1"/>
    <col min="14" max="14" width="17.453125" style="16" customWidth="1"/>
    <col min="15" max="15" width="1.453125" style="16" customWidth="1"/>
    <col min="16" max="16" width="19.54296875" style="16" customWidth="1"/>
    <col min="17" max="17" width="22.453125" style="16" customWidth="1"/>
    <col min="18" max="18" width="1.453125" style="16" customWidth="1"/>
    <col min="19" max="20" width="8.81640625" style="16"/>
    <col min="21" max="21" width="14.54296875" style="16" customWidth="1"/>
    <col min="22" max="16384" width="8.81640625" style="16"/>
  </cols>
  <sheetData>
    <row r="1" spans="1:23" ht="22.4" customHeight="1" x14ac:dyDescent="0.35">
      <c r="A1" s="91">
        <v>45657</v>
      </c>
      <c r="B1" s="25"/>
      <c r="C1" s="90" t="s">
        <v>76</v>
      </c>
      <c r="D1" s="100" t="s">
        <v>90</v>
      </c>
      <c r="E1" s="30" t="s">
        <v>75</v>
      </c>
      <c r="F1" s="100" t="s">
        <v>100</v>
      </c>
      <c r="G1" s="100" t="s">
        <v>71</v>
      </c>
      <c r="H1" s="27"/>
      <c r="I1" s="98" t="s">
        <v>72</v>
      </c>
      <c r="J1" s="104">
        <v>0</v>
      </c>
      <c r="K1" s="104"/>
      <c r="L1" s="104">
        <v>0</v>
      </c>
      <c r="M1" s="104">
        <v>0</v>
      </c>
      <c r="N1" s="87"/>
      <c r="O1" s="28"/>
      <c r="P1" s="102" t="s">
        <v>97</v>
      </c>
      <c r="Q1" s="103">
        <v>0</v>
      </c>
      <c r="R1" s="28"/>
      <c r="S1" s="98" t="s">
        <v>164</v>
      </c>
      <c r="T1" s="104">
        <v>0</v>
      </c>
      <c r="U1" s="104">
        <v>0</v>
      </c>
    </row>
    <row r="2" spans="1:23" ht="81" x14ac:dyDescent="0.35">
      <c r="A2" s="24" t="s">
        <v>42</v>
      </c>
      <c r="B2" s="24" t="s">
        <v>43</v>
      </c>
      <c r="C2" s="24" t="s">
        <v>44</v>
      </c>
      <c r="D2" s="101">
        <v>0</v>
      </c>
      <c r="E2" s="24" t="s">
        <v>99</v>
      </c>
      <c r="F2" s="101">
        <v>0</v>
      </c>
      <c r="G2" s="101">
        <v>0</v>
      </c>
      <c r="H2" s="27"/>
      <c r="I2" s="63" t="s">
        <v>92</v>
      </c>
      <c r="J2" s="24" t="s">
        <v>157</v>
      </c>
      <c r="K2" s="24" t="s">
        <v>158</v>
      </c>
      <c r="L2" s="24" t="s">
        <v>94</v>
      </c>
      <c r="M2" s="24" t="s">
        <v>159</v>
      </c>
      <c r="N2" s="24" t="s">
        <v>160</v>
      </c>
      <c r="O2" s="29"/>
      <c r="P2" s="24" t="s">
        <v>111</v>
      </c>
      <c r="Q2" s="24" t="s">
        <v>112</v>
      </c>
      <c r="R2" s="29"/>
      <c r="S2" s="24" t="s">
        <v>149</v>
      </c>
      <c r="T2" s="24" t="s">
        <v>150</v>
      </c>
      <c r="U2" s="24" t="s">
        <v>151</v>
      </c>
    </row>
    <row r="3" spans="1:23" ht="29.15" customHeight="1" x14ac:dyDescent="0.35">
      <c r="A3" s="105" t="s">
        <v>51</v>
      </c>
      <c r="B3" s="105"/>
      <c r="C3" s="105"/>
      <c r="D3" s="43"/>
      <c r="E3" s="43"/>
      <c r="F3" s="44"/>
      <c r="G3" s="69" t="s">
        <v>98</v>
      </c>
      <c r="H3" s="44"/>
      <c r="I3" s="66">
        <v>19.857531476669372</v>
      </c>
      <c r="J3" s="66">
        <v>5.9398233598291945</v>
      </c>
      <c r="K3" s="66">
        <v>10.549431049416967</v>
      </c>
      <c r="L3" s="66">
        <v>24.250117261418687</v>
      </c>
      <c r="M3" s="66">
        <v>8.141408491767125</v>
      </c>
      <c r="N3" s="66">
        <v>12.133373131010167</v>
      </c>
      <c r="O3" s="44"/>
      <c r="P3" s="44"/>
      <c r="Q3" s="44"/>
      <c r="R3" s="44"/>
      <c r="S3" s="44"/>
      <c r="T3" s="44"/>
      <c r="U3" s="44"/>
    </row>
    <row r="4" spans="1:23" customFormat="1" ht="14.5" x14ac:dyDescent="0.35">
      <c r="A4" s="31" t="s">
        <v>36</v>
      </c>
      <c r="B4" s="31" t="s">
        <v>14</v>
      </c>
      <c r="C4" s="31" t="s">
        <v>52</v>
      </c>
      <c r="D4" s="65" t="s">
        <v>165</v>
      </c>
      <c r="E4" s="33">
        <v>90</v>
      </c>
      <c r="F4" s="32">
        <v>150.21693203000001</v>
      </c>
      <c r="G4" s="34">
        <v>27697</v>
      </c>
      <c r="H4" s="22"/>
      <c r="I4" s="35">
        <v>22.512096246894188</v>
      </c>
      <c r="J4" s="35">
        <v>5.5655040209743323</v>
      </c>
      <c r="K4" s="35">
        <v>8.8053582838870668</v>
      </c>
      <c r="L4" s="35">
        <v>22.678328560485749</v>
      </c>
      <c r="M4" s="35">
        <v>7.3698752191499128</v>
      </c>
      <c r="N4" s="35">
        <v>10.501966055416068</v>
      </c>
      <c r="O4" s="22"/>
      <c r="P4" s="35">
        <v>10.834791700832405</v>
      </c>
      <c r="Q4" s="35">
        <v>11.802404626149677</v>
      </c>
      <c r="R4" s="23"/>
      <c r="S4" s="35">
        <v>0.49</v>
      </c>
      <c r="T4" s="35">
        <v>0.72</v>
      </c>
      <c r="U4" s="35" t="s">
        <v>91</v>
      </c>
      <c r="V4" s="57"/>
      <c r="W4" s="57"/>
    </row>
    <row r="5" spans="1:23" customFormat="1" ht="14.5" x14ac:dyDescent="0.35">
      <c r="A5" s="31" t="s">
        <v>162</v>
      </c>
      <c r="B5" s="31" t="s">
        <v>12</v>
      </c>
      <c r="C5" s="31" t="s">
        <v>126</v>
      </c>
      <c r="D5" s="65" t="s">
        <v>165</v>
      </c>
      <c r="E5" s="33">
        <v>97</v>
      </c>
      <c r="F5" s="32">
        <v>288.90304398110004</v>
      </c>
      <c r="G5" s="34">
        <v>43483</v>
      </c>
      <c r="H5" s="22"/>
      <c r="I5" s="35">
        <v>18.75</v>
      </c>
      <c r="J5" s="35">
        <v>6.6174767639551213</v>
      </c>
      <c r="K5" s="35">
        <v>10.748837176966886</v>
      </c>
      <c r="L5" s="35">
        <v>23.246260477169002</v>
      </c>
      <c r="M5" s="35">
        <v>7.6822450584804081</v>
      </c>
      <c r="N5" s="35">
        <v>11.586117076887126</v>
      </c>
      <c r="O5" s="22"/>
      <c r="P5" s="35">
        <v>10.078659315591029</v>
      </c>
      <c r="Q5" s="35">
        <v>12.88963908790981</v>
      </c>
      <c r="R5" s="23"/>
      <c r="S5" s="35">
        <v>0.5</v>
      </c>
      <c r="T5" s="35">
        <v>1.38</v>
      </c>
      <c r="U5" s="35">
        <v>1.38</v>
      </c>
      <c r="V5" s="57"/>
      <c r="W5" s="57"/>
    </row>
    <row r="6" spans="1:23" customFormat="1" ht="14.5" x14ac:dyDescent="0.35">
      <c r="A6" s="31" t="s">
        <v>88</v>
      </c>
      <c r="B6" s="31" t="s">
        <v>11</v>
      </c>
      <c r="C6" s="31" t="s">
        <v>53</v>
      </c>
      <c r="D6" s="65" t="s">
        <v>165</v>
      </c>
      <c r="E6" s="33">
        <v>98</v>
      </c>
      <c r="F6" s="32">
        <v>489.31449203</v>
      </c>
      <c r="G6" s="34">
        <v>74150</v>
      </c>
      <c r="H6" s="22"/>
      <c r="I6" s="35">
        <v>21.24217442509142</v>
      </c>
      <c r="J6" s="35">
        <v>5.806972972337876</v>
      </c>
      <c r="K6" s="35">
        <v>10.364757666847613</v>
      </c>
      <c r="L6" s="35">
        <v>25.856890474413841</v>
      </c>
      <c r="M6" s="35">
        <v>9.1385627733598707</v>
      </c>
      <c r="N6" s="35">
        <v>13.192720176757589</v>
      </c>
      <c r="O6" s="22"/>
      <c r="P6" s="35">
        <v>11.745928058512934</v>
      </c>
      <c r="Q6" s="35">
        <v>13.359245838487817</v>
      </c>
      <c r="R6" s="23"/>
      <c r="S6" s="35">
        <v>0.5</v>
      </c>
      <c r="T6" s="35" t="s">
        <v>91</v>
      </c>
      <c r="U6" s="35">
        <v>0.88</v>
      </c>
      <c r="V6" s="57"/>
      <c r="W6" s="57"/>
    </row>
    <row r="7" spans="1:23" customFormat="1" ht="14.5" x14ac:dyDescent="0.35">
      <c r="A7" s="31" t="s">
        <v>89</v>
      </c>
      <c r="B7" s="31" t="s">
        <v>13</v>
      </c>
      <c r="C7" s="31" t="s">
        <v>104</v>
      </c>
      <c r="D7" s="65" t="s">
        <v>165</v>
      </c>
      <c r="E7" s="33">
        <v>97</v>
      </c>
      <c r="F7" s="32">
        <v>638.10334465999995</v>
      </c>
      <c r="G7" s="34">
        <v>114284</v>
      </c>
      <c r="H7" s="22"/>
      <c r="I7" s="35">
        <v>17.101699088894339</v>
      </c>
      <c r="J7" s="35">
        <v>5.2480747453745202</v>
      </c>
      <c r="K7" s="35">
        <v>10.877164866287782</v>
      </c>
      <c r="L7" s="35">
        <v>24.595699867256492</v>
      </c>
      <c r="M7" s="35">
        <v>8.2189059427223867</v>
      </c>
      <c r="N7" s="35">
        <v>12.161141653201412</v>
      </c>
      <c r="O7" s="22"/>
      <c r="P7" s="35">
        <v>12.511237711171605</v>
      </c>
      <c r="Q7" s="35">
        <v>13.138753320926142</v>
      </c>
      <c r="R7" s="23"/>
      <c r="S7" s="35">
        <v>0.5</v>
      </c>
      <c r="T7" s="35" t="s">
        <v>91</v>
      </c>
      <c r="U7" s="35">
        <v>0.82509999999999994</v>
      </c>
      <c r="V7" s="57"/>
      <c r="W7" s="57"/>
    </row>
    <row r="8" spans="1:23" customFormat="1" ht="14.5" x14ac:dyDescent="0.35">
      <c r="A8" s="31" t="s">
        <v>116</v>
      </c>
      <c r="B8" s="31" t="s">
        <v>15</v>
      </c>
      <c r="C8" s="31" t="s">
        <v>119</v>
      </c>
      <c r="D8" s="65" t="s">
        <v>165</v>
      </c>
      <c r="E8" s="33">
        <v>90</v>
      </c>
      <c r="F8" s="32">
        <v>238.22957273</v>
      </c>
      <c r="G8" s="34">
        <v>48153</v>
      </c>
      <c r="H8" s="22"/>
      <c r="I8" s="35">
        <v>23.462605665612692</v>
      </c>
      <c r="J8" s="35">
        <v>7.4797904247102753</v>
      </c>
      <c r="K8" s="35">
        <v>10.908813554015961</v>
      </c>
      <c r="L8" s="35">
        <v>22.232700731163323</v>
      </c>
      <c r="M8" s="35">
        <v>6.9290386529283321</v>
      </c>
      <c r="N8" s="35">
        <v>11.575490491689401</v>
      </c>
      <c r="O8" s="22"/>
      <c r="P8" s="35">
        <v>11.774869978103567</v>
      </c>
      <c r="Q8" s="35">
        <v>12.818715422184933</v>
      </c>
      <c r="R8" s="23"/>
      <c r="S8" s="35">
        <v>0.5</v>
      </c>
      <c r="T8" s="35">
        <v>0.98</v>
      </c>
      <c r="U8" s="35" t="s">
        <v>91</v>
      </c>
      <c r="V8" s="57"/>
      <c r="W8" s="57"/>
    </row>
    <row r="9" spans="1:23" customFormat="1" ht="14.5" x14ac:dyDescent="0.35">
      <c r="A9" s="31" t="s">
        <v>131</v>
      </c>
      <c r="B9" s="31" t="s">
        <v>134</v>
      </c>
      <c r="C9" s="31" t="s">
        <v>144</v>
      </c>
      <c r="D9" s="65" t="s">
        <v>166</v>
      </c>
      <c r="E9" s="33">
        <v>100</v>
      </c>
      <c r="F9" s="32">
        <v>39.4845374581</v>
      </c>
      <c r="G9" s="34">
        <v>6641</v>
      </c>
      <c r="H9" s="22"/>
      <c r="I9" s="35">
        <v>23.488151658767787</v>
      </c>
      <c r="J9" s="35" t="s">
        <v>163</v>
      </c>
      <c r="K9" s="35" t="s">
        <v>163</v>
      </c>
      <c r="L9" s="35">
        <v>24.02640264026401</v>
      </c>
      <c r="M9" s="35" t="s">
        <v>163</v>
      </c>
      <c r="N9" s="35" t="s">
        <v>163</v>
      </c>
      <c r="O9" s="22"/>
      <c r="P9" s="35" t="s">
        <v>163</v>
      </c>
      <c r="Q9" s="35" t="s">
        <v>163</v>
      </c>
      <c r="R9" s="23"/>
      <c r="S9" s="35">
        <v>0.44</v>
      </c>
      <c r="T9" s="35">
        <v>0.56000000000000005</v>
      </c>
      <c r="U9" s="35" t="s">
        <v>91</v>
      </c>
      <c r="V9" s="57"/>
      <c r="W9" s="57"/>
    </row>
    <row r="10" spans="1:23" x14ac:dyDescent="0.35">
      <c r="A10" s="17"/>
      <c r="B10" s="17"/>
      <c r="C10" s="17"/>
      <c r="D10" s="17"/>
      <c r="E10" s="17"/>
      <c r="F10" s="17"/>
      <c r="G10" s="17"/>
      <c r="H10" s="17"/>
      <c r="I10" s="17"/>
      <c r="J10" s="17"/>
      <c r="K10" s="17"/>
      <c r="L10" s="17"/>
      <c r="M10" s="17"/>
      <c r="N10" s="17"/>
      <c r="O10" s="17"/>
      <c r="P10" s="17"/>
      <c r="Q10" s="17"/>
      <c r="R10" s="17"/>
    </row>
    <row r="11" spans="1:23" s="54" customFormat="1" ht="13.5" x14ac:dyDescent="0.3">
      <c r="A11" s="52" t="s">
        <v>168</v>
      </c>
      <c r="B11" s="48"/>
      <c r="C11" s="48"/>
      <c r="D11" s="53"/>
      <c r="E11" s="53"/>
      <c r="F11" s="53"/>
      <c r="G11" s="53"/>
      <c r="H11" s="53"/>
      <c r="I11" s="53"/>
      <c r="J11" s="53"/>
      <c r="K11" s="53"/>
      <c r="L11" s="53"/>
      <c r="M11" s="53"/>
      <c r="N11" s="53"/>
    </row>
    <row r="12" spans="1:23" s="54" customFormat="1" ht="13.5" x14ac:dyDescent="0.3">
      <c r="A12" s="48" t="s">
        <v>93</v>
      </c>
      <c r="B12" s="52"/>
      <c r="C12" s="52"/>
    </row>
    <row r="13" spans="1:23" s="54" customFormat="1" ht="13.5" x14ac:dyDescent="0.3">
      <c r="A13" s="52" t="s">
        <v>95</v>
      </c>
      <c r="B13" s="52"/>
      <c r="C13" s="52"/>
    </row>
    <row r="14" spans="1:23" s="54" customFormat="1" ht="13.5" x14ac:dyDescent="0.3">
      <c r="A14" s="52" t="s">
        <v>96</v>
      </c>
      <c r="B14" s="52"/>
      <c r="C14" s="52"/>
    </row>
    <row r="15" spans="1:23" s="54" customFormat="1" ht="13.5" x14ac:dyDescent="0.3">
      <c r="A15" s="52" t="s">
        <v>167</v>
      </c>
      <c r="B15" s="53"/>
      <c r="C15" s="53"/>
    </row>
    <row r="16" spans="1:23" s="54" customFormat="1" ht="13.5" x14ac:dyDescent="0.3">
      <c r="A16" s="55" t="s">
        <v>115</v>
      </c>
      <c r="B16" s="53"/>
      <c r="C16" s="53"/>
    </row>
    <row r="17" spans="1:4" s="54" customFormat="1" ht="13.5" x14ac:dyDescent="0.3">
      <c r="A17" s="55" t="s">
        <v>101</v>
      </c>
    </row>
    <row r="18" spans="1:4" s="54" customFormat="1" ht="13.5" x14ac:dyDescent="0.3">
      <c r="A18" s="55" t="s">
        <v>169</v>
      </c>
    </row>
    <row r="19" spans="1:4" s="54" customFormat="1" ht="13.5" x14ac:dyDescent="0.3">
      <c r="A19" s="55" t="s">
        <v>152</v>
      </c>
    </row>
    <row r="20" spans="1:4" s="54" customFormat="1" ht="13.5" x14ac:dyDescent="0.3">
      <c r="A20" s="55" t="s">
        <v>153</v>
      </c>
    </row>
    <row r="21" spans="1:4" s="54" customFormat="1" ht="13.5" x14ac:dyDescent="0.3">
      <c r="A21" s="55" t="s">
        <v>156</v>
      </c>
    </row>
    <row r="22" spans="1:4" s="54" customFormat="1" ht="13.5" x14ac:dyDescent="0.3">
      <c r="A22" s="55" t="s">
        <v>155</v>
      </c>
    </row>
    <row r="23" spans="1:4" s="54" customFormat="1" ht="13.5" x14ac:dyDescent="0.3">
      <c r="A23" s="55"/>
    </row>
    <row r="24" spans="1:4" x14ac:dyDescent="0.35">
      <c r="A24" s="55"/>
    </row>
    <row r="25" spans="1:4" x14ac:dyDescent="0.35">
      <c r="A25" s="36" t="s">
        <v>113</v>
      </c>
      <c r="B25" s="36"/>
      <c r="C25" s="36"/>
      <c r="D25" s="36"/>
    </row>
    <row r="26" spans="1:4" s="54" customFormat="1" ht="13.5" x14ac:dyDescent="0.3">
      <c r="A26" s="52" t="s">
        <v>83</v>
      </c>
      <c r="B26" s="53"/>
      <c r="C26" s="53"/>
    </row>
    <row r="27" spans="1:4" s="54" customFormat="1" ht="13.5" x14ac:dyDescent="0.3">
      <c r="A27" s="52" t="s">
        <v>84</v>
      </c>
      <c r="B27" s="53"/>
      <c r="C27" s="53"/>
    </row>
    <row r="28" spans="1:4" x14ac:dyDescent="0.35">
      <c r="A28" s="18"/>
      <c r="B28" s="18"/>
      <c r="C28" s="18"/>
    </row>
    <row r="35" spans="1:3" x14ac:dyDescent="0.35">
      <c r="A35" s="36" t="s">
        <v>0</v>
      </c>
      <c r="B35" s="36" t="s">
        <v>73</v>
      </c>
      <c r="C35" s="36" t="s">
        <v>72</v>
      </c>
    </row>
    <row r="36" spans="1:3" x14ac:dyDescent="0.35">
      <c r="A36" s="31" t="s">
        <v>14</v>
      </c>
      <c r="B36" s="32">
        <v>10.834791700832405</v>
      </c>
      <c r="C36" s="32">
        <v>5.5655040209743323</v>
      </c>
    </row>
    <row r="37" spans="1:3" x14ac:dyDescent="0.35">
      <c r="A37" s="31" t="s">
        <v>12</v>
      </c>
      <c r="B37" s="32">
        <v>10.078659315591029</v>
      </c>
      <c r="C37" s="32">
        <v>6.6174767639551213</v>
      </c>
    </row>
    <row r="38" spans="1:3" x14ac:dyDescent="0.35">
      <c r="A38" s="31" t="s">
        <v>11</v>
      </c>
      <c r="B38" s="32">
        <v>11.745928058512934</v>
      </c>
      <c r="C38" s="32">
        <v>5.806972972337876</v>
      </c>
    </row>
    <row r="39" spans="1:3" x14ac:dyDescent="0.35">
      <c r="A39" s="31" t="s">
        <v>13</v>
      </c>
      <c r="B39" s="32">
        <v>12.511237711171605</v>
      </c>
      <c r="C39" s="32">
        <v>5.2480747453745202</v>
      </c>
    </row>
    <row r="40" spans="1:3" x14ac:dyDescent="0.35">
      <c r="A40" s="31" t="s">
        <v>15</v>
      </c>
      <c r="B40" s="32">
        <v>11.774869978103567</v>
      </c>
      <c r="C40" s="32">
        <v>7.4797904247102753</v>
      </c>
    </row>
    <row r="57" spans="1:5" x14ac:dyDescent="0.35">
      <c r="A57" s="36" t="s">
        <v>114</v>
      </c>
      <c r="B57" s="36"/>
      <c r="C57" s="36"/>
      <c r="D57" s="36"/>
      <c r="E57" s="36"/>
    </row>
    <row r="58" spans="1:5" s="54" customFormat="1" ht="13.5" x14ac:dyDescent="0.3">
      <c r="A58" s="52" t="s">
        <v>85</v>
      </c>
      <c r="B58" s="53"/>
      <c r="C58" s="53"/>
    </row>
    <row r="59" spans="1:5" s="54" customFormat="1" ht="13.5" x14ac:dyDescent="0.3">
      <c r="A59" s="52" t="s">
        <v>86</v>
      </c>
      <c r="B59" s="53"/>
      <c r="C59" s="53"/>
    </row>
    <row r="60" spans="1:5" s="54" customFormat="1" ht="13.5" x14ac:dyDescent="0.3">
      <c r="A60" s="52" t="s">
        <v>87</v>
      </c>
      <c r="B60" s="53"/>
      <c r="C60" s="53"/>
    </row>
    <row r="65" spans="1:4" x14ac:dyDescent="0.35">
      <c r="A65" s="36" t="s">
        <v>0</v>
      </c>
      <c r="B65" s="36" t="s">
        <v>77</v>
      </c>
      <c r="C65" s="36" t="s">
        <v>78</v>
      </c>
      <c r="D65" s="36" t="s">
        <v>79</v>
      </c>
    </row>
    <row r="66" spans="1:4" x14ac:dyDescent="0.35">
      <c r="A66" s="31" t="s">
        <v>14</v>
      </c>
      <c r="B66" s="32">
        <v>27.696999999999999</v>
      </c>
      <c r="C66" s="32">
        <v>5.5655040209743323</v>
      </c>
      <c r="D66" s="32">
        <v>150.21693203000001</v>
      </c>
    </row>
    <row r="67" spans="1:4" x14ac:dyDescent="0.35">
      <c r="A67" s="31" t="s">
        <v>12</v>
      </c>
      <c r="B67" s="32">
        <v>43.482999999999997</v>
      </c>
      <c r="C67" s="32">
        <v>6.6174767639551213</v>
      </c>
      <c r="D67" s="32">
        <v>288.90304398110004</v>
      </c>
    </row>
    <row r="68" spans="1:4" x14ac:dyDescent="0.35">
      <c r="A68" s="31" t="s">
        <v>11</v>
      </c>
      <c r="B68" s="32">
        <v>74.150000000000006</v>
      </c>
      <c r="C68" s="32">
        <v>5.806972972337876</v>
      </c>
      <c r="D68" s="32">
        <v>489.31449203</v>
      </c>
    </row>
    <row r="69" spans="1:4" x14ac:dyDescent="0.35">
      <c r="A69" s="31" t="s">
        <v>13</v>
      </c>
      <c r="B69" s="32">
        <v>114.28400000000001</v>
      </c>
      <c r="C69" s="32">
        <v>5.2480747453745202</v>
      </c>
      <c r="D69" s="32">
        <v>638.10334465999995</v>
      </c>
    </row>
    <row r="70" spans="1:4" x14ac:dyDescent="0.35">
      <c r="A70" s="31" t="s">
        <v>15</v>
      </c>
      <c r="B70" s="32">
        <v>48.152999999999999</v>
      </c>
      <c r="C70" s="32">
        <v>7.4797904247102753</v>
      </c>
      <c r="D70" s="32">
        <v>238.22957273</v>
      </c>
    </row>
  </sheetData>
  <mergeCells count="7">
    <mergeCell ref="S1:U1"/>
    <mergeCell ref="P1:Q1"/>
    <mergeCell ref="A3:C3"/>
    <mergeCell ref="D1:D2"/>
    <mergeCell ref="F1:F2"/>
    <mergeCell ref="G1:G2"/>
    <mergeCell ref="I1:M1"/>
  </mergeCells>
  <conditionalFormatting sqref="I4:I8">
    <cfRule type="cellIs" dxfId="113" priority="27" operator="greaterThanOrEqual">
      <formula>0</formula>
    </cfRule>
    <cfRule type="cellIs" dxfId="112" priority="28" operator="lessThan">
      <formula>0</formula>
    </cfRule>
  </conditionalFormatting>
  <conditionalFormatting sqref="J4:M8">
    <cfRule type="cellIs" dxfId="111" priority="25" operator="greaterThanOrEqual">
      <formula>0</formula>
    </cfRule>
    <cfRule type="cellIs" dxfId="110" priority="26" operator="lessThan">
      <formula>0</formula>
    </cfRule>
  </conditionalFormatting>
  <conditionalFormatting sqref="I3:M3">
    <cfRule type="cellIs" dxfId="109" priority="19" operator="greaterThanOrEqual">
      <formula>0</formula>
    </cfRule>
    <cfRule type="cellIs" dxfId="108" priority="20" operator="lessThan">
      <formula>0</formula>
    </cfRule>
  </conditionalFormatting>
  <conditionalFormatting sqref="P4:Q8">
    <cfRule type="cellIs" dxfId="107" priority="17" operator="greaterThanOrEqual">
      <formula>0</formula>
    </cfRule>
    <cfRule type="cellIs" dxfId="106" priority="18" operator="lessThan">
      <formula>0</formula>
    </cfRule>
  </conditionalFormatting>
  <conditionalFormatting sqref="S4:U8">
    <cfRule type="cellIs" dxfId="105" priority="15" operator="greaterThanOrEqual">
      <formula>0</formula>
    </cfRule>
    <cfRule type="cellIs" dxfId="104" priority="16" operator="lessThan">
      <formula>0</formula>
    </cfRule>
  </conditionalFormatting>
  <conditionalFormatting sqref="I9">
    <cfRule type="cellIs" dxfId="103" priority="13" operator="greaterThanOrEqual">
      <formula>0</formula>
    </cfRule>
    <cfRule type="cellIs" dxfId="102" priority="14" operator="lessThan">
      <formula>0</formula>
    </cfRule>
  </conditionalFormatting>
  <conditionalFormatting sqref="J9:M9">
    <cfRule type="cellIs" dxfId="101" priority="11" operator="greaterThanOrEqual">
      <formula>0</formula>
    </cfRule>
    <cfRule type="cellIs" dxfId="100" priority="12" operator="lessThan">
      <formula>0</formula>
    </cfRule>
  </conditionalFormatting>
  <conditionalFormatting sqref="P9:Q9">
    <cfRule type="cellIs" dxfId="99" priority="9" operator="greaterThanOrEqual">
      <formula>0</formula>
    </cfRule>
    <cfRule type="cellIs" dxfId="98" priority="10" operator="lessThan">
      <formula>0</formula>
    </cfRule>
  </conditionalFormatting>
  <conditionalFormatting sqref="S9:U9">
    <cfRule type="cellIs" dxfId="97" priority="7" operator="greaterThanOrEqual">
      <formula>0</formula>
    </cfRule>
    <cfRule type="cellIs" dxfId="96" priority="8" operator="lessThan">
      <formula>0</formula>
    </cfRule>
  </conditionalFormatting>
  <conditionalFormatting sqref="N4:N8">
    <cfRule type="cellIs" dxfId="95" priority="5" operator="greaterThanOrEqual">
      <formula>0</formula>
    </cfRule>
    <cfRule type="cellIs" dxfId="94" priority="6" operator="lessThan">
      <formula>0</formula>
    </cfRule>
  </conditionalFormatting>
  <conditionalFormatting sqref="N3">
    <cfRule type="cellIs" dxfId="93" priority="3" operator="greaterThanOrEqual">
      <formula>0</formula>
    </cfRule>
    <cfRule type="cellIs" dxfId="92" priority="4" operator="lessThan">
      <formula>0</formula>
    </cfRule>
  </conditionalFormatting>
  <conditionalFormatting sqref="N9">
    <cfRule type="cellIs" dxfId="91" priority="1" operator="greaterThanOrEqual">
      <formula>0</formula>
    </cfRule>
    <cfRule type="cellIs" dxfId="90" priority="2" operator="lessThan">
      <formula>0</formula>
    </cfRule>
  </conditionalFormatting>
  <hyperlinks>
    <hyperlink ref="C1" location="GCF_2024!A1" display="Grįžti į pagrindinį puslapį" xr:uid="{AE464851-C501-419A-8EDD-847DB2D004FB}"/>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70"/>
  <sheetViews>
    <sheetView showGridLines="0" zoomScale="70" zoomScaleNormal="70" workbookViewId="0"/>
  </sheetViews>
  <sheetFormatPr defaultColWidth="8.81640625" defaultRowHeight="15.5" x14ac:dyDescent="0.35"/>
  <cols>
    <col min="1" max="1" width="42.453125" style="16" customWidth="1"/>
    <col min="2" max="2" width="14.81640625" style="16" bestFit="1" customWidth="1"/>
    <col min="3" max="3" width="67.1796875" style="16" customWidth="1"/>
    <col min="4" max="4" width="13.453125" style="16" customWidth="1"/>
    <col min="5" max="5" width="15.1796875" style="16" customWidth="1"/>
    <col min="6" max="6" width="13" style="16" customWidth="1"/>
    <col min="7" max="7" width="14.453125" style="16" customWidth="1"/>
    <col min="8" max="8" width="1.1796875" style="16" customWidth="1"/>
    <col min="9" max="9" width="18.453125" style="16" customWidth="1"/>
    <col min="10" max="11" width="17.453125" style="16" customWidth="1"/>
    <col min="12" max="12" width="18.453125" style="16" customWidth="1"/>
    <col min="13" max="14" width="17.453125" style="16" customWidth="1"/>
    <col min="15" max="15" width="1.1796875" style="16" customWidth="1"/>
    <col min="16" max="17" width="18.453125" style="16" customWidth="1"/>
    <col min="18" max="18" width="1.1796875" style="16" customWidth="1"/>
    <col min="19" max="20" width="8.81640625" style="16"/>
    <col min="21" max="21" width="12.453125" style="16" customWidth="1"/>
    <col min="22" max="16384" width="8.81640625" style="16"/>
  </cols>
  <sheetData>
    <row r="1" spans="1:23" ht="22.4" customHeight="1" x14ac:dyDescent="0.35">
      <c r="A1" s="91">
        <v>45657</v>
      </c>
      <c r="B1" s="25"/>
      <c r="C1" s="90" t="s">
        <v>76</v>
      </c>
      <c r="D1" s="100" t="s">
        <v>90</v>
      </c>
      <c r="E1" s="30" t="s">
        <v>75</v>
      </c>
      <c r="F1" s="100" t="s">
        <v>100</v>
      </c>
      <c r="G1" s="100" t="s">
        <v>71</v>
      </c>
      <c r="H1" s="27"/>
      <c r="I1" s="98" t="s">
        <v>72</v>
      </c>
      <c r="J1" s="104">
        <v>0</v>
      </c>
      <c r="K1" s="104"/>
      <c r="L1" s="104">
        <v>0</v>
      </c>
      <c r="M1" s="104">
        <v>0</v>
      </c>
      <c r="N1" s="87"/>
      <c r="O1" s="28"/>
      <c r="P1" s="102" t="s">
        <v>97</v>
      </c>
      <c r="Q1" s="103">
        <v>0</v>
      </c>
      <c r="R1" s="28"/>
      <c r="S1" s="98" t="s">
        <v>164</v>
      </c>
      <c r="T1" s="104">
        <v>0</v>
      </c>
      <c r="U1" s="104">
        <v>0</v>
      </c>
    </row>
    <row r="2" spans="1:23" ht="81" x14ac:dyDescent="0.35">
      <c r="A2" s="24" t="s">
        <v>42</v>
      </c>
      <c r="B2" s="24" t="s">
        <v>43</v>
      </c>
      <c r="C2" s="24" t="s">
        <v>44</v>
      </c>
      <c r="D2" s="101">
        <v>0</v>
      </c>
      <c r="E2" s="24" t="s">
        <v>99</v>
      </c>
      <c r="F2" s="101">
        <v>0</v>
      </c>
      <c r="G2" s="101">
        <v>0</v>
      </c>
      <c r="H2" s="27"/>
      <c r="I2" s="63" t="s">
        <v>92</v>
      </c>
      <c r="J2" s="24" t="s">
        <v>157</v>
      </c>
      <c r="K2" s="24" t="s">
        <v>158</v>
      </c>
      <c r="L2" s="24" t="s">
        <v>94</v>
      </c>
      <c r="M2" s="24" t="s">
        <v>159</v>
      </c>
      <c r="N2" s="24" t="s">
        <v>160</v>
      </c>
      <c r="O2" s="29"/>
      <c r="P2" s="24" t="s">
        <v>111</v>
      </c>
      <c r="Q2" s="24" t="s">
        <v>112</v>
      </c>
      <c r="R2" s="29"/>
      <c r="S2" s="24" t="s">
        <v>149</v>
      </c>
      <c r="T2" s="24" t="s">
        <v>150</v>
      </c>
      <c r="U2" s="24" t="s">
        <v>151</v>
      </c>
    </row>
    <row r="3" spans="1:23" ht="29.15" customHeight="1" x14ac:dyDescent="0.35">
      <c r="A3" s="105" t="s">
        <v>54</v>
      </c>
      <c r="B3" s="105"/>
      <c r="C3" s="105"/>
      <c r="D3" s="43"/>
      <c r="E3" s="43"/>
      <c r="F3" s="44"/>
      <c r="G3" s="69" t="s">
        <v>98</v>
      </c>
      <c r="H3" s="44"/>
      <c r="I3" s="66">
        <v>19.759610784617099</v>
      </c>
      <c r="J3" s="66">
        <v>5.8859772616908028</v>
      </c>
      <c r="K3" s="66">
        <v>10.508061346813165</v>
      </c>
      <c r="L3" s="66">
        <v>24.299161272301728</v>
      </c>
      <c r="M3" s="66">
        <v>8.1662965944137724</v>
      </c>
      <c r="N3" s="66">
        <v>12.169459067849985</v>
      </c>
      <c r="O3" s="44"/>
      <c r="P3" s="44"/>
      <c r="Q3" s="44"/>
      <c r="R3" s="44"/>
      <c r="S3" s="44"/>
      <c r="T3" s="44"/>
      <c r="U3" s="44"/>
    </row>
    <row r="4" spans="1:23" customFormat="1" ht="14.5" x14ac:dyDescent="0.35">
      <c r="A4" s="31" t="s">
        <v>36</v>
      </c>
      <c r="B4" s="31" t="s">
        <v>19</v>
      </c>
      <c r="C4" s="31" t="s">
        <v>55</v>
      </c>
      <c r="D4" s="65" t="s">
        <v>165</v>
      </c>
      <c r="E4" s="33">
        <v>90</v>
      </c>
      <c r="F4" s="32">
        <v>161.82778838999999</v>
      </c>
      <c r="G4" s="34">
        <v>19808</v>
      </c>
      <c r="H4" s="22"/>
      <c r="I4" s="35">
        <v>22.583170254403129</v>
      </c>
      <c r="J4" s="35">
        <v>5.6819667993607048</v>
      </c>
      <c r="K4" s="35">
        <v>8.9564985587868851</v>
      </c>
      <c r="L4" s="35">
        <v>22.678328560485749</v>
      </c>
      <c r="M4" s="35">
        <v>7.3698752191499128</v>
      </c>
      <c r="N4" s="35">
        <v>10.501966055416068</v>
      </c>
      <c r="O4" s="23"/>
      <c r="P4" s="35">
        <v>10.852231248522031</v>
      </c>
      <c r="Q4" s="35">
        <v>11.802404626149677</v>
      </c>
      <c r="R4" s="23"/>
      <c r="S4" s="35">
        <v>0.49</v>
      </c>
      <c r="T4" s="35">
        <v>0.72</v>
      </c>
      <c r="U4" s="35" t="s">
        <v>91</v>
      </c>
      <c r="V4" s="57"/>
      <c r="W4" s="57"/>
    </row>
    <row r="5" spans="1:23" customFormat="1" ht="14.5" x14ac:dyDescent="0.35">
      <c r="A5" s="31" t="s">
        <v>162</v>
      </c>
      <c r="B5" s="31" t="s">
        <v>17</v>
      </c>
      <c r="C5" s="31" t="s">
        <v>127</v>
      </c>
      <c r="D5" s="65" t="s">
        <v>165</v>
      </c>
      <c r="E5" s="33">
        <v>97</v>
      </c>
      <c r="F5" s="32">
        <v>285.03266145179998</v>
      </c>
      <c r="G5" s="34">
        <v>27066</v>
      </c>
      <c r="H5" s="22"/>
      <c r="I5" s="35">
        <v>18.480530647340608</v>
      </c>
      <c r="J5" s="35">
        <v>6.5490310641724836</v>
      </c>
      <c r="K5" s="35">
        <v>10.686844356498026</v>
      </c>
      <c r="L5" s="35">
        <v>23.246260477169002</v>
      </c>
      <c r="M5" s="35">
        <v>7.6822450584804081</v>
      </c>
      <c r="N5" s="35">
        <v>11.586117076887126</v>
      </c>
      <c r="O5" s="23"/>
      <c r="P5" s="35">
        <v>10.022748188566775</v>
      </c>
      <c r="Q5" s="35">
        <v>12.88963908790981</v>
      </c>
      <c r="R5" s="23"/>
      <c r="S5" s="35">
        <v>0.5</v>
      </c>
      <c r="T5" s="35">
        <v>1.39</v>
      </c>
      <c r="U5" s="35">
        <v>1.39</v>
      </c>
      <c r="V5" s="57"/>
      <c r="W5" s="57"/>
    </row>
    <row r="6" spans="1:23" customFormat="1" ht="14.5" x14ac:dyDescent="0.35">
      <c r="A6" s="31" t="s">
        <v>88</v>
      </c>
      <c r="B6" s="31" t="s">
        <v>16</v>
      </c>
      <c r="C6" s="31" t="s">
        <v>56</v>
      </c>
      <c r="D6" s="65" t="s">
        <v>165</v>
      </c>
      <c r="E6" s="33">
        <v>98</v>
      </c>
      <c r="F6" s="32">
        <v>598.69280014999993</v>
      </c>
      <c r="G6" s="34">
        <v>62505</v>
      </c>
      <c r="H6" s="22"/>
      <c r="I6" s="35">
        <v>21.184330397813532</v>
      </c>
      <c r="J6" s="35">
        <v>5.7542200590170012</v>
      </c>
      <c r="K6" s="35">
        <v>10.331738444072336</v>
      </c>
      <c r="L6" s="35">
        <v>25.85652350906884</v>
      </c>
      <c r="M6" s="35">
        <v>9.1383622799463549</v>
      </c>
      <c r="N6" s="35">
        <v>13.192600043928815</v>
      </c>
      <c r="O6" s="23"/>
      <c r="P6" s="35">
        <v>11.716771216440236</v>
      </c>
      <c r="Q6" s="35">
        <v>13.35932735728349</v>
      </c>
      <c r="R6" s="23"/>
      <c r="S6" s="35">
        <v>0.5</v>
      </c>
      <c r="T6" s="35" t="s">
        <v>91</v>
      </c>
      <c r="U6" s="35">
        <v>0.87</v>
      </c>
      <c r="V6" s="57"/>
      <c r="W6" s="57"/>
    </row>
    <row r="7" spans="1:23" customFormat="1" ht="14.5" x14ac:dyDescent="0.35">
      <c r="A7" s="31" t="s">
        <v>89</v>
      </c>
      <c r="B7" s="31" t="s">
        <v>18</v>
      </c>
      <c r="C7" s="31" t="s">
        <v>105</v>
      </c>
      <c r="D7" s="65" t="s">
        <v>165</v>
      </c>
      <c r="E7" s="33">
        <v>97</v>
      </c>
      <c r="F7" s="32">
        <v>749.1640366900001</v>
      </c>
      <c r="G7" s="34">
        <v>97734</v>
      </c>
      <c r="H7" s="22"/>
      <c r="I7" s="35">
        <v>17.073020183939256</v>
      </c>
      <c r="J7" s="35">
        <v>5.2584796658375232</v>
      </c>
      <c r="K7" s="35">
        <v>10.867468199430963</v>
      </c>
      <c r="L7" s="35">
        <v>24.595699867256492</v>
      </c>
      <c r="M7" s="35">
        <v>8.2189059427223867</v>
      </c>
      <c r="N7" s="35">
        <v>12.161141653201412</v>
      </c>
      <c r="O7" s="23"/>
      <c r="P7" s="35">
        <v>12.386309729625488</v>
      </c>
      <c r="Q7" s="35">
        <v>13.138753320926142</v>
      </c>
      <c r="R7" s="23"/>
      <c r="S7" s="35">
        <v>0.5</v>
      </c>
      <c r="T7" s="35" t="s">
        <v>91</v>
      </c>
      <c r="U7" s="35">
        <v>0.83079999999999998</v>
      </c>
      <c r="V7" s="57"/>
      <c r="W7" s="57"/>
    </row>
    <row r="8" spans="1:23" customFormat="1" ht="14.5" x14ac:dyDescent="0.35">
      <c r="A8" s="31" t="s">
        <v>116</v>
      </c>
      <c r="B8" s="31" t="s">
        <v>20</v>
      </c>
      <c r="C8" s="31" t="s">
        <v>120</v>
      </c>
      <c r="D8" s="65" t="s">
        <v>165</v>
      </c>
      <c r="E8" s="33">
        <v>90</v>
      </c>
      <c r="F8" s="32">
        <v>286.54344393999997</v>
      </c>
      <c r="G8" s="34">
        <v>40034</v>
      </c>
      <c r="H8" s="22"/>
      <c r="I8" s="35">
        <v>23.036785807461534</v>
      </c>
      <c r="J8" s="35">
        <v>7.2575085277627238</v>
      </c>
      <c r="K8" s="35">
        <v>10.635216729647867</v>
      </c>
      <c r="L8" s="35">
        <v>22.232700731163323</v>
      </c>
      <c r="M8" s="35">
        <v>6.9290386529283321</v>
      </c>
      <c r="N8" s="35">
        <v>11.575490491689401</v>
      </c>
      <c r="O8" s="23"/>
      <c r="P8" s="35">
        <v>11.818214242999193</v>
      </c>
      <c r="Q8" s="35">
        <v>12.818715422184933</v>
      </c>
      <c r="R8" s="23"/>
      <c r="S8" s="35">
        <v>0.5</v>
      </c>
      <c r="T8" s="35">
        <v>0.99</v>
      </c>
      <c r="U8" s="35" t="s">
        <v>91</v>
      </c>
      <c r="V8" s="57"/>
      <c r="W8" s="57"/>
    </row>
    <row r="9" spans="1:23" customFormat="1" ht="14.5" x14ac:dyDescent="0.35">
      <c r="A9" s="31" t="s">
        <v>131</v>
      </c>
      <c r="B9" s="31" t="s">
        <v>135</v>
      </c>
      <c r="C9" s="31" t="s">
        <v>143</v>
      </c>
      <c r="D9" s="65" t="s">
        <v>166</v>
      </c>
      <c r="E9" s="33">
        <v>100</v>
      </c>
      <c r="F9" s="32">
        <v>33.738875479199997</v>
      </c>
      <c r="G9" s="34">
        <v>2900</v>
      </c>
      <c r="H9" s="22"/>
      <c r="I9" s="35">
        <v>23.563054046325437</v>
      </c>
      <c r="J9" s="35" t="s">
        <v>163</v>
      </c>
      <c r="K9" s="35" t="s">
        <v>163</v>
      </c>
      <c r="L9" s="35">
        <v>24.02640264026401</v>
      </c>
      <c r="M9" s="35" t="s">
        <v>163</v>
      </c>
      <c r="N9" s="35" t="s">
        <v>163</v>
      </c>
      <c r="O9" s="23"/>
      <c r="P9" s="35" t="s">
        <v>163</v>
      </c>
      <c r="Q9" s="35" t="s">
        <v>163</v>
      </c>
      <c r="R9" s="23"/>
      <c r="S9" s="35">
        <v>0.45</v>
      </c>
      <c r="T9" s="35">
        <v>0.56999999999999995</v>
      </c>
      <c r="U9" s="35" t="s">
        <v>91</v>
      </c>
      <c r="V9" s="57"/>
      <c r="W9" s="57"/>
    </row>
    <row r="10" spans="1:23" x14ac:dyDescent="0.35">
      <c r="A10" s="17"/>
      <c r="B10" s="17"/>
      <c r="C10" s="17"/>
      <c r="D10" s="17"/>
      <c r="E10" s="17"/>
      <c r="F10" s="17"/>
      <c r="G10" s="17"/>
      <c r="H10" s="17"/>
      <c r="I10" s="17"/>
      <c r="J10" s="17"/>
      <c r="K10" s="17"/>
      <c r="L10" s="17"/>
      <c r="M10" s="17"/>
      <c r="N10" s="17"/>
      <c r="O10" s="17"/>
      <c r="P10" s="17"/>
      <c r="Q10" s="17"/>
      <c r="R10" s="17"/>
    </row>
    <row r="11" spans="1:23" s="54" customFormat="1" ht="13.5" x14ac:dyDescent="0.3">
      <c r="A11" s="52" t="s">
        <v>168</v>
      </c>
      <c r="B11" s="48"/>
      <c r="C11" s="48"/>
      <c r="D11" s="53"/>
      <c r="E11" s="53"/>
      <c r="F11" s="53"/>
      <c r="G11" s="53"/>
      <c r="H11" s="53"/>
      <c r="I11" s="53"/>
      <c r="J11" s="53"/>
      <c r="K11" s="53"/>
      <c r="L11" s="53"/>
      <c r="M11" s="53"/>
      <c r="N11" s="53"/>
    </row>
    <row r="12" spans="1:23" s="54" customFormat="1" ht="13.5" x14ac:dyDescent="0.3">
      <c r="A12" s="48" t="s">
        <v>93</v>
      </c>
      <c r="B12" s="52"/>
      <c r="C12" s="52"/>
    </row>
    <row r="13" spans="1:23" s="54" customFormat="1" ht="13.5" x14ac:dyDescent="0.3">
      <c r="A13" s="52" t="s">
        <v>95</v>
      </c>
      <c r="B13" s="52"/>
      <c r="C13" s="52"/>
    </row>
    <row r="14" spans="1:23" s="54" customFormat="1" ht="13.5" x14ac:dyDescent="0.3">
      <c r="A14" s="52" t="s">
        <v>96</v>
      </c>
      <c r="B14" s="52"/>
      <c r="C14" s="52"/>
    </row>
    <row r="15" spans="1:23" s="54" customFormat="1" ht="13.5" x14ac:dyDescent="0.3">
      <c r="A15" s="52" t="s">
        <v>167</v>
      </c>
      <c r="B15" s="53"/>
      <c r="C15" s="53"/>
    </row>
    <row r="16" spans="1:23" s="54" customFormat="1" ht="13.5" x14ac:dyDescent="0.3">
      <c r="A16" s="55" t="s">
        <v>115</v>
      </c>
      <c r="B16" s="53"/>
      <c r="C16" s="53"/>
    </row>
    <row r="17" spans="1:4" s="54" customFormat="1" ht="13.5" x14ac:dyDescent="0.3">
      <c r="A17" s="55" t="s">
        <v>101</v>
      </c>
    </row>
    <row r="18" spans="1:4" s="54" customFormat="1" ht="13.5" x14ac:dyDescent="0.3">
      <c r="A18" s="55" t="s">
        <v>169</v>
      </c>
    </row>
    <row r="19" spans="1:4" s="54" customFormat="1" ht="13.5" x14ac:dyDescent="0.3">
      <c r="A19" s="55" t="s">
        <v>152</v>
      </c>
    </row>
    <row r="20" spans="1:4" s="54" customFormat="1" ht="13.5" x14ac:dyDescent="0.3">
      <c r="A20" s="55" t="s">
        <v>153</v>
      </c>
    </row>
    <row r="21" spans="1:4" s="54" customFormat="1" ht="13.5" x14ac:dyDescent="0.3">
      <c r="A21" s="55" t="s">
        <v>156</v>
      </c>
    </row>
    <row r="22" spans="1:4" s="54" customFormat="1" ht="13.5" x14ac:dyDescent="0.3">
      <c r="A22" s="55" t="s">
        <v>155</v>
      </c>
    </row>
    <row r="23" spans="1:4" s="54" customFormat="1" ht="13.5" x14ac:dyDescent="0.3">
      <c r="A23" s="55"/>
    </row>
    <row r="24" spans="1:4" x14ac:dyDescent="0.35">
      <c r="A24" s="55"/>
    </row>
    <row r="25" spans="1:4" x14ac:dyDescent="0.35">
      <c r="A25" s="36" t="s">
        <v>113</v>
      </c>
      <c r="B25" s="36"/>
      <c r="C25" s="36"/>
      <c r="D25" s="36"/>
    </row>
    <row r="26" spans="1:4" s="54" customFormat="1" ht="13.5" x14ac:dyDescent="0.3">
      <c r="A26" s="52" t="s">
        <v>83</v>
      </c>
      <c r="B26" s="53"/>
      <c r="C26" s="53"/>
    </row>
    <row r="27" spans="1:4" s="54" customFormat="1" ht="13.5" x14ac:dyDescent="0.3">
      <c r="A27" s="52" t="s">
        <v>84</v>
      </c>
      <c r="B27" s="53"/>
      <c r="C27" s="53"/>
    </row>
    <row r="28" spans="1:4" x14ac:dyDescent="0.35">
      <c r="A28" s="18"/>
      <c r="B28" s="18"/>
      <c r="C28" s="18"/>
    </row>
    <row r="35" spans="1:3" x14ac:dyDescent="0.35">
      <c r="A35" s="36" t="s">
        <v>0</v>
      </c>
      <c r="B35" s="36" t="s">
        <v>73</v>
      </c>
      <c r="C35" s="36" t="s">
        <v>72</v>
      </c>
    </row>
    <row r="36" spans="1:3" x14ac:dyDescent="0.35">
      <c r="A36" s="31" t="s">
        <v>19</v>
      </c>
      <c r="B36" s="32">
        <v>10.852231248522031</v>
      </c>
      <c r="C36" s="32">
        <v>5.6819667993607048</v>
      </c>
    </row>
    <row r="37" spans="1:3" x14ac:dyDescent="0.35">
      <c r="A37" s="31" t="s">
        <v>17</v>
      </c>
      <c r="B37" s="32">
        <v>10.022748188566775</v>
      </c>
      <c r="C37" s="32">
        <v>6.5490310641724836</v>
      </c>
    </row>
    <row r="38" spans="1:3" x14ac:dyDescent="0.35">
      <c r="A38" s="31" t="s">
        <v>16</v>
      </c>
      <c r="B38" s="32">
        <v>11.716771216440236</v>
      </c>
      <c r="C38" s="32">
        <v>5.7542200590170012</v>
      </c>
    </row>
    <row r="39" spans="1:3" x14ac:dyDescent="0.35">
      <c r="A39" s="31" t="s">
        <v>18</v>
      </c>
      <c r="B39" s="32">
        <v>12.386309729625488</v>
      </c>
      <c r="C39" s="32">
        <v>5.2584796658375232</v>
      </c>
    </row>
    <row r="40" spans="1:3" x14ac:dyDescent="0.35">
      <c r="A40" s="31" t="s">
        <v>20</v>
      </c>
      <c r="B40" s="32">
        <v>11.818214242999193</v>
      </c>
      <c r="C40" s="32">
        <v>7.2575085277627238</v>
      </c>
    </row>
    <row r="57" spans="1:5" x14ac:dyDescent="0.35">
      <c r="A57" s="36" t="s">
        <v>114</v>
      </c>
      <c r="B57" s="36"/>
      <c r="C57" s="36"/>
      <c r="D57" s="36"/>
      <c r="E57" s="36"/>
    </row>
    <row r="58" spans="1:5" s="54" customFormat="1" ht="13.5" x14ac:dyDescent="0.3">
      <c r="A58" s="52" t="s">
        <v>85</v>
      </c>
      <c r="B58" s="53"/>
      <c r="C58" s="53"/>
    </row>
    <row r="59" spans="1:5" s="54" customFormat="1" ht="13.5" x14ac:dyDescent="0.3">
      <c r="A59" s="52" t="s">
        <v>86</v>
      </c>
      <c r="B59" s="53"/>
      <c r="C59" s="53"/>
    </row>
    <row r="60" spans="1:5" s="54" customFormat="1" ht="13.5" x14ac:dyDescent="0.3">
      <c r="A60" s="52" t="s">
        <v>87</v>
      </c>
      <c r="B60" s="53"/>
      <c r="C60" s="53"/>
    </row>
    <row r="65" spans="1:4" x14ac:dyDescent="0.35">
      <c r="A65" s="36" t="s">
        <v>0</v>
      </c>
      <c r="B65" s="36" t="s">
        <v>77</v>
      </c>
      <c r="C65" s="36" t="s">
        <v>78</v>
      </c>
      <c r="D65" s="36" t="s">
        <v>79</v>
      </c>
    </row>
    <row r="66" spans="1:4" x14ac:dyDescent="0.35">
      <c r="A66" s="31" t="s">
        <v>17</v>
      </c>
      <c r="B66" s="32">
        <v>27.065999999999999</v>
      </c>
      <c r="C66" s="32">
        <v>6.5490310641724836</v>
      </c>
      <c r="D66" s="32">
        <v>285.03266145179998</v>
      </c>
    </row>
    <row r="67" spans="1:4" x14ac:dyDescent="0.35">
      <c r="A67" s="31" t="s">
        <v>19</v>
      </c>
      <c r="B67" s="32">
        <v>19.808</v>
      </c>
      <c r="C67" s="32">
        <v>5.6819667993607048</v>
      </c>
      <c r="D67" s="32">
        <v>161.82778838999999</v>
      </c>
    </row>
    <row r="68" spans="1:4" x14ac:dyDescent="0.35">
      <c r="A68" s="31" t="s">
        <v>16</v>
      </c>
      <c r="B68" s="32">
        <v>62.505000000000003</v>
      </c>
      <c r="C68" s="32">
        <v>5.7542200590170012</v>
      </c>
      <c r="D68" s="32">
        <v>598.69280014999993</v>
      </c>
    </row>
    <row r="69" spans="1:4" x14ac:dyDescent="0.35">
      <c r="A69" s="31" t="s">
        <v>18</v>
      </c>
      <c r="B69" s="32">
        <v>97.733999999999995</v>
      </c>
      <c r="C69" s="32">
        <v>5.2584796658375232</v>
      </c>
      <c r="D69" s="32">
        <v>749.1640366900001</v>
      </c>
    </row>
    <row r="70" spans="1:4" x14ac:dyDescent="0.35">
      <c r="A70" s="31" t="s">
        <v>20</v>
      </c>
      <c r="B70" s="32">
        <v>40.033999999999999</v>
      </c>
      <c r="C70" s="32">
        <v>7.2575085277627238</v>
      </c>
      <c r="D70" s="32">
        <v>286.54344393999997</v>
      </c>
    </row>
  </sheetData>
  <mergeCells count="7">
    <mergeCell ref="S1:U1"/>
    <mergeCell ref="P1:Q1"/>
    <mergeCell ref="A3:C3"/>
    <mergeCell ref="D1:D2"/>
    <mergeCell ref="F1:F2"/>
    <mergeCell ref="G1:G2"/>
    <mergeCell ref="I1:M1"/>
  </mergeCells>
  <conditionalFormatting sqref="I4:I8">
    <cfRule type="cellIs" dxfId="89" priority="21" operator="greaterThanOrEqual">
      <formula>0</formula>
    </cfRule>
    <cfRule type="cellIs" dxfId="88" priority="22" operator="lessThan">
      <formula>0</formula>
    </cfRule>
  </conditionalFormatting>
  <conditionalFormatting sqref="J4:N8">
    <cfRule type="cellIs" dxfId="87" priority="19" operator="greaterThanOrEqual">
      <formula>0</formula>
    </cfRule>
    <cfRule type="cellIs" dxfId="86" priority="20" operator="lessThan">
      <formula>0</formula>
    </cfRule>
  </conditionalFormatting>
  <conditionalFormatting sqref="I3:N3">
    <cfRule type="cellIs" dxfId="85" priority="13" operator="greaterThanOrEqual">
      <formula>0</formula>
    </cfRule>
    <cfRule type="cellIs" dxfId="84" priority="14" operator="lessThan">
      <formula>0</formula>
    </cfRule>
  </conditionalFormatting>
  <conditionalFormatting sqref="P4:Q8">
    <cfRule type="cellIs" dxfId="83" priority="11" operator="greaterThanOrEqual">
      <formula>0</formula>
    </cfRule>
    <cfRule type="cellIs" dxfId="82" priority="12" operator="lessThan">
      <formula>0</formula>
    </cfRule>
  </conditionalFormatting>
  <conditionalFormatting sqref="S4:U8">
    <cfRule type="cellIs" dxfId="81" priority="9" operator="greaterThanOrEqual">
      <formula>0</formula>
    </cfRule>
    <cfRule type="cellIs" dxfId="80" priority="10" operator="lessThan">
      <formula>0</formula>
    </cfRule>
  </conditionalFormatting>
  <conditionalFormatting sqref="I9">
    <cfRule type="cellIs" dxfId="79" priority="7" operator="greaterThanOrEqual">
      <formula>0</formula>
    </cfRule>
    <cfRule type="cellIs" dxfId="78" priority="8" operator="lessThan">
      <formula>0</formula>
    </cfRule>
  </conditionalFormatting>
  <conditionalFormatting sqref="J9:N9">
    <cfRule type="cellIs" dxfId="77" priority="5" operator="greaterThanOrEqual">
      <formula>0</formula>
    </cfRule>
    <cfRule type="cellIs" dxfId="76" priority="6" operator="lessThan">
      <formula>0</formula>
    </cfRule>
  </conditionalFormatting>
  <conditionalFormatting sqref="P9:Q9">
    <cfRule type="cellIs" dxfId="75" priority="3" operator="greaterThanOrEqual">
      <formula>0</formula>
    </cfRule>
    <cfRule type="cellIs" dxfId="74" priority="4" operator="lessThan">
      <formula>0</formula>
    </cfRule>
  </conditionalFormatting>
  <conditionalFormatting sqref="S9:U9">
    <cfRule type="cellIs" dxfId="73" priority="1" operator="greaterThanOrEqual">
      <formula>0</formula>
    </cfRule>
    <cfRule type="cellIs" dxfId="72" priority="2" operator="lessThan">
      <formula>0</formula>
    </cfRule>
  </conditionalFormatting>
  <hyperlinks>
    <hyperlink ref="C1" location="GCF_2024!A1" display="Grįžti į pagrindinį puslapį" xr:uid="{D9BD9E3A-A052-4830-9FAF-79453B42DDD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70"/>
  <sheetViews>
    <sheetView showGridLines="0" zoomScale="70" zoomScaleNormal="70" workbookViewId="0"/>
  </sheetViews>
  <sheetFormatPr defaultColWidth="8.81640625" defaultRowHeight="15.5" x14ac:dyDescent="0.35"/>
  <cols>
    <col min="1" max="1" width="44.81640625" style="16" customWidth="1"/>
    <col min="2" max="2" width="14.81640625" style="16" bestFit="1" customWidth="1"/>
    <col min="3" max="3" width="68.453125" style="16" customWidth="1"/>
    <col min="4" max="4" width="13.453125" style="16" customWidth="1"/>
    <col min="5" max="5" width="17.54296875" style="16" customWidth="1"/>
    <col min="6" max="6" width="17" style="16" customWidth="1"/>
    <col min="7" max="7" width="13.453125" style="16" customWidth="1"/>
    <col min="8" max="8" width="1.81640625" style="16" customWidth="1"/>
    <col min="9" max="9" width="16.54296875" style="16" customWidth="1"/>
    <col min="10" max="11" width="17" style="16" customWidth="1"/>
    <col min="12" max="12" width="18.54296875" style="16" customWidth="1"/>
    <col min="13" max="13" width="17.54296875" style="16" customWidth="1"/>
    <col min="14" max="14" width="18.1796875" style="16" customWidth="1"/>
    <col min="15" max="15" width="1.81640625" style="16" customWidth="1"/>
    <col min="16" max="16" width="17.81640625" style="16" customWidth="1"/>
    <col min="17" max="17" width="16.453125" style="16" customWidth="1"/>
    <col min="18" max="18" width="1.81640625" style="16" customWidth="1"/>
    <col min="19" max="19" width="8.81640625" style="16"/>
    <col min="20" max="20" width="10.54296875" style="16" customWidth="1"/>
    <col min="21" max="21" width="12.54296875" style="16" customWidth="1"/>
    <col min="22" max="16384" width="8.81640625" style="16"/>
  </cols>
  <sheetData>
    <row r="1" spans="1:23" ht="22.4" customHeight="1" x14ac:dyDescent="0.35">
      <c r="A1" s="91">
        <v>45657</v>
      </c>
      <c r="B1" s="25"/>
      <c r="C1" s="90" t="s">
        <v>76</v>
      </c>
      <c r="D1" s="100" t="s">
        <v>90</v>
      </c>
      <c r="E1" s="30" t="s">
        <v>75</v>
      </c>
      <c r="F1" s="100" t="s">
        <v>100</v>
      </c>
      <c r="G1" s="100" t="s">
        <v>71</v>
      </c>
      <c r="H1" s="27"/>
      <c r="I1" s="98" t="s">
        <v>72</v>
      </c>
      <c r="J1" s="104">
        <v>0</v>
      </c>
      <c r="K1" s="104"/>
      <c r="L1" s="104">
        <v>0</v>
      </c>
      <c r="M1" s="104">
        <v>0</v>
      </c>
      <c r="N1" s="87"/>
      <c r="O1" s="28"/>
      <c r="P1" s="102" t="s">
        <v>97</v>
      </c>
      <c r="Q1" s="103">
        <v>0</v>
      </c>
      <c r="R1" s="28"/>
      <c r="S1" s="98" t="s">
        <v>164</v>
      </c>
      <c r="T1" s="104">
        <v>0</v>
      </c>
      <c r="U1" s="104">
        <v>0</v>
      </c>
    </row>
    <row r="2" spans="1:23" ht="81" x14ac:dyDescent="0.35">
      <c r="A2" s="24" t="s">
        <v>42</v>
      </c>
      <c r="B2" s="24" t="s">
        <v>43</v>
      </c>
      <c r="C2" s="24" t="s">
        <v>44</v>
      </c>
      <c r="D2" s="101">
        <v>0</v>
      </c>
      <c r="E2" s="24" t="s">
        <v>99</v>
      </c>
      <c r="F2" s="101">
        <v>0</v>
      </c>
      <c r="G2" s="101">
        <v>0</v>
      </c>
      <c r="H2" s="27"/>
      <c r="I2" s="63" t="s">
        <v>92</v>
      </c>
      <c r="J2" s="24" t="s">
        <v>157</v>
      </c>
      <c r="K2" s="24" t="s">
        <v>158</v>
      </c>
      <c r="L2" s="24" t="s">
        <v>94</v>
      </c>
      <c r="M2" s="24" t="s">
        <v>159</v>
      </c>
      <c r="N2" s="24" t="s">
        <v>160</v>
      </c>
      <c r="O2" s="29"/>
      <c r="P2" s="24" t="s">
        <v>111</v>
      </c>
      <c r="Q2" s="24" t="s">
        <v>112</v>
      </c>
      <c r="R2" s="29"/>
      <c r="S2" s="24" t="s">
        <v>149</v>
      </c>
      <c r="T2" s="24" t="s">
        <v>150</v>
      </c>
      <c r="U2" s="24" t="s">
        <v>151</v>
      </c>
    </row>
    <row r="3" spans="1:23" ht="29.15" customHeight="1" x14ac:dyDescent="0.35">
      <c r="A3" s="105" t="s">
        <v>57</v>
      </c>
      <c r="B3" s="105"/>
      <c r="C3" s="105"/>
      <c r="D3" s="43"/>
      <c r="E3" s="43"/>
      <c r="F3" s="44"/>
      <c r="G3" s="69" t="s">
        <v>98</v>
      </c>
      <c r="H3" s="44"/>
      <c r="I3" s="66">
        <v>15.799552692575675</v>
      </c>
      <c r="J3" s="66">
        <v>4.3677602516416627</v>
      </c>
      <c r="K3" s="66">
        <v>8.5729958815414733</v>
      </c>
      <c r="L3" s="66">
        <v>18.311512581658764</v>
      </c>
      <c r="M3" s="66">
        <v>5.5897103205915872</v>
      </c>
      <c r="N3" s="66">
        <v>9.3319744087203578</v>
      </c>
      <c r="O3" s="44"/>
      <c r="P3" s="44"/>
      <c r="Q3" s="44"/>
      <c r="R3" s="44"/>
      <c r="S3" s="44"/>
      <c r="T3" s="44"/>
      <c r="U3" s="44"/>
    </row>
    <row r="4" spans="1:23" customFormat="1" ht="14.5" x14ac:dyDescent="0.35">
      <c r="A4" s="31" t="s">
        <v>36</v>
      </c>
      <c r="B4" s="31" t="s">
        <v>24</v>
      </c>
      <c r="C4" s="31" t="s">
        <v>58</v>
      </c>
      <c r="D4" s="65" t="s">
        <v>165</v>
      </c>
      <c r="E4" s="33">
        <v>70</v>
      </c>
      <c r="F4" s="32">
        <v>149.82507113999998</v>
      </c>
      <c r="G4" s="34">
        <v>18231</v>
      </c>
      <c r="H4" s="22"/>
      <c r="I4" s="35">
        <v>18.42296752001058</v>
      </c>
      <c r="J4" s="35">
        <v>4.106545134813544</v>
      </c>
      <c r="K4" s="35">
        <v>7.5502340518034838</v>
      </c>
      <c r="L4" s="35">
        <v>18.292117758784432</v>
      </c>
      <c r="M4" s="35">
        <v>5.3184126756731009</v>
      </c>
      <c r="N4" s="35">
        <v>8.7641919547166722</v>
      </c>
      <c r="O4" s="23"/>
      <c r="P4" s="35">
        <v>9.8894086216901975</v>
      </c>
      <c r="Q4" s="35">
        <v>10.942362002689459</v>
      </c>
      <c r="R4" s="23"/>
      <c r="S4" s="35">
        <v>0.49</v>
      </c>
      <c r="T4" s="35">
        <v>0.72</v>
      </c>
      <c r="U4" s="35" t="s">
        <v>91</v>
      </c>
      <c r="V4" s="57"/>
      <c r="W4" s="57"/>
    </row>
    <row r="5" spans="1:23" customFormat="1" ht="14.5" x14ac:dyDescent="0.35">
      <c r="A5" s="31" t="s">
        <v>162</v>
      </c>
      <c r="B5" s="31" t="s">
        <v>22</v>
      </c>
      <c r="C5" s="31" t="s">
        <v>128</v>
      </c>
      <c r="D5" s="65" t="s">
        <v>165</v>
      </c>
      <c r="E5" s="33">
        <v>67.58</v>
      </c>
      <c r="F5" s="32">
        <v>227.53408827759998</v>
      </c>
      <c r="G5" s="34">
        <v>22802</v>
      </c>
      <c r="H5" s="22"/>
      <c r="I5" s="35">
        <v>14.139559286463799</v>
      </c>
      <c r="J5" s="35">
        <v>4.8010807175122183</v>
      </c>
      <c r="K5" s="35">
        <v>8.1704901466282731</v>
      </c>
      <c r="L5" s="35">
        <v>17.130892796720399</v>
      </c>
      <c r="M5" s="35">
        <v>4.4113609157786282</v>
      </c>
      <c r="N5" s="35">
        <v>7.918891750766921</v>
      </c>
      <c r="O5" s="23"/>
      <c r="P5" s="35">
        <v>8.2469053361012197</v>
      </c>
      <c r="Q5" s="35">
        <v>11.179450292066512</v>
      </c>
      <c r="R5" s="23"/>
      <c r="S5" s="35">
        <v>0.5</v>
      </c>
      <c r="T5" s="35">
        <v>1.23</v>
      </c>
      <c r="U5" s="35">
        <v>1.23</v>
      </c>
      <c r="V5" s="57"/>
      <c r="W5" s="57"/>
    </row>
    <row r="6" spans="1:23" customFormat="1" ht="14.5" x14ac:dyDescent="0.35">
      <c r="A6" s="31" t="s">
        <v>88</v>
      </c>
      <c r="B6" s="31" t="s">
        <v>21</v>
      </c>
      <c r="C6" s="31" t="s">
        <v>59</v>
      </c>
      <c r="D6" s="65" t="s">
        <v>165</v>
      </c>
      <c r="E6" s="33">
        <v>68.099999999999994</v>
      </c>
      <c r="F6" s="32">
        <v>510.87520738000001</v>
      </c>
      <c r="G6" s="34">
        <v>53181</v>
      </c>
      <c r="H6" s="22"/>
      <c r="I6" s="35">
        <v>16.332730093071369</v>
      </c>
      <c r="J6" s="35">
        <v>4.1587381654529576</v>
      </c>
      <c r="K6" s="35">
        <v>8.2934198282449856</v>
      </c>
      <c r="L6" s="35">
        <v>19.240881286883258</v>
      </c>
      <c r="M6" s="35">
        <v>6.5025651247931915</v>
      </c>
      <c r="N6" s="35">
        <v>10.158663434680214</v>
      </c>
      <c r="O6" s="23"/>
      <c r="P6" s="35">
        <v>10.007306522793799</v>
      </c>
      <c r="Q6" s="35">
        <v>11.431551658129552</v>
      </c>
      <c r="R6" s="23"/>
      <c r="S6" s="35">
        <v>0.5</v>
      </c>
      <c r="T6" s="35" t="s">
        <v>91</v>
      </c>
      <c r="U6" s="35">
        <v>0.79</v>
      </c>
      <c r="V6" s="57"/>
      <c r="W6" s="57"/>
    </row>
    <row r="7" spans="1:23" customFormat="1" ht="14.5" x14ac:dyDescent="0.35">
      <c r="A7" s="31" t="s">
        <v>89</v>
      </c>
      <c r="B7" s="31" t="s">
        <v>23</v>
      </c>
      <c r="C7" s="31" t="s">
        <v>106</v>
      </c>
      <c r="D7" s="65" t="s">
        <v>165</v>
      </c>
      <c r="E7" s="33">
        <v>70</v>
      </c>
      <c r="F7" s="32">
        <v>732.90933046999999</v>
      </c>
      <c r="G7" s="34">
        <v>94787</v>
      </c>
      <c r="H7" s="22"/>
      <c r="I7" s="35">
        <v>14.023105891364018</v>
      </c>
      <c r="J7" s="35">
        <v>3.9717052957709109</v>
      </c>
      <c r="K7" s="35">
        <v>9.1605931705205137</v>
      </c>
      <c r="L7" s="35">
        <v>18.24934989963829</v>
      </c>
      <c r="M7" s="35">
        <v>5.3823236545414099</v>
      </c>
      <c r="N7" s="35">
        <v>9.3677836429266303</v>
      </c>
      <c r="O7" s="23"/>
      <c r="P7" s="35">
        <v>10.463956810015802</v>
      </c>
      <c r="Q7" s="35">
        <v>11.63430294006548</v>
      </c>
      <c r="R7" s="23"/>
      <c r="S7" s="35">
        <v>0.5</v>
      </c>
      <c r="T7" s="35" t="s">
        <v>91</v>
      </c>
      <c r="U7" s="35">
        <v>0.78720000000000001</v>
      </c>
      <c r="V7" s="57"/>
      <c r="W7" s="57"/>
    </row>
    <row r="8" spans="1:23" customFormat="1" ht="14.5" x14ac:dyDescent="0.35">
      <c r="A8" s="31" t="s">
        <v>116</v>
      </c>
      <c r="B8" s="31" t="s">
        <v>25</v>
      </c>
      <c r="C8" s="31" t="s">
        <v>121</v>
      </c>
      <c r="D8" s="65" t="s">
        <v>165</v>
      </c>
      <c r="E8" s="33">
        <v>70</v>
      </c>
      <c r="F8" s="32">
        <v>287.16376073999999</v>
      </c>
      <c r="G8" s="34">
        <v>38969</v>
      </c>
      <c r="H8" s="22"/>
      <c r="I8" s="35">
        <v>18.753964338572125</v>
      </c>
      <c r="J8" s="35">
        <v>5.5433889926185254</v>
      </c>
      <c r="K8" s="35">
        <v>8.4232279511636587</v>
      </c>
      <c r="L8" s="35">
        <v>17.76236688561934</v>
      </c>
      <c r="M8" s="35">
        <v>5.5702182426912827</v>
      </c>
      <c r="N8" s="35">
        <v>9.1857605252793952</v>
      </c>
      <c r="O8" s="23"/>
      <c r="P8" s="35">
        <v>10.37364950578179</v>
      </c>
      <c r="Q8" s="35">
        <v>11.181309337978197</v>
      </c>
      <c r="R8" s="23"/>
      <c r="S8" s="35">
        <v>0.5</v>
      </c>
      <c r="T8" s="35">
        <v>0.87</v>
      </c>
      <c r="U8" s="35" t="s">
        <v>91</v>
      </c>
      <c r="V8" s="57"/>
      <c r="W8" s="57"/>
    </row>
    <row r="9" spans="1:23" customFormat="1" ht="14.5" x14ac:dyDescent="0.35">
      <c r="A9" s="31" t="s">
        <v>131</v>
      </c>
      <c r="B9" s="31" t="s">
        <v>136</v>
      </c>
      <c r="C9" s="31" t="s">
        <v>142</v>
      </c>
      <c r="D9" s="65" t="s">
        <v>166</v>
      </c>
      <c r="E9" s="33">
        <v>100</v>
      </c>
      <c r="F9" s="32">
        <v>21.592143967799998</v>
      </c>
      <c r="G9" s="34">
        <v>1951</v>
      </c>
      <c r="H9" s="22"/>
      <c r="I9" s="35">
        <v>23.480083857442335</v>
      </c>
      <c r="J9" s="35" t="s">
        <v>163</v>
      </c>
      <c r="K9" s="35" t="s">
        <v>163</v>
      </c>
      <c r="L9" s="35">
        <v>24.02640264026401</v>
      </c>
      <c r="M9" s="35" t="s">
        <v>163</v>
      </c>
      <c r="N9" s="35" t="s">
        <v>163</v>
      </c>
      <c r="O9" s="23"/>
      <c r="P9" s="35" t="s">
        <v>163</v>
      </c>
      <c r="Q9" s="35" t="s">
        <v>163</v>
      </c>
      <c r="R9" s="23"/>
      <c r="S9" s="35">
        <v>0.45</v>
      </c>
      <c r="T9" s="35">
        <v>0.56999999999999995</v>
      </c>
      <c r="U9" s="35" t="s">
        <v>91</v>
      </c>
      <c r="V9" s="57"/>
      <c r="W9" s="57"/>
    </row>
    <row r="10" spans="1:23" x14ac:dyDescent="0.35">
      <c r="A10" s="17"/>
      <c r="B10" s="17"/>
      <c r="C10" s="17"/>
      <c r="D10" s="17"/>
      <c r="E10" s="17"/>
      <c r="F10" s="17"/>
      <c r="G10" s="17"/>
      <c r="H10" s="17"/>
      <c r="I10" s="17"/>
      <c r="J10" s="17"/>
      <c r="K10" s="17"/>
      <c r="L10" s="17"/>
      <c r="M10" s="17"/>
      <c r="N10" s="17"/>
      <c r="O10" s="17"/>
      <c r="P10" s="17"/>
      <c r="Q10" s="17"/>
      <c r="R10" s="17"/>
    </row>
    <row r="11" spans="1:23" s="54" customFormat="1" ht="13.5" x14ac:dyDescent="0.3">
      <c r="A11" s="52" t="s">
        <v>168</v>
      </c>
      <c r="B11" s="48"/>
      <c r="C11" s="48"/>
      <c r="D11" s="53"/>
      <c r="E11" s="53"/>
      <c r="F11" s="53"/>
      <c r="G11" s="53"/>
      <c r="H11" s="53"/>
      <c r="I11" s="53"/>
      <c r="J11" s="53"/>
      <c r="K11" s="53"/>
      <c r="L11" s="53"/>
      <c r="M11" s="53"/>
      <c r="N11" s="53"/>
    </row>
    <row r="12" spans="1:23" s="54" customFormat="1" ht="13.5" x14ac:dyDescent="0.3">
      <c r="A12" s="48" t="s">
        <v>93</v>
      </c>
      <c r="B12" s="52"/>
      <c r="C12" s="52"/>
    </row>
    <row r="13" spans="1:23" s="54" customFormat="1" ht="13.5" x14ac:dyDescent="0.3">
      <c r="A13" s="52" t="s">
        <v>95</v>
      </c>
      <c r="B13" s="52"/>
      <c r="C13" s="52"/>
    </row>
    <row r="14" spans="1:23" s="54" customFormat="1" ht="13.5" x14ac:dyDescent="0.3">
      <c r="A14" s="52" t="s">
        <v>96</v>
      </c>
      <c r="B14" s="52"/>
      <c r="C14" s="52"/>
    </row>
    <row r="15" spans="1:23" s="54" customFormat="1" ht="13.5" x14ac:dyDescent="0.3">
      <c r="A15" s="52" t="s">
        <v>167</v>
      </c>
      <c r="B15" s="53"/>
      <c r="C15" s="53"/>
    </row>
    <row r="16" spans="1:23" s="54" customFormat="1" ht="13.5" x14ac:dyDescent="0.3">
      <c r="A16" s="55" t="s">
        <v>115</v>
      </c>
      <c r="B16" s="53"/>
      <c r="C16" s="53"/>
    </row>
    <row r="17" spans="1:4" s="54" customFormat="1" ht="13.5" x14ac:dyDescent="0.3">
      <c r="A17" s="55" t="s">
        <v>101</v>
      </c>
    </row>
    <row r="18" spans="1:4" s="54" customFormat="1" ht="13.5" x14ac:dyDescent="0.3">
      <c r="A18" s="55" t="s">
        <v>169</v>
      </c>
    </row>
    <row r="19" spans="1:4" s="54" customFormat="1" ht="13.5" x14ac:dyDescent="0.3">
      <c r="A19" s="55" t="s">
        <v>152</v>
      </c>
    </row>
    <row r="20" spans="1:4" s="54" customFormat="1" ht="13.5" x14ac:dyDescent="0.3">
      <c r="A20" s="55" t="s">
        <v>153</v>
      </c>
    </row>
    <row r="21" spans="1:4" s="54" customFormat="1" ht="13.5" x14ac:dyDescent="0.3">
      <c r="A21" s="55" t="s">
        <v>156</v>
      </c>
    </row>
    <row r="22" spans="1:4" s="54" customFormat="1" ht="13.5" x14ac:dyDescent="0.3">
      <c r="A22" s="55" t="s">
        <v>155</v>
      </c>
    </row>
    <row r="23" spans="1:4" s="54" customFormat="1" ht="13.5" x14ac:dyDescent="0.3">
      <c r="A23" s="55"/>
    </row>
    <row r="24" spans="1:4" x14ac:dyDescent="0.35">
      <c r="A24" s="55"/>
    </row>
    <row r="25" spans="1:4" x14ac:dyDescent="0.35">
      <c r="A25" s="36" t="s">
        <v>113</v>
      </c>
      <c r="B25" s="36"/>
      <c r="C25" s="36"/>
      <c r="D25" s="36"/>
    </row>
    <row r="26" spans="1:4" s="54" customFormat="1" ht="13.5" x14ac:dyDescent="0.3">
      <c r="A26" s="52" t="s">
        <v>83</v>
      </c>
      <c r="B26" s="53"/>
      <c r="C26" s="53"/>
    </row>
    <row r="27" spans="1:4" s="54" customFormat="1" ht="13.5" x14ac:dyDescent="0.3">
      <c r="A27" s="52" t="s">
        <v>84</v>
      </c>
      <c r="B27" s="53"/>
      <c r="C27" s="53"/>
    </row>
    <row r="28" spans="1:4" x14ac:dyDescent="0.35">
      <c r="A28" s="18"/>
      <c r="B28" s="18"/>
      <c r="C28" s="18"/>
    </row>
    <row r="35" spans="1:3" x14ac:dyDescent="0.35">
      <c r="A35" s="36" t="s">
        <v>0</v>
      </c>
      <c r="B35" s="36" t="s">
        <v>73</v>
      </c>
      <c r="C35" s="36" t="s">
        <v>72</v>
      </c>
    </row>
    <row r="36" spans="1:3" x14ac:dyDescent="0.35">
      <c r="A36" s="31" t="s">
        <v>24</v>
      </c>
      <c r="B36" s="32">
        <v>9.8894086216901975</v>
      </c>
      <c r="C36" s="32">
        <v>4.106545134813544</v>
      </c>
    </row>
    <row r="37" spans="1:3" x14ac:dyDescent="0.35">
      <c r="A37" s="31" t="s">
        <v>22</v>
      </c>
      <c r="B37" s="32">
        <v>8.2469053361012197</v>
      </c>
      <c r="C37" s="32">
        <v>4.8010807175122183</v>
      </c>
    </row>
    <row r="38" spans="1:3" x14ac:dyDescent="0.35">
      <c r="A38" s="31" t="s">
        <v>21</v>
      </c>
      <c r="B38" s="32">
        <v>10.007306522793799</v>
      </c>
      <c r="C38" s="32">
        <v>4.1587381654529576</v>
      </c>
    </row>
    <row r="39" spans="1:3" x14ac:dyDescent="0.35">
      <c r="A39" s="31" t="s">
        <v>23</v>
      </c>
      <c r="B39" s="32">
        <v>10.463956810015802</v>
      </c>
      <c r="C39" s="32">
        <v>3.9717052957709109</v>
      </c>
    </row>
    <row r="40" spans="1:3" x14ac:dyDescent="0.35">
      <c r="A40" s="31" t="s">
        <v>25</v>
      </c>
      <c r="B40" s="32">
        <v>10.37364950578179</v>
      </c>
      <c r="C40" s="32">
        <v>5.5433889926185254</v>
      </c>
    </row>
    <row r="57" spans="1:5" x14ac:dyDescent="0.35">
      <c r="A57" s="36" t="s">
        <v>114</v>
      </c>
      <c r="B57" s="36"/>
      <c r="C57" s="36"/>
      <c r="D57" s="36"/>
      <c r="E57" s="36"/>
    </row>
    <row r="58" spans="1:5" s="54" customFormat="1" ht="13.5" x14ac:dyDescent="0.3">
      <c r="A58" s="52" t="s">
        <v>85</v>
      </c>
      <c r="B58" s="53"/>
      <c r="C58" s="53"/>
    </row>
    <row r="59" spans="1:5" s="54" customFormat="1" ht="13.5" x14ac:dyDescent="0.3">
      <c r="A59" s="52" t="s">
        <v>86</v>
      </c>
      <c r="B59" s="53"/>
      <c r="C59" s="53"/>
    </row>
    <row r="60" spans="1:5" s="54" customFormat="1" ht="13.5" x14ac:dyDescent="0.3">
      <c r="A60" s="52" t="s">
        <v>87</v>
      </c>
      <c r="B60" s="53"/>
      <c r="C60" s="53"/>
    </row>
    <row r="65" spans="1:4" x14ac:dyDescent="0.35">
      <c r="A65" s="36" t="s">
        <v>0</v>
      </c>
      <c r="B65" s="36" t="s">
        <v>77</v>
      </c>
      <c r="C65" s="36" t="s">
        <v>78</v>
      </c>
      <c r="D65" s="36" t="s">
        <v>79</v>
      </c>
    </row>
    <row r="66" spans="1:4" x14ac:dyDescent="0.35">
      <c r="A66" s="31" t="s">
        <v>22</v>
      </c>
      <c r="B66" s="32">
        <v>22.802</v>
      </c>
      <c r="C66" s="32">
        <v>4.8010807175122183</v>
      </c>
      <c r="D66" s="32">
        <v>227.53408827759998</v>
      </c>
    </row>
    <row r="67" spans="1:4" x14ac:dyDescent="0.35">
      <c r="A67" s="31" t="s">
        <v>24</v>
      </c>
      <c r="B67" s="32">
        <v>18.231000000000002</v>
      </c>
      <c r="C67" s="32">
        <v>4.106545134813544</v>
      </c>
      <c r="D67" s="32">
        <v>149.82507113999998</v>
      </c>
    </row>
    <row r="68" spans="1:4" x14ac:dyDescent="0.35">
      <c r="A68" s="31" t="s">
        <v>21</v>
      </c>
      <c r="B68" s="32">
        <v>53.180999999999997</v>
      </c>
      <c r="C68" s="32">
        <v>4.1587381654529576</v>
      </c>
      <c r="D68" s="32">
        <v>510.87520738000001</v>
      </c>
    </row>
    <row r="69" spans="1:4" x14ac:dyDescent="0.35">
      <c r="A69" s="31" t="s">
        <v>23</v>
      </c>
      <c r="B69" s="32">
        <v>94.787000000000006</v>
      </c>
      <c r="C69" s="32">
        <v>3.9717052957709109</v>
      </c>
      <c r="D69" s="32">
        <v>732.90933046999999</v>
      </c>
    </row>
    <row r="70" spans="1:4" x14ac:dyDescent="0.35">
      <c r="A70" s="31" t="s">
        <v>25</v>
      </c>
      <c r="B70" s="32">
        <v>38.969000000000001</v>
      </c>
      <c r="C70" s="32">
        <v>5.5433889926185254</v>
      </c>
      <c r="D70" s="32">
        <v>287.16376073999999</v>
      </c>
    </row>
  </sheetData>
  <mergeCells count="7">
    <mergeCell ref="S1:U1"/>
    <mergeCell ref="P1:Q1"/>
    <mergeCell ref="A3:C3"/>
    <mergeCell ref="D1:D2"/>
    <mergeCell ref="F1:F2"/>
    <mergeCell ref="G1:G2"/>
    <mergeCell ref="I1:M1"/>
  </mergeCells>
  <conditionalFormatting sqref="I4:I8">
    <cfRule type="cellIs" dxfId="71" priority="21" operator="greaterThanOrEqual">
      <formula>0</formula>
    </cfRule>
    <cfRule type="cellIs" dxfId="70" priority="22" operator="lessThan">
      <formula>0</formula>
    </cfRule>
  </conditionalFormatting>
  <conditionalFormatting sqref="J4:N8">
    <cfRule type="cellIs" dxfId="69" priority="19" operator="greaterThanOrEqual">
      <formula>0</formula>
    </cfRule>
    <cfRule type="cellIs" dxfId="68" priority="20" operator="lessThan">
      <formula>0</formula>
    </cfRule>
  </conditionalFormatting>
  <conditionalFormatting sqref="I3:N3">
    <cfRule type="cellIs" dxfId="67" priority="13" operator="greaterThanOrEqual">
      <formula>0</formula>
    </cfRule>
    <cfRule type="cellIs" dxfId="66" priority="14" operator="lessThan">
      <formula>0</formula>
    </cfRule>
  </conditionalFormatting>
  <conditionalFormatting sqref="P4:Q8">
    <cfRule type="cellIs" dxfId="65" priority="11" operator="greaterThanOrEqual">
      <formula>0</formula>
    </cfRule>
    <cfRule type="cellIs" dxfId="64" priority="12" operator="lessThan">
      <formula>0</formula>
    </cfRule>
  </conditionalFormatting>
  <conditionalFormatting sqref="S4:U8">
    <cfRule type="cellIs" dxfId="63" priority="9" operator="greaterThanOrEqual">
      <formula>0</formula>
    </cfRule>
    <cfRule type="cellIs" dxfId="62" priority="10" operator="lessThan">
      <formula>0</formula>
    </cfRule>
  </conditionalFormatting>
  <conditionalFormatting sqref="I9">
    <cfRule type="cellIs" dxfId="61" priority="7" operator="greaterThanOrEqual">
      <formula>0</formula>
    </cfRule>
    <cfRule type="cellIs" dxfId="60" priority="8" operator="lessThan">
      <formula>0</formula>
    </cfRule>
  </conditionalFormatting>
  <conditionalFormatting sqref="J9:N9">
    <cfRule type="cellIs" dxfId="59" priority="5" operator="greaterThanOrEqual">
      <formula>0</formula>
    </cfRule>
    <cfRule type="cellIs" dxfId="58" priority="6" operator="lessThan">
      <formula>0</formula>
    </cfRule>
  </conditionalFormatting>
  <conditionalFormatting sqref="P9:Q9">
    <cfRule type="cellIs" dxfId="57" priority="3" operator="greaterThanOrEqual">
      <formula>0</formula>
    </cfRule>
    <cfRule type="cellIs" dxfId="56" priority="4" operator="lessThan">
      <formula>0</formula>
    </cfRule>
  </conditionalFormatting>
  <conditionalFormatting sqref="S9:U9">
    <cfRule type="cellIs" dxfId="55" priority="1" operator="greaterThanOrEqual">
      <formula>0</formula>
    </cfRule>
    <cfRule type="cellIs" dxfId="54" priority="2" operator="lessThan">
      <formula>0</formula>
    </cfRule>
  </conditionalFormatting>
  <hyperlinks>
    <hyperlink ref="C1" location="GCF_2024!A1" display="Grįžti į pagrindinį puslapį" xr:uid="{649501E7-DF9A-42F8-82F9-C3B2EA56E1BB}"/>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70"/>
  <sheetViews>
    <sheetView showGridLines="0" zoomScale="70" zoomScaleNormal="70" workbookViewId="0"/>
  </sheetViews>
  <sheetFormatPr defaultColWidth="8.81640625" defaultRowHeight="15.5" x14ac:dyDescent="0.35"/>
  <cols>
    <col min="1" max="1" width="43.54296875" style="16" customWidth="1"/>
    <col min="2" max="2" width="14.81640625" style="16" bestFit="1" customWidth="1"/>
    <col min="3" max="3" width="68.54296875" style="16" customWidth="1"/>
    <col min="4" max="4" width="17.453125" style="16" customWidth="1"/>
    <col min="5" max="5" width="16.1796875" style="16" bestFit="1" customWidth="1"/>
    <col min="6" max="6" width="19.453125" style="16" customWidth="1"/>
    <col min="7" max="7" width="13.54296875" style="16" customWidth="1"/>
    <col min="8" max="8" width="1.453125" style="16" customWidth="1"/>
    <col min="9" max="9" width="17.453125" style="16" customWidth="1"/>
    <col min="10" max="11" width="17" style="16" customWidth="1"/>
    <col min="12" max="12" width="18.453125" style="16" customWidth="1"/>
    <col min="13" max="14" width="17.1796875" style="16" customWidth="1"/>
    <col min="15" max="15" width="1.453125" style="16" customWidth="1"/>
    <col min="16" max="16" width="16" style="16" customWidth="1"/>
    <col min="17" max="17" width="18.81640625" style="16" customWidth="1"/>
    <col min="18" max="18" width="1.453125" style="16" customWidth="1"/>
    <col min="19" max="19" width="8.81640625" style="16"/>
    <col min="20" max="20" width="11" style="16" customWidth="1"/>
    <col min="21" max="21" width="13.453125" style="16" customWidth="1"/>
    <col min="22" max="16384" width="8.81640625" style="16"/>
  </cols>
  <sheetData>
    <row r="1" spans="1:23" ht="22.4" customHeight="1" x14ac:dyDescent="0.35">
      <c r="A1" s="91">
        <v>45657</v>
      </c>
      <c r="B1" s="25"/>
      <c r="C1" s="90" t="s">
        <v>76</v>
      </c>
      <c r="D1" s="100" t="s">
        <v>90</v>
      </c>
      <c r="E1" s="30" t="s">
        <v>75</v>
      </c>
      <c r="F1" s="100" t="s">
        <v>100</v>
      </c>
      <c r="G1" s="100" t="s">
        <v>71</v>
      </c>
      <c r="H1" s="27"/>
      <c r="I1" s="98" t="s">
        <v>72</v>
      </c>
      <c r="J1" s="104">
        <v>0</v>
      </c>
      <c r="K1" s="104"/>
      <c r="L1" s="104">
        <v>0</v>
      </c>
      <c r="M1" s="104">
        <v>0</v>
      </c>
      <c r="N1" s="87"/>
      <c r="O1" s="28"/>
      <c r="P1" s="102" t="s">
        <v>97</v>
      </c>
      <c r="Q1" s="103">
        <v>0</v>
      </c>
      <c r="R1" s="28"/>
      <c r="S1" s="98" t="s">
        <v>164</v>
      </c>
      <c r="T1" s="104">
        <v>0</v>
      </c>
      <c r="U1" s="104">
        <v>0</v>
      </c>
    </row>
    <row r="2" spans="1:23" ht="92.5" customHeight="1" x14ac:dyDescent="0.35">
      <c r="A2" s="24" t="s">
        <v>42</v>
      </c>
      <c r="B2" s="24" t="s">
        <v>43</v>
      </c>
      <c r="C2" s="24" t="s">
        <v>44</v>
      </c>
      <c r="D2" s="101">
        <v>0</v>
      </c>
      <c r="E2" s="24" t="s">
        <v>99</v>
      </c>
      <c r="F2" s="101">
        <v>0</v>
      </c>
      <c r="G2" s="101">
        <v>0</v>
      </c>
      <c r="H2" s="27"/>
      <c r="I2" s="63" t="s">
        <v>92</v>
      </c>
      <c r="J2" s="24" t="s">
        <v>157</v>
      </c>
      <c r="K2" s="24" t="s">
        <v>158</v>
      </c>
      <c r="L2" s="24" t="s">
        <v>94</v>
      </c>
      <c r="M2" s="24" t="s">
        <v>159</v>
      </c>
      <c r="N2" s="24" t="s">
        <v>160</v>
      </c>
      <c r="O2" s="29"/>
      <c r="P2" s="24" t="s">
        <v>111</v>
      </c>
      <c r="Q2" s="24" t="s">
        <v>112</v>
      </c>
      <c r="R2" s="29"/>
      <c r="S2" s="24" t="s">
        <v>149</v>
      </c>
      <c r="T2" s="24" t="s">
        <v>150</v>
      </c>
      <c r="U2" s="24" t="s">
        <v>151</v>
      </c>
    </row>
    <row r="3" spans="1:23" ht="29.15" customHeight="1" x14ac:dyDescent="0.35">
      <c r="A3" s="105" t="s">
        <v>60</v>
      </c>
      <c r="B3" s="105"/>
      <c r="C3" s="105"/>
      <c r="D3" s="43"/>
      <c r="E3" s="43"/>
      <c r="F3" s="44"/>
      <c r="G3" s="69" t="s">
        <v>98</v>
      </c>
      <c r="H3" s="44"/>
      <c r="I3" s="66">
        <v>10.433905041269977</v>
      </c>
      <c r="J3" s="66">
        <v>2.0443205991670244</v>
      </c>
      <c r="K3" s="66">
        <v>4.4405959013748157</v>
      </c>
      <c r="L3" s="66">
        <v>10.628744196942304</v>
      </c>
      <c r="M3" s="66">
        <v>1.9538910639045874</v>
      </c>
      <c r="N3" s="66">
        <v>4.1412861136249877</v>
      </c>
      <c r="O3" s="44"/>
      <c r="P3" s="44"/>
      <c r="Q3" s="44"/>
      <c r="R3" s="44"/>
      <c r="S3" s="44"/>
      <c r="T3" s="44"/>
      <c r="U3" s="44"/>
    </row>
    <row r="4" spans="1:23" customFormat="1" x14ac:dyDescent="0.35">
      <c r="A4" s="31" t="s">
        <v>36</v>
      </c>
      <c r="B4" s="31" t="s">
        <v>27</v>
      </c>
      <c r="C4" s="31" t="s">
        <v>61</v>
      </c>
      <c r="D4" s="65" t="s">
        <v>165</v>
      </c>
      <c r="E4" s="33">
        <v>35</v>
      </c>
      <c r="F4" s="32">
        <v>114.61345226</v>
      </c>
      <c r="G4" s="34">
        <v>16490</v>
      </c>
      <c r="H4" s="22"/>
      <c r="I4" s="35">
        <v>11.504219245954928</v>
      </c>
      <c r="J4" s="35">
        <v>1.3257904061443782</v>
      </c>
      <c r="K4" s="35">
        <v>3.6227816437500948</v>
      </c>
      <c r="L4" s="35">
        <v>11.153829187013198</v>
      </c>
      <c r="M4" s="35">
        <v>2.1238308094847724</v>
      </c>
      <c r="N4" s="35">
        <v>4.39964535005819</v>
      </c>
      <c r="O4" s="23"/>
      <c r="P4" s="35">
        <v>8.1020399334413913</v>
      </c>
      <c r="Q4" s="35">
        <v>8.6905576533329825</v>
      </c>
      <c r="R4" s="23"/>
      <c r="S4" s="35">
        <v>0.49</v>
      </c>
      <c r="T4" s="35">
        <v>0.71000000000000008</v>
      </c>
      <c r="U4" s="35" t="s">
        <v>91</v>
      </c>
      <c r="V4" s="16"/>
      <c r="W4" s="57"/>
    </row>
    <row r="5" spans="1:23" customFormat="1" x14ac:dyDescent="0.35">
      <c r="A5" s="31" t="s">
        <v>162</v>
      </c>
      <c r="B5" s="31" t="s">
        <v>29</v>
      </c>
      <c r="C5" s="31" t="s">
        <v>129</v>
      </c>
      <c r="D5" s="65" t="s">
        <v>165</v>
      </c>
      <c r="E5" s="33">
        <v>31.75</v>
      </c>
      <c r="F5" s="32">
        <v>140.58014317210001</v>
      </c>
      <c r="G5" s="34">
        <v>17259</v>
      </c>
      <c r="H5" s="22"/>
      <c r="I5" s="35">
        <v>10.035620257085331</v>
      </c>
      <c r="J5" s="35">
        <v>2.7220777888801617</v>
      </c>
      <c r="K5" s="35">
        <v>4.3905702166054716</v>
      </c>
      <c r="L5" s="35">
        <v>10.432082949062904</v>
      </c>
      <c r="M5" s="35">
        <v>0.36012424434119783</v>
      </c>
      <c r="N5" s="35">
        <v>2.5856874035423472</v>
      </c>
      <c r="O5" s="23"/>
      <c r="P5" s="35">
        <v>6.4933202844188171</v>
      </c>
      <c r="Q5" s="35">
        <v>9.1684811749283295</v>
      </c>
      <c r="R5" s="23"/>
      <c r="S5" s="35">
        <v>0.5</v>
      </c>
      <c r="T5" s="35">
        <v>0.86</v>
      </c>
      <c r="U5" s="35">
        <v>0.86</v>
      </c>
      <c r="V5" s="16"/>
      <c r="W5" s="57"/>
    </row>
    <row r="6" spans="1:23" customFormat="1" x14ac:dyDescent="0.35">
      <c r="A6" s="31" t="s">
        <v>88</v>
      </c>
      <c r="B6" s="31" t="s">
        <v>28</v>
      </c>
      <c r="C6" s="31" t="s">
        <v>62</v>
      </c>
      <c r="D6" s="65" t="s">
        <v>165</v>
      </c>
      <c r="E6" s="33">
        <v>35.299999999999997</v>
      </c>
      <c r="F6" s="32">
        <v>374.40780761000002</v>
      </c>
      <c r="G6" s="34">
        <v>46592</v>
      </c>
      <c r="H6" s="22"/>
      <c r="I6" s="35">
        <v>10.957848501194412</v>
      </c>
      <c r="J6" s="35">
        <v>1.8363943168719254</v>
      </c>
      <c r="K6" s="35">
        <v>4.3822932405004789</v>
      </c>
      <c r="L6" s="35">
        <v>11.254850570062501</v>
      </c>
      <c r="M6" s="35">
        <v>2.9778652570480402</v>
      </c>
      <c r="N6" s="35">
        <v>5.1733092392500568</v>
      </c>
      <c r="O6" s="23"/>
      <c r="P6" s="35">
        <v>7.4004783228208613</v>
      </c>
      <c r="Q6" s="35">
        <v>8.5579730570290415</v>
      </c>
      <c r="R6" s="23"/>
      <c r="S6" s="35">
        <v>0.5</v>
      </c>
      <c r="T6" s="35" t="s">
        <v>91</v>
      </c>
      <c r="U6" s="35">
        <v>0.7</v>
      </c>
      <c r="V6" s="16"/>
      <c r="W6" s="57"/>
    </row>
    <row r="7" spans="1:23" customFormat="1" x14ac:dyDescent="0.35">
      <c r="A7" s="31" t="s">
        <v>89</v>
      </c>
      <c r="B7" s="31" t="s">
        <v>26</v>
      </c>
      <c r="C7" s="31" t="s">
        <v>107</v>
      </c>
      <c r="D7" s="65" t="s">
        <v>165</v>
      </c>
      <c r="E7" s="33">
        <v>35</v>
      </c>
      <c r="F7" s="32">
        <v>541.06788797000002</v>
      </c>
      <c r="G7" s="34">
        <v>82538</v>
      </c>
      <c r="H7" s="22"/>
      <c r="I7" s="35">
        <v>9.4613935969868344</v>
      </c>
      <c r="J7" s="35">
        <v>2.0519132078600233</v>
      </c>
      <c r="K7" s="35">
        <v>4.9642164128680166</v>
      </c>
      <c r="L7" s="35">
        <v>10.338508778446375</v>
      </c>
      <c r="M7" s="35">
        <v>1.1908204482209417</v>
      </c>
      <c r="N7" s="35">
        <v>3.6312906970272785</v>
      </c>
      <c r="O7" s="23"/>
      <c r="P7" s="35">
        <v>7.5194343154494305</v>
      </c>
      <c r="Q7" s="35">
        <v>9.3495876949748471</v>
      </c>
      <c r="R7" s="23"/>
      <c r="S7" s="35">
        <v>0.5</v>
      </c>
      <c r="T7" s="35" t="s">
        <v>91</v>
      </c>
      <c r="U7" s="35">
        <v>0.59660000000000002</v>
      </c>
      <c r="V7" s="16"/>
      <c r="W7" s="57"/>
    </row>
    <row r="8" spans="1:23" customFormat="1" x14ac:dyDescent="0.35">
      <c r="A8" s="31" t="s">
        <v>116</v>
      </c>
      <c r="B8" s="31" t="s">
        <v>30</v>
      </c>
      <c r="C8" s="31" t="s">
        <v>122</v>
      </c>
      <c r="D8" s="65" t="s">
        <v>165</v>
      </c>
      <c r="E8" s="33">
        <v>35</v>
      </c>
      <c r="F8" s="32">
        <v>237.27890543999999</v>
      </c>
      <c r="G8" s="34">
        <v>36174</v>
      </c>
      <c r="H8" s="22"/>
      <c r="I8" s="35">
        <v>11.51412905946858</v>
      </c>
      <c r="J8" s="35">
        <v>2.3006229023393443</v>
      </c>
      <c r="K8" s="35">
        <v>3.763248965638577</v>
      </c>
      <c r="L8" s="35">
        <v>10.165503748130744</v>
      </c>
      <c r="M8" s="35">
        <v>2.9403405758064327</v>
      </c>
      <c r="N8" s="35">
        <v>4.4726239217200536</v>
      </c>
      <c r="O8" s="23"/>
      <c r="P8" s="35">
        <v>6.8476060515641146</v>
      </c>
      <c r="Q8" s="35">
        <v>7.0042392984683763</v>
      </c>
      <c r="R8" s="23"/>
      <c r="S8" s="35">
        <v>0.5</v>
      </c>
      <c r="T8" s="35">
        <v>0.7</v>
      </c>
      <c r="U8" s="35" t="s">
        <v>91</v>
      </c>
      <c r="V8" s="16"/>
      <c r="W8" s="57"/>
    </row>
    <row r="9" spans="1:23" customFormat="1" x14ac:dyDescent="0.35">
      <c r="A9" s="31" t="s">
        <v>131</v>
      </c>
      <c r="B9" s="31" t="s">
        <v>137</v>
      </c>
      <c r="C9" s="31" t="s">
        <v>141</v>
      </c>
      <c r="D9" s="65" t="s">
        <v>166</v>
      </c>
      <c r="E9" s="33">
        <v>40</v>
      </c>
      <c r="F9" s="32">
        <v>7.0395491141999997</v>
      </c>
      <c r="G9" s="34">
        <v>770</v>
      </c>
      <c r="H9" s="22"/>
      <c r="I9" s="35">
        <v>11.432597463597926</v>
      </c>
      <c r="J9" s="35" t="s">
        <v>163</v>
      </c>
      <c r="K9" s="35" t="s">
        <v>163</v>
      </c>
      <c r="L9" s="35">
        <v>12.135967787245994</v>
      </c>
      <c r="M9" s="35" t="s">
        <v>163</v>
      </c>
      <c r="N9" s="35" t="s">
        <v>163</v>
      </c>
      <c r="O9" s="23"/>
      <c r="P9" s="35" t="s">
        <v>163</v>
      </c>
      <c r="Q9" s="35" t="s">
        <v>163</v>
      </c>
      <c r="R9" s="23"/>
      <c r="S9" s="35">
        <v>0.45</v>
      </c>
      <c r="T9" s="35">
        <v>0.6</v>
      </c>
      <c r="U9" s="35" t="s">
        <v>91</v>
      </c>
      <c r="V9" s="16"/>
      <c r="W9" s="57"/>
    </row>
    <row r="10" spans="1:23" x14ac:dyDescent="0.35">
      <c r="A10" s="17"/>
      <c r="B10" s="17"/>
      <c r="C10" s="17"/>
      <c r="D10" s="17"/>
      <c r="E10" s="17"/>
      <c r="F10" s="17"/>
      <c r="G10" s="17"/>
      <c r="H10" s="17"/>
      <c r="I10" s="17"/>
      <c r="J10" s="17"/>
      <c r="K10" s="17"/>
      <c r="L10" s="17"/>
      <c r="M10" s="17"/>
      <c r="N10" s="17"/>
      <c r="O10" s="17"/>
      <c r="P10" s="17"/>
      <c r="Q10" s="17"/>
      <c r="R10" s="17"/>
    </row>
    <row r="11" spans="1:23" s="54" customFormat="1" ht="13.5" x14ac:dyDescent="0.3">
      <c r="A11" s="52" t="s">
        <v>168</v>
      </c>
      <c r="B11" s="48"/>
      <c r="C11" s="48"/>
      <c r="D11" s="53"/>
      <c r="E11" s="53"/>
      <c r="F11" s="53"/>
      <c r="G11" s="53"/>
      <c r="H11" s="53"/>
      <c r="I11" s="53"/>
      <c r="J11" s="53"/>
      <c r="K11" s="53"/>
      <c r="L11" s="53"/>
      <c r="M11" s="53"/>
      <c r="N11" s="53"/>
    </row>
    <row r="12" spans="1:23" s="54" customFormat="1" ht="13.5" x14ac:dyDescent="0.3">
      <c r="A12" s="48" t="s">
        <v>93</v>
      </c>
      <c r="B12" s="52"/>
      <c r="C12" s="52"/>
    </row>
    <row r="13" spans="1:23" s="54" customFormat="1" ht="13.5" x14ac:dyDescent="0.3">
      <c r="A13" s="52" t="s">
        <v>95</v>
      </c>
      <c r="B13" s="52"/>
      <c r="C13" s="52"/>
    </row>
    <row r="14" spans="1:23" s="54" customFormat="1" ht="13.5" x14ac:dyDescent="0.3">
      <c r="A14" s="52" t="s">
        <v>96</v>
      </c>
      <c r="B14" s="52"/>
      <c r="C14" s="52"/>
    </row>
    <row r="15" spans="1:23" s="54" customFormat="1" ht="13.5" x14ac:dyDescent="0.3">
      <c r="A15" s="52" t="s">
        <v>167</v>
      </c>
      <c r="B15" s="53"/>
      <c r="C15" s="53"/>
    </row>
    <row r="16" spans="1:23" s="54" customFormat="1" ht="13.5" x14ac:dyDescent="0.3">
      <c r="A16" s="55" t="s">
        <v>115</v>
      </c>
      <c r="B16" s="53"/>
      <c r="C16" s="53"/>
    </row>
    <row r="17" spans="1:4" s="54" customFormat="1" ht="13.5" x14ac:dyDescent="0.3">
      <c r="A17" s="55" t="s">
        <v>101</v>
      </c>
    </row>
    <row r="18" spans="1:4" s="54" customFormat="1" ht="13.5" x14ac:dyDescent="0.3">
      <c r="A18" s="55" t="s">
        <v>169</v>
      </c>
    </row>
    <row r="19" spans="1:4" s="54" customFormat="1" ht="13.5" x14ac:dyDescent="0.3">
      <c r="A19" s="55" t="s">
        <v>152</v>
      </c>
    </row>
    <row r="20" spans="1:4" s="54" customFormat="1" ht="13.5" x14ac:dyDescent="0.3">
      <c r="A20" s="55" t="s">
        <v>153</v>
      </c>
    </row>
    <row r="21" spans="1:4" s="54" customFormat="1" ht="13.5" x14ac:dyDescent="0.3">
      <c r="A21" s="55" t="s">
        <v>156</v>
      </c>
    </row>
    <row r="22" spans="1:4" s="54" customFormat="1" ht="13.5" x14ac:dyDescent="0.3">
      <c r="A22" s="55" t="s">
        <v>155</v>
      </c>
    </row>
    <row r="23" spans="1:4" s="54" customFormat="1" ht="13.5" x14ac:dyDescent="0.3">
      <c r="A23" s="55"/>
    </row>
    <row r="24" spans="1:4" x14ac:dyDescent="0.35">
      <c r="A24" s="55"/>
    </row>
    <row r="25" spans="1:4" x14ac:dyDescent="0.35">
      <c r="A25" s="36" t="s">
        <v>113</v>
      </c>
      <c r="B25" s="36"/>
      <c r="C25" s="36"/>
      <c r="D25" s="36"/>
    </row>
    <row r="26" spans="1:4" s="54" customFormat="1" ht="13.5" x14ac:dyDescent="0.3">
      <c r="A26" s="52" t="s">
        <v>83</v>
      </c>
      <c r="B26" s="53"/>
      <c r="C26" s="53"/>
    </row>
    <row r="27" spans="1:4" s="54" customFormat="1" ht="13.5" x14ac:dyDescent="0.3">
      <c r="A27" s="52" t="s">
        <v>84</v>
      </c>
      <c r="B27" s="53"/>
      <c r="C27" s="53"/>
    </row>
    <row r="28" spans="1:4" x14ac:dyDescent="0.35">
      <c r="A28" s="18"/>
      <c r="B28" s="18"/>
      <c r="C28" s="18"/>
    </row>
    <row r="35" spans="1:3" x14ac:dyDescent="0.35">
      <c r="A35" s="36" t="s">
        <v>0</v>
      </c>
      <c r="B35" s="36" t="s">
        <v>73</v>
      </c>
      <c r="C35" s="36" t="s">
        <v>72</v>
      </c>
    </row>
    <row r="36" spans="1:3" x14ac:dyDescent="0.35">
      <c r="A36" s="31" t="s">
        <v>27</v>
      </c>
      <c r="B36" s="32">
        <v>8.1020399334413913</v>
      </c>
      <c r="C36" s="32">
        <v>1.3257904061443782</v>
      </c>
    </row>
    <row r="37" spans="1:3" x14ac:dyDescent="0.35">
      <c r="A37" s="31" t="s">
        <v>29</v>
      </c>
      <c r="B37" s="32">
        <v>6.4933202844188171</v>
      </c>
      <c r="C37" s="32">
        <v>2.7220777888801617</v>
      </c>
    </row>
    <row r="38" spans="1:3" x14ac:dyDescent="0.35">
      <c r="A38" s="31" t="s">
        <v>28</v>
      </c>
      <c r="B38" s="32">
        <v>7.4004783228208613</v>
      </c>
      <c r="C38" s="32">
        <v>1.8363943168719254</v>
      </c>
    </row>
    <row r="39" spans="1:3" x14ac:dyDescent="0.35">
      <c r="A39" s="31" t="s">
        <v>26</v>
      </c>
      <c r="B39" s="32">
        <v>7.5194343154494305</v>
      </c>
      <c r="C39" s="32">
        <v>2.0519132078600233</v>
      </c>
    </row>
    <row r="40" spans="1:3" x14ac:dyDescent="0.35">
      <c r="A40" s="31" t="s">
        <v>30</v>
      </c>
      <c r="B40" s="32">
        <v>6.8476060515641146</v>
      </c>
      <c r="C40" s="32">
        <v>2.3006229023393443</v>
      </c>
    </row>
    <row r="57" spans="1:5" x14ac:dyDescent="0.35">
      <c r="A57" s="36" t="s">
        <v>114</v>
      </c>
      <c r="B57" s="36"/>
      <c r="C57" s="36"/>
      <c r="D57" s="36"/>
      <c r="E57" s="36"/>
    </row>
    <row r="58" spans="1:5" s="54" customFormat="1" ht="13.5" x14ac:dyDescent="0.3">
      <c r="A58" s="52" t="s">
        <v>85</v>
      </c>
      <c r="B58" s="53"/>
      <c r="C58" s="53"/>
    </row>
    <row r="59" spans="1:5" s="54" customFormat="1" ht="13.5" x14ac:dyDescent="0.3">
      <c r="A59" s="52" t="s">
        <v>86</v>
      </c>
      <c r="B59" s="53"/>
      <c r="C59" s="53"/>
    </row>
    <row r="60" spans="1:5" s="54" customFormat="1" ht="13.5" x14ac:dyDescent="0.3">
      <c r="A60" s="52" t="s">
        <v>87</v>
      </c>
      <c r="B60" s="53"/>
      <c r="C60" s="53"/>
    </row>
    <row r="65" spans="1:4" x14ac:dyDescent="0.35">
      <c r="A65" s="36" t="s">
        <v>0</v>
      </c>
      <c r="B65" s="36" t="s">
        <v>77</v>
      </c>
      <c r="C65" s="36" t="s">
        <v>78</v>
      </c>
      <c r="D65" s="36" t="s">
        <v>79</v>
      </c>
    </row>
    <row r="66" spans="1:4" x14ac:dyDescent="0.35">
      <c r="A66" s="31" t="s">
        <v>27</v>
      </c>
      <c r="B66" s="32">
        <v>16.489999999999998</v>
      </c>
      <c r="C66" s="32">
        <v>1.3257904061443782</v>
      </c>
      <c r="D66" s="32">
        <v>114.61345226</v>
      </c>
    </row>
    <row r="67" spans="1:4" x14ac:dyDescent="0.35">
      <c r="A67" s="31" t="s">
        <v>29</v>
      </c>
      <c r="B67" s="32">
        <v>17.259</v>
      </c>
      <c r="C67" s="32">
        <v>2.7220777888801617</v>
      </c>
      <c r="D67" s="32">
        <v>140.58014317210001</v>
      </c>
    </row>
    <row r="68" spans="1:4" x14ac:dyDescent="0.35">
      <c r="A68" s="31" t="s">
        <v>28</v>
      </c>
      <c r="B68" s="32">
        <v>46.591999999999999</v>
      </c>
      <c r="C68" s="32">
        <v>1.8363943168719254</v>
      </c>
      <c r="D68" s="32">
        <v>374.40780761000002</v>
      </c>
    </row>
    <row r="69" spans="1:4" x14ac:dyDescent="0.35">
      <c r="A69" s="31" t="s">
        <v>26</v>
      </c>
      <c r="B69" s="32">
        <v>82.537999999999997</v>
      </c>
      <c r="C69" s="32">
        <v>2.0519132078600233</v>
      </c>
      <c r="D69" s="32">
        <v>541.06788797000002</v>
      </c>
    </row>
    <row r="70" spans="1:4" x14ac:dyDescent="0.35">
      <c r="A70" s="31" t="s">
        <v>30</v>
      </c>
      <c r="B70" s="32">
        <v>36.173999999999999</v>
      </c>
      <c r="C70" s="32">
        <v>2.3006229023393443</v>
      </c>
      <c r="D70" s="32">
        <v>237.27890543999999</v>
      </c>
    </row>
  </sheetData>
  <mergeCells count="7">
    <mergeCell ref="S1:U1"/>
    <mergeCell ref="P1:Q1"/>
    <mergeCell ref="A3:C3"/>
    <mergeCell ref="D1:D2"/>
    <mergeCell ref="F1:F2"/>
    <mergeCell ref="G1:G2"/>
    <mergeCell ref="I1:M1"/>
  </mergeCells>
  <conditionalFormatting sqref="I4:I8">
    <cfRule type="cellIs" dxfId="53" priority="21" operator="greaterThanOrEqual">
      <formula>0</formula>
    </cfRule>
    <cfRule type="cellIs" dxfId="52" priority="22" operator="lessThan">
      <formula>0</formula>
    </cfRule>
  </conditionalFormatting>
  <conditionalFormatting sqref="J4:N8">
    <cfRule type="cellIs" dxfId="51" priority="19" operator="greaterThanOrEqual">
      <formula>0</formula>
    </cfRule>
    <cfRule type="cellIs" dxfId="50" priority="20" operator="lessThan">
      <formula>0</formula>
    </cfRule>
  </conditionalFormatting>
  <conditionalFormatting sqref="I3:N3">
    <cfRule type="cellIs" dxfId="49" priority="13" operator="greaterThanOrEqual">
      <formula>0</formula>
    </cfRule>
    <cfRule type="cellIs" dxfId="48" priority="14" operator="lessThan">
      <formula>0</formula>
    </cfRule>
  </conditionalFormatting>
  <conditionalFormatting sqref="P4:Q8">
    <cfRule type="cellIs" dxfId="47" priority="11" operator="greaterThanOrEqual">
      <formula>0</formula>
    </cfRule>
    <cfRule type="cellIs" dxfId="46" priority="12" operator="lessThan">
      <formula>0</formula>
    </cfRule>
  </conditionalFormatting>
  <conditionalFormatting sqref="S4:U8">
    <cfRule type="cellIs" dxfId="45" priority="9" operator="greaterThanOrEqual">
      <formula>0</formula>
    </cfRule>
    <cfRule type="cellIs" dxfId="44" priority="10" operator="lessThan">
      <formula>0</formula>
    </cfRule>
  </conditionalFormatting>
  <conditionalFormatting sqref="I9">
    <cfRule type="cellIs" dxfId="43" priority="7" operator="greaterThanOrEqual">
      <formula>0</formula>
    </cfRule>
    <cfRule type="cellIs" dxfId="42" priority="8" operator="lessThan">
      <formula>0</formula>
    </cfRule>
  </conditionalFormatting>
  <conditionalFormatting sqref="J9:N9">
    <cfRule type="cellIs" dxfId="41" priority="5" operator="greaterThanOrEqual">
      <formula>0</formula>
    </cfRule>
    <cfRule type="cellIs" dxfId="40" priority="6" operator="lessThan">
      <formula>0</formula>
    </cfRule>
  </conditionalFormatting>
  <conditionalFormatting sqref="P9:Q9">
    <cfRule type="cellIs" dxfId="39" priority="3" operator="greaterThanOrEqual">
      <formula>0</formula>
    </cfRule>
    <cfRule type="cellIs" dxfId="38" priority="4" operator="lessThan">
      <formula>0</formula>
    </cfRule>
  </conditionalFormatting>
  <conditionalFormatting sqref="S9:U9">
    <cfRule type="cellIs" dxfId="37" priority="1" operator="greaterThanOrEqual">
      <formula>0</formula>
    </cfRule>
    <cfRule type="cellIs" dxfId="36" priority="2" operator="lessThan">
      <formula>0</formula>
    </cfRule>
  </conditionalFormatting>
  <hyperlinks>
    <hyperlink ref="C1" location="GCF_2024!A1" display="Grįžti į pagrindinį puslapį" xr:uid="{9EBE3167-C6C8-41BD-87B1-24D58D9324AF}"/>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70"/>
  <sheetViews>
    <sheetView showGridLines="0" zoomScale="70" zoomScaleNormal="70" workbookViewId="0"/>
  </sheetViews>
  <sheetFormatPr defaultColWidth="8.81640625" defaultRowHeight="15.5" x14ac:dyDescent="0.35"/>
  <cols>
    <col min="1" max="1" width="41.81640625" style="16" customWidth="1"/>
    <col min="2" max="2" width="14.81640625" style="16" bestFit="1" customWidth="1"/>
    <col min="3" max="3" width="68.54296875" style="16" customWidth="1"/>
    <col min="4" max="4" width="17.453125" style="16" customWidth="1"/>
    <col min="5" max="5" width="16.1796875" style="16" bestFit="1" customWidth="1"/>
    <col min="6" max="6" width="19.453125" style="16" customWidth="1"/>
    <col min="7" max="7" width="13.54296875" style="16" customWidth="1"/>
    <col min="8" max="8" width="1.54296875" style="16" customWidth="1"/>
    <col min="9" max="9" width="18.453125" style="16" customWidth="1"/>
    <col min="10" max="11" width="17.54296875" style="16" customWidth="1"/>
    <col min="12" max="12" width="18" style="16" customWidth="1"/>
    <col min="13" max="14" width="19.1796875" style="16" customWidth="1"/>
    <col min="15" max="15" width="1.54296875" style="16" customWidth="1"/>
    <col min="16" max="16" width="23.453125" style="16" customWidth="1"/>
    <col min="17" max="17" width="21" style="16" customWidth="1"/>
    <col min="18" max="18" width="1.54296875" style="16" customWidth="1"/>
    <col min="19" max="19" width="8.81640625" style="16"/>
    <col min="20" max="21" width="11.453125" style="16" customWidth="1"/>
    <col min="22" max="16384" width="8.81640625" style="16"/>
  </cols>
  <sheetData>
    <row r="1" spans="1:23" ht="22.4" customHeight="1" x14ac:dyDescent="0.35">
      <c r="A1" s="91">
        <v>45657</v>
      </c>
      <c r="B1" s="25"/>
      <c r="C1" s="90" t="s">
        <v>76</v>
      </c>
      <c r="D1" s="100" t="s">
        <v>90</v>
      </c>
      <c r="E1" s="30" t="s">
        <v>75</v>
      </c>
      <c r="F1" s="100" t="s">
        <v>100</v>
      </c>
      <c r="G1" s="100" t="s">
        <v>71</v>
      </c>
      <c r="H1" s="27"/>
      <c r="I1" s="98" t="s">
        <v>72</v>
      </c>
      <c r="J1" s="104">
        <v>0</v>
      </c>
      <c r="K1" s="104"/>
      <c r="L1" s="104">
        <v>0</v>
      </c>
      <c r="M1" s="104">
        <v>0</v>
      </c>
      <c r="N1" s="87"/>
      <c r="O1" s="28"/>
      <c r="P1" s="102" t="s">
        <v>97</v>
      </c>
      <c r="Q1" s="103">
        <v>0</v>
      </c>
      <c r="R1" s="28"/>
      <c r="S1" s="98" t="s">
        <v>164</v>
      </c>
      <c r="T1" s="104">
        <v>0</v>
      </c>
      <c r="U1" s="104">
        <v>0</v>
      </c>
    </row>
    <row r="2" spans="1:23" ht="92.5" customHeight="1" x14ac:dyDescent="0.35">
      <c r="A2" s="24" t="s">
        <v>42</v>
      </c>
      <c r="B2" s="24" t="s">
        <v>43</v>
      </c>
      <c r="C2" s="24" t="s">
        <v>44</v>
      </c>
      <c r="D2" s="101">
        <v>0</v>
      </c>
      <c r="E2" s="24" t="s">
        <v>99</v>
      </c>
      <c r="F2" s="101">
        <v>0</v>
      </c>
      <c r="G2" s="101">
        <v>0</v>
      </c>
      <c r="H2" s="27"/>
      <c r="I2" s="63" t="s">
        <v>92</v>
      </c>
      <c r="J2" s="24" t="s">
        <v>157</v>
      </c>
      <c r="K2" s="24" t="s">
        <v>158</v>
      </c>
      <c r="L2" s="24" t="s">
        <v>94</v>
      </c>
      <c r="M2" s="24" t="s">
        <v>159</v>
      </c>
      <c r="N2" s="24" t="s">
        <v>160</v>
      </c>
      <c r="O2" s="29"/>
      <c r="P2" s="24" t="s">
        <v>111</v>
      </c>
      <c r="Q2" s="24" t="s">
        <v>112</v>
      </c>
      <c r="R2" s="29"/>
      <c r="S2" s="24" t="s">
        <v>149</v>
      </c>
      <c r="T2" s="24" t="s">
        <v>150</v>
      </c>
      <c r="U2" s="24" t="s">
        <v>151</v>
      </c>
    </row>
    <row r="3" spans="1:23" ht="29.15" customHeight="1" x14ac:dyDescent="0.35">
      <c r="A3" s="105" t="s">
        <v>63</v>
      </c>
      <c r="B3" s="105"/>
      <c r="C3" s="105"/>
      <c r="D3" s="43"/>
      <c r="E3" s="43"/>
      <c r="F3" s="44"/>
      <c r="G3" s="69" t="s">
        <v>98</v>
      </c>
      <c r="H3" s="44"/>
      <c r="I3" s="66">
        <v>7.006265119829485</v>
      </c>
      <c r="J3" s="66">
        <v>0.37260204738709213</v>
      </c>
      <c r="K3" s="66">
        <v>1.1693071306634344</v>
      </c>
      <c r="L3" s="66">
        <v>6.4323370622954608</v>
      </c>
      <c r="M3" s="66">
        <v>-0.24984684829628187</v>
      </c>
      <c r="N3" s="66">
        <v>0.44676753170782768</v>
      </c>
      <c r="O3" s="44"/>
      <c r="P3" s="44"/>
      <c r="Q3" s="44"/>
      <c r="R3" s="44"/>
      <c r="S3" s="44"/>
      <c r="T3" s="44"/>
      <c r="U3" s="44"/>
    </row>
    <row r="4" spans="1:23" customFormat="1" ht="14.5" x14ac:dyDescent="0.35">
      <c r="A4" s="31" t="s">
        <v>36</v>
      </c>
      <c r="B4" s="31" t="s">
        <v>32</v>
      </c>
      <c r="C4" s="31" t="s">
        <v>64</v>
      </c>
      <c r="D4" s="65" t="s">
        <v>165</v>
      </c>
      <c r="E4" s="33">
        <v>10</v>
      </c>
      <c r="F4" s="32">
        <v>13.513911759999999</v>
      </c>
      <c r="G4" s="34">
        <v>2163</v>
      </c>
      <c r="H4" s="22"/>
      <c r="I4" s="35">
        <v>6.7948478626096875</v>
      </c>
      <c r="J4" s="35">
        <v>-0.49325828001164362</v>
      </c>
      <c r="K4" s="35">
        <v>0.40388811415863479</v>
      </c>
      <c r="L4" s="35">
        <v>6.0350734377319082</v>
      </c>
      <c r="M4" s="35">
        <v>-0.46032654401236828</v>
      </c>
      <c r="N4" s="35">
        <v>0.56399735879746338</v>
      </c>
      <c r="O4" s="23"/>
      <c r="P4" s="35">
        <v>6.4425459042213626</v>
      </c>
      <c r="Q4" s="35">
        <v>6.9953604956026609</v>
      </c>
      <c r="R4" s="23"/>
      <c r="S4" s="35">
        <v>0.49</v>
      </c>
      <c r="T4" s="35">
        <v>0.71000000000000008</v>
      </c>
      <c r="U4" s="35" t="s">
        <v>91</v>
      </c>
      <c r="V4" s="57"/>
      <c r="W4" s="57"/>
    </row>
    <row r="5" spans="1:23" customFormat="1" ht="14.5" x14ac:dyDescent="0.35">
      <c r="A5" s="31" t="s">
        <v>162</v>
      </c>
      <c r="B5" s="31" t="s">
        <v>35</v>
      </c>
      <c r="C5" s="31" t="s">
        <v>130</v>
      </c>
      <c r="D5" s="65" t="s">
        <v>165</v>
      </c>
      <c r="E5" s="33">
        <v>10</v>
      </c>
      <c r="F5" s="32">
        <v>12.2061001318</v>
      </c>
      <c r="G5" s="34">
        <v>1701</v>
      </c>
      <c r="H5" s="22"/>
      <c r="I5" s="35">
        <v>7.4471992653810881</v>
      </c>
      <c r="J5" s="35">
        <v>1.5237919571363001</v>
      </c>
      <c r="K5" s="35">
        <v>1.4643497541062755</v>
      </c>
      <c r="L5" s="35">
        <v>7.0657059945506751</v>
      </c>
      <c r="M5" s="35">
        <v>-1.0770297925486894</v>
      </c>
      <c r="N5" s="35">
        <v>-0.51565805104950568</v>
      </c>
      <c r="O5" s="23"/>
      <c r="P5" s="35">
        <v>5.1030101909057501</v>
      </c>
      <c r="Q5" s="35">
        <v>7.1269115520692097</v>
      </c>
      <c r="R5" s="23"/>
      <c r="S5" s="35">
        <v>0.5</v>
      </c>
      <c r="T5" s="35">
        <v>0.54</v>
      </c>
      <c r="U5" s="35">
        <v>0.54</v>
      </c>
      <c r="V5" s="57"/>
      <c r="W5" s="57"/>
    </row>
    <row r="6" spans="1:23" customFormat="1" ht="14.5" x14ac:dyDescent="0.35">
      <c r="A6" s="31" t="s">
        <v>88</v>
      </c>
      <c r="B6" s="31" t="s">
        <v>33</v>
      </c>
      <c r="C6" s="68" t="s">
        <v>65</v>
      </c>
      <c r="D6" s="65" t="s">
        <v>165</v>
      </c>
      <c r="E6" s="33">
        <v>18.5</v>
      </c>
      <c r="F6" s="32">
        <v>35.743582270000005</v>
      </c>
      <c r="G6" s="34">
        <v>4873</v>
      </c>
      <c r="H6" s="22"/>
      <c r="I6" s="35">
        <v>8.2638570774164144</v>
      </c>
      <c r="J6" s="35">
        <v>0.51296101411579809</v>
      </c>
      <c r="K6" s="35">
        <v>1.3722969868007917</v>
      </c>
      <c r="L6" s="35">
        <v>7.4161969222362512</v>
      </c>
      <c r="M6" s="35">
        <v>1.0382119401108447</v>
      </c>
      <c r="N6" s="35">
        <v>1.6707225529110969</v>
      </c>
      <c r="O6" s="23"/>
      <c r="P6" s="35">
        <v>5.6980105651518631</v>
      </c>
      <c r="Q6" s="35">
        <v>6.741237745485229</v>
      </c>
      <c r="R6" s="23"/>
      <c r="S6" s="35">
        <v>0.5</v>
      </c>
      <c r="T6" s="35">
        <v>0.68</v>
      </c>
      <c r="U6" s="35" t="s">
        <v>91</v>
      </c>
      <c r="V6" s="57"/>
      <c r="W6" s="57"/>
    </row>
    <row r="7" spans="1:23" customFormat="1" ht="14.5" x14ac:dyDescent="0.35">
      <c r="A7" s="31" t="s">
        <v>89</v>
      </c>
      <c r="B7" s="31" t="s">
        <v>31</v>
      </c>
      <c r="C7" s="31" t="s">
        <v>66</v>
      </c>
      <c r="D7" s="65" t="s">
        <v>165</v>
      </c>
      <c r="E7" s="33">
        <v>15</v>
      </c>
      <c r="F7" s="32">
        <v>52.85293145</v>
      </c>
      <c r="G7" s="34">
        <v>5677</v>
      </c>
      <c r="H7" s="22"/>
      <c r="I7" s="35">
        <v>5.9076753984246277</v>
      </c>
      <c r="J7" s="35">
        <v>4.9054978290508089E-2</v>
      </c>
      <c r="K7" s="35">
        <v>0.96098890643512291</v>
      </c>
      <c r="L7" s="35">
        <v>5.9789655119815599</v>
      </c>
      <c r="M7" s="35">
        <v>-1.6403678386730958</v>
      </c>
      <c r="N7" s="35">
        <v>-0.94164197187227572</v>
      </c>
      <c r="O7" s="23"/>
      <c r="P7" s="35">
        <v>5.2644843079246568</v>
      </c>
      <c r="Q7" s="35">
        <v>8.0553439046390043</v>
      </c>
      <c r="R7" s="23"/>
      <c r="S7" s="35">
        <v>0.5</v>
      </c>
      <c r="T7" s="35" t="s">
        <v>91</v>
      </c>
      <c r="U7" s="35">
        <v>0.52249999999999996</v>
      </c>
      <c r="V7" s="57"/>
      <c r="W7" s="57"/>
    </row>
    <row r="8" spans="1:23" customFormat="1" ht="14.5" x14ac:dyDescent="0.35">
      <c r="A8" s="31" t="s">
        <v>116</v>
      </c>
      <c r="B8" s="31" t="s">
        <v>34</v>
      </c>
      <c r="C8" s="31" t="s">
        <v>123</v>
      </c>
      <c r="D8" s="65" t="s">
        <v>165</v>
      </c>
      <c r="E8" s="33">
        <v>15</v>
      </c>
      <c r="F8" s="32">
        <v>28.52712086</v>
      </c>
      <c r="G8" s="34">
        <v>4314</v>
      </c>
      <c r="H8" s="22"/>
      <c r="I8" s="35">
        <v>7.3940403479548555</v>
      </c>
      <c r="J8" s="35">
        <v>0.71378963476442792</v>
      </c>
      <c r="K8" s="35">
        <v>1.5372772983224481</v>
      </c>
      <c r="L8" s="35">
        <v>5.9567531615550395</v>
      </c>
      <c r="M8" s="35">
        <v>1.1661515411109713</v>
      </c>
      <c r="N8" s="35">
        <v>1.8417980716282756</v>
      </c>
      <c r="O8" s="23"/>
      <c r="P8" s="35">
        <v>4.3074400654374063</v>
      </c>
      <c r="Q8" s="35">
        <v>4.1444244209310837</v>
      </c>
      <c r="R8" s="23"/>
      <c r="S8" s="35">
        <v>0.5</v>
      </c>
      <c r="T8" s="35">
        <v>0.6</v>
      </c>
      <c r="U8" s="35" t="s">
        <v>91</v>
      </c>
      <c r="V8" s="57"/>
      <c r="W8" s="57"/>
    </row>
    <row r="9" spans="1:23" customFormat="1" ht="14.5" x14ac:dyDescent="0.35">
      <c r="A9" s="31" t="s">
        <v>131</v>
      </c>
      <c r="B9" s="31" t="s">
        <v>138</v>
      </c>
      <c r="C9" s="31" t="s">
        <v>140</v>
      </c>
      <c r="D9" s="65" t="s">
        <v>166</v>
      </c>
      <c r="E9" s="33">
        <v>0</v>
      </c>
      <c r="F9" s="32">
        <v>0.1075368082</v>
      </c>
      <c r="G9" s="34">
        <v>17</v>
      </c>
      <c r="H9" s="22"/>
      <c r="I9" s="35">
        <v>2.5958930647036027</v>
      </c>
      <c r="J9" s="35" t="s">
        <v>163</v>
      </c>
      <c r="K9" s="35" t="s">
        <v>163</v>
      </c>
      <c r="L9" s="35">
        <v>3.7851271267444142</v>
      </c>
      <c r="M9" s="35" t="s">
        <v>163</v>
      </c>
      <c r="N9" s="35" t="s">
        <v>163</v>
      </c>
      <c r="O9" s="23"/>
      <c r="P9" s="35" t="s">
        <v>163</v>
      </c>
      <c r="Q9" s="35" t="s">
        <v>163</v>
      </c>
      <c r="R9" s="23"/>
      <c r="S9" s="35">
        <v>0.45</v>
      </c>
      <c r="T9" s="35">
        <v>0.59</v>
      </c>
      <c r="U9" s="35" t="s">
        <v>91</v>
      </c>
      <c r="V9" s="57"/>
      <c r="W9" s="57"/>
    </row>
    <row r="10" spans="1:23" x14ac:dyDescent="0.35">
      <c r="A10" s="17"/>
      <c r="B10" s="17"/>
      <c r="C10" s="17"/>
      <c r="D10" s="17"/>
      <c r="E10" s="17"/>
      <c r="F10" s="17"/>
      <c r="G10" s="17"/>
      <c r="H10" s="17"/>
      <c r="I10" s="17"/>
      <c r="J10" s="17"/>
      <c r="K10" s="17"/>
      <c r="L10" s="17"/>
      <c r="M10" s="17"/>
      <c r="N10" s="17"/>
      <c r="O10" s="17"/>
      <c r="P10" s="17"/>
      <c r="Q10" s="17"/>
      <c r="R10" s="17"/>
    </row>
    <row r="11" spans="1:23" s="54" customFormat="1" ht="13.5" x14ac:dyDescent="0.3">
      <c r="A11" s="52" t="s">
        <v>168</v>
      </c>
      <c r="B11" s="48"/>
      <c r="C11" s="48"/>
      <c r="D11" s="53"/>
      <c r="E11" s="53"/>
      <c r="F11" s="53"/>
      <c r="G11" s="53"/>
      <c r="H11" s="53"/>
      <c r="I11" s="53"/>
      <c r="J11" s="53"/>
      <c r="K11" s="53"/>
      <c r="L11" s="53"/>
      <c r="M11" s="53"/>
      <c r="N11" s="53"/>
    </row>
    <row r="12" spans="1:23" s="54" customFormat="1" ht="13.5" x14ac:dyDescent="0.3">
      <c r="A12" s="48" t="s">
        <v>93</v>
      </c>
      <c r="B12" s="52"/>
      <c r="C12" s="52"/>
    </row>
    <row r="13" spans="1:23" s="54" customFormat="1" ht="13.5" x14ac:dyDescent="0.3">
      <c r="A13" s="52" t="s">
        <v>95</v>
      </c>
      <c r="B13" s="52"/>
      <c r="C13" s="52"/>
    </row>
    <row r="14" spans="1:23" s="54" customFormat="1" ht="13.5" x14ac:dyDescent="0.3">
      <c r="A14" s="52" t="s">
        <v>96</v>
      </c>
      <c r="B14" s="52"/>
      <c r="C14" s="52"/>
    </row>
    <row r="15" spans="1:23" s="54" customFormat="1" ht="13.5" x14ac:dyDescent="0.3">
      <c r="A15" s="52" t="s">
        <v>167</v>
      </c>
      <c r="B15" s="53"/>
      <c r="C15" s="53"/>
    </row>
    <row r="16" spans="1:23" s="54" customFormat="1" ht="13.5" x14ac:dyDescent="0.3">
      <c r="A16" s="55" t="s">
        <v>115</v>
      </c>
      <c r="B16" s="53"/>
      <c r="C16" s="53"/>
    </row>
    <row r="17" spans="1:4" s="54" customFormat="1" ht="13.5" x14ac:dyDescent="0.3">
      <c r="A17" s="55" t="s">
        <v>101</v>
      </c>
    </row>
    <row r="18" spans="1:4" s="54" customFormat="1" ht="13.5" x14ac:dyDescent="0.3">
      <c r="A18" s="55" t="s">
        <v>169</v>
      </c>
    </row>
    <row r="19" spans="1:4" s="54" customFormat="1" ht="13.5" x14ac:dyDescent="0.3">
      <c r="A19" s="55" t="s">
        <v>152</v>
      </c>
    </row>
    <row r="20" spans="1:4" s="54" customFormat="1" ht="13.5" x14ac:dyDescent="0.3">
      <c r="A20" s="55" t="s">
        <v>153</v>
      </c>
    </row>
    <row r="21" spans="1:4" s="54" customFormat="1" ht="13.5" x14ac:dyDescent="0.3">
      <c r="A21" s="55" t="s">
        <v>156</v>
      </c>
    </row>
    <row r="22" spans="1:4" s="54" customFormat="1" ht="13.5" x14ac:dyDescent="0.3">
      <c r="A22" s="55" t="s">
        <v>155</v>
      </c>
    </row>
    <row r="23" spans="1:4" s="54" customFormat="1" ht="13.5" x14ac:dyDescent="0.3">
      <c r="A23" s="55"/>
    </row>
    <row r="24" spans="1:4" x14ac:dyDescent="0.35">
      <c r="A24" s="55"/>
    </row>
    <row r="25" spans="1:4" x14ac:dyDescent="0.35">
      <c r="A25" s="36" t="s">
        <v>113</v>
      </c>
      <c r="B25" s="36"/>
      <c r="C25" s="36"/>
      <c r="D25" s="36"/>
    </row>
    <row r="26" spans="1:4" s="54" customFormat="1" ht="13.5" x14ac:dyDescent="0.3">
      <c r="A26" s="52" t="s">
        <v>83</v>
      </c>
      <c r="B26" s="53"/>
      <c r="C26" s="53"/>
    </row>
    <row r="27" spans="1:4" s="54" customFormat="1" ht="13.5" x14ac:dyDescent="0.3">
      <c r="A27" s="52" t="s">
        <v>84</v>
      </c>
      <c r="B27" s="53"/>
      <c r="C27" s="53"/>
    </row>
    <row r="28" spans="1:4" x14ac:dyDescent="0.35">
      <c r="A28" s="18"/>
      <c r="B28" s="18"/>
      <c r="C28" s="18"/>
    </row>
    <row r="35" spans="1:3" x14ac:dyDescent="0.35">
      <c r="A35" s="36" t="s">
        <v>0</v>
      </c>
      <c r="B35" s="36" t="s">
        <v>73</v>
      </c>
      <c r="C35" s="36" t="s">
        <v>72</v>
      </c>
    </row>
    <row r="36" spans="1:3" x14ac:dyDescent="0.35">
      <c r="A36" s="31" t="s">
        <v>32</v>
      </c>
      <c r="B36" s="32">
        <v>6.4425459042213626</v>
      </c>
      <c r="C36" s="32">
        <v>-0.49325828001164362</v>
      </c>
    </row>
    <row r="37" spans="1:3" x14ac:dyDescent="0.35">
      <c r="A37" s="31" t="s">
        <v>35</v>
      </c>
      <c r="B37" s="32">
        <v>5.1030101909057501</v>
      </c>
      <c r="C37" s="32">
        <v>1.5237919571363001</v>
      </c>
    </row>
    <row r="38" spans="1:3" x14ac:dyDescent="0.35">
      <c r="A38" s="31" t="s">
        <v>33</v>
      </c>
      <c r="B38" s="32">
        <v>5.6980105651518631</v>
      </c>
      <c r="C38" s="32">
        <v>0.51296101411579809</v>
      </c>
    </row>
    <row r="39" spans="1:3" x14ac:dyDescent="0.35">
      <c r="A39" s="31" t="s">
        <v>31</v>
      </c>
      <c r="B39" s="32">
        <v>5.2644843079246568</v>
      </c>
      <c r="C39" s="32">
        <v>4.9054978290508089E-2</v>
      </c>
    </row>
    <row r="40" spans="1:3" x14ac:dyDescent="0.35">
      <c r="A40" s="31" t="s">
        <v>34</v>
      </c>
      <c r="B40" s="32">
        <v>4.3074400654374063</v>
      </c>
      <c r="C40" s="32">
        <v>0.71378963476442792</v>
      </c>
    </row>
    <row r="57" spans="1:5" x14ac:dyDescent="0.35">
      <c r="A57" s="36" t="s">
        <v>114</v>
      </c>
      <c r="B57" s="36"/>
      <c r="C57" s="36"/>
      <c r="D57" s="36"/>
      <c r="E57" s="36"/>
    </row>
    <row r="58" spans="1:5" s="54" customFormat="1" ht="13.5" x14ac:dyDescent="0.3">
      <c r="A58" s="52" t="s">
        <v>85</v>
      </c>
      <c r="B58" s="53"/>
      <c r="C58" s="53"/>
    </row>
    <row r="59" spans="1:5" s="54" customFormat="1" ht="13.5" x14ac:dyDescent="0.3">
      <c r="A59" s="52" t="s">
        <v>86</v>
      </c>
      <c r="B59" s="53"/>
      <c r="C59" s="53"/>
    </row>
    <row r="60" spans="1:5" s="54" customFormat="1" ht="13.5" x14ac:dyDescent="0.3">
      <c r="A60" s="52" t="s">
        <v>87</v>
      </c>
      <c r="B60" s="53"/>
      <c r="C60" s="53"/>
    </row>
    <row r="65" spans="1:4" x14ac:dyDescent="0.35">
      <c r="A65" s="36" t="s">
        <v>0</v>
      </c>
      <c r="B65" s="36" t="s">
        <v>77</v>
      </c>
      <c r="C65" s="36" t="s">
        <v>78</v>
      </c>
      <c r="D65" s="36" t="s">
        <v>79</v>
      </c>
    </row>
    <row r="66" spans="1:4" x14ac:dyDescent="0.35">
      <c r="A66" s="31" t="s">
        <v>32</v>
      </c>
      <c r="B66" s="32">
        <v>2.1629999999999998</v>
      </c>
      <c r="C66" s="32">
        <v>-0.49325828001164362</v>
      </c>
      <c r="D66" s="32">
        <v>13.513911759999999</v>
      </c>
    </row>
    <row r="67" spans="1:4" x14ac:dyDescent="0.35">
      <c r="A67" s="31" t="s">
        <v>35</v>
      </c>
      <c r="B67" s="32">
        <v>1.7010000000000001</v>
      </c>
      <c r="C67" s="32">
        <v>1.5237919571363001</v>
      </c>
      <c r="D67" s="32">
        <v>12.2061001318</v>
      </c>
    </row>
    <row r="68" spans="1:4" x14ac:dyDescent="0.35">
      <c r="A68" s="31" t="s">
        <v>33</v>
      </c>
      <c r="B68" s="32">
        <v>4.8730000000000002</v>
      </c>
      <c r="C68" s="32">
        <v>0.51296101411579809</v>
      </c>
      <c r="D68" s="32">
        <v>35.743582270000005</v>
      </c>
    </row>
    <row r="69" spans="1:4" x14ac:dyDescent="0.35">
      <c r="A69" s="31" t="s">
        <v>31</v>
      </c>
      <c r="B69" s="32">
        <v>5.6769999999999996</v>
      </c>
      <c r="C69" s="32">
        <v>4.9054978290508089E-2</v>
      </c>
      <c r="D69" s="32">
        <v>52.85293145</v>
      </c>
    </row>
    <row r="70" spans="1:4" x14ac:dyDescent="0.35">
      <c r="A70" s="31" t="s">
        <v>34</v>
      </c>
      <c r="B70" s="32">
        <v>4.3140000000000001</v>
      </c>
      <c r="C70" s="32">
        <v>0.71378963476442792</v>
      </c>
      <c r="D70" s="32">
        <v>28.52712086</v>
      </c>
    </row>
  </sheetData>
  <mergeCells count="7">
    <mergeCell ref="S1:U1"/>
    <mergeCell ref="P1:Q1"/>
    <mergeCell ref="A3:C3"/>
    <mergeCell ref="D1:D2"/>
    <mergeCell ref="F1:F2"/>
    <mergeCell ref="G1:G2"/>
    <mergeCell ref="I1:M1"/>
  </mergeCells>
  <conditionalFormatting sqref="I4:I8">
    <cfRule type="cellIs" dxfId="35" priority="21" operator="greaterThanOrEqual">
      <formula>0</formula>
    </cfRule>
    <cfRule type="cellIs" dxfId="34" priority="22" operator="lessThan">
      <formula>0</formula>
    </cfRule>
  </conditionalFormatting>
  <conditionalFormatting sqref="J4:N8">
    <cfRule type="cellIs" dxfId="33" priority="19" operator="greaterThanOrEqual">
      <formula>0</formula>
    </cfRule>
    <cfRule type="cellIs" dxfId="32" priority="20" operator="lessThan">
      <formula>0</formula>
    </cfRule>
  </conditionalFormatting>
  <conditionalFormatting sqref="I3:N3">
    <cfRule type="cellIs" dxfId="31" priority="13" operator="greaterThanOrEqual">
      <formula>0</formula>
    </cfRule>
    <cfRule type="cellIs" dxfId="30" priority="14" operator="lessThan">
      <formula>0</formula>
    </cfRule>
  </conditionalFormatting>
  <conditionalFormatting sqref="P4:Q8">
    <cfRule type="cellIs" dxfId="29" priority="11" operator="greaterThanOrEqual">
      <formula>0</formula>
    </cfRule>
    <cfRule type="cellIs" dxfId="28" priority="12" operator="lessThan">
      <formula>0</formula>
    </cfRule>
  </conditionalFormatting>
  <conditionalFormatting sqref="S4:U8">
    <cfRule type="cellIs" dxfId="27" priority="9" operator="greaterThanOrEqual">
      <formula>0</formula>
    </cfRule>
    <cfRule type="cellIs" dxfId="26" priority="10" operator="lessThan">
      <formula>0</formula>
    </cfRule>
  </conditionalFormatting>
  <conditionalFormatting sqref="I9">
    <cfRule type="cellIs" dxfId="25" priority="7" operator="greaterThanOrEqual">
      <formula>0</formula>
    </cfRule>
    <cfRule type="cellIs" dxfId="24" priority="8" operator="lessThan">
      <formula>0</formula>
    </cfRule>
  </conditionalFormatting>
  <conditionalFormatting sqref="J9:N9">
    <cfRule type="cellIs" dxfId="23" priority="5" operator="greaterThanOrEqual">
      <formula>0</formula>
    </cfRule>
    <cfRule type="cellIs" dxfId="22" priority="6" operator="lessThan">
      <formula>0</formula>
    </cfRule>
  </conditionalFormatting>
  <conditionalFormatting sqref="P9:Q9">
    <cfRule type="cellIs" dxfId="21" priority="3" operator="greaterThanOrEqual">
      <formula>0</formula>
    </cfRule>
    <cfRule type="cellIs" dxfId="20" priority="4" operator="lessThan">
      <formula>0</formula>
    </cfRule>
  </conditionalFormatting>
  <conditionalFormatting sqref="S9:U9">
    <cfRule type="cellIs" dxfId="19" priority="1" operator="greaterThanOrEqual">
      <formula>0</formula>
    </cfRule>
    <cfRule type="cellIs" dxfId="18" priority="2" operator="lessThan">
      <formula>0</formula>
    </cfRule>
  </conditionalFormatting>
  <hyperlinks>
    <hyperlink ref="C1" location="GCF_2024!A1" display="Grįžti į pagrindinį puslapį" xr:uid="{15F586A3-2168-4B3A-8C99-8280BF3DDDCC}"/>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showGridLines="0" zoomScale="70" zoomScaleNormal="70" workbookViewId="0"/>
  </sheetViews>
  <sheetFormatPr defaultColWidth="8.81640625" defaultRowHeight="15.5" x14ac:dyDescent="0.35"/>
  <cols>
    <col min="1" max="1" width="43.54296875" style="16" customWidth="1"/>
    <col min="2" max="2" width="14.81640625" style="16" bestFit="1" customWidth="1"/>
    <col min="3" max="3" width="50" style="16" customWidth="1"/>
    <col min="4" max="4" width="16" style="16" customWidth="1"/>
    <col min="5" max="5" width="16.1796875" style="16" bestFit="1" customWidth="1"/>
    <col min="6" max="6" width="19.453125" style="16" customWidth="1"/>
    <col min="7" max="7" width="12.453125" style="16" customWidth="1"/>
    <col min="8" max="8" width="3.453125" style="16" customWidth="1"/>
    <col min="9" max="9" width="17.54296875" style="16" customWidth="1"/>
    <col min="10" max="10" width="18.1796875" style="16" customWidth="1"/>
    <col min="11" max="11" width="17.81640625" style="16" customWidth="1"/>
    <col min="12" max="12" width="15" style="16" customWidth="1"/>
    <col min="13" max="13" width="18.1796875" style="16" customWidth="1"/>
    <col min="14" max="14" width="18.54296875" style="16" customWidth="1"/>
    <col min="15" max="15" width="3.453125" style="16" customWidth="1"/>
    <col min="16" max="16" width="17.54296875" style="16" customWidth="1"/>
    <col min="17" max="17" width="17.1796875" style="16" customWidth="1"/>
    <col min="18" max="18" width="3.453125" style="16" customWidth="1"/>
    <col min="19" max="19" width="11" style="16" customWidth="1"/>
    <col min="20" max="20" width="11.1796875" style="16" customWidth="1"/>
    <col min="21" max="21" width="12.453125" style="16" customWidth="1"/>
    <col min="22" max="16384" width="8.81640625" style="16"/>
  </cols>
  <sheetData>
    <row r="1" spans="1:21" ht="22.4" customHeight="1" x14ac:dyDescent="0.35">
      <c r="A1" s="91">
        <v>45657</v>
      </c>
      <c r="B1" s="25"/>
      <c r="C1" s="90" t="s">
        <v>76</v>
      </c>
      <c r="D1" s="100" t="s">
        <v>90</v>
      </c>
      <c r="E1" s="30" t="s">
        <v>75</v>
      </c>
      <c r="F1" s="100" t="s">
        <v>100</v>
      </c>
      <c r="G1" s="100" t="s">
        <v>71</v>
      </c>
      <c r="H1" s="27"/>
      <c r="I1" s="98" t="s">
        <v>72</v>
      </c>
      <c r="J1" s="104">
        <v>0</v>
      </c>
      <c r="K1" s="104"/>
      <c r="L1" s="104">
        <v>0</v>
      </c>
      <c r="M1" s="104">
        <v>0</v>
      </c>
      <c r="N1" s="87"/>
      <c r="O1" s="28"/>
      <c r="P1" s="102" t="s">
        <v>97</v>
      </c>
      <c r="Q1" s="103">
        <v>0</v>
      </c>
      <c r="R1" s="28"/>
      <c r="S1" s="98" t="s">
        <v>164</v>
      </c>
      <c r="T1" s="104">
        <v>0</v>
      </c>
      <c r="U1" s="104">
        <v>0</v>
      </c>
    </row>
    <row r="2" spans="1:21" ht="92.5" customHeight="1" x14ac:dyDescent="0.35">
      <c r="A2" s="24" t="s">
        <v>42</v>
      </c>
      <c r="B2" s="24" t="s">
        <v>43</v>
      </c>
      <c r="C2" s="24" t="s">
        <v>44</v>
      </c>
      <c r="D2" s="101">
        <v>0</v>
      </c>
      <c r="E2" s="24" t="s">
        <v>99</v>
      </c>
      <c r="F2" s="101">
        <v>0</v>
      </c>
      <c r="G2" s="101">
        <v>0</v>
      </c>
      <c r="H2" s="27"/>
      <c r="I2" s="63" t="s">
        <v>92</v>
      </c>
      <c r="J2" s="24" t="s">
        <v>157</v>
      </c>
      <c r="K2" s="24" t="s">
        <v>158</v>
      </c>
      <c r="L2" s="24" t="s">
        <v>94</v>
      </c>
      <c r="M2" s="24" t="s">
        <v>159</v>
      </c>
      <c r="N2" s="24" t="s">
        <v>160</v>
      </c>
      <c r="O2" s="29"/>
      <c r="P2" s="24" t="s">
        <v>111</v>
      </c>
      <c r="Q2" s="24" t="s">
        <v>112</v>
      </c>
      <c r="R2" s="29"/>
      <c r="S2" s="24" t="s">
        <v>149</v>
      </c>
      <c r="T2" s="24" t="s">
        <v>150</v>
      </c>
      <c r="U2" s="24" t="s">
        <v>151</v>
      </c>
    </row>
    <row r="3" spans="1:21" ht="29.15" customHeight="1" x14ac:dyDescent="0.35">
      <c r="A3" s="105" t="s">
        <v>67</v>
      </c>
      <c r="B3" s="105"/>
      <c r="C3" s="105"/>
      <c r="D3" s="43"/>
      <c r="E3" s="43"/>
      <c r="F3" s="44"/>
      <c r="G3" s="69" t="s">
        <v>98</v>
      </c>
      <c r="H3" s="44"/>
      <c r="I3" s="66">
        <v>6.7885770576528959</v>
      </c>
      <c r="J3" s="66">
        <v>0.53659915382741163</v>
      </c>
      <c r="K3" s="66">
        <v>1.132690771363305</v>
      </c>
      <c r="L3" s="66">
        <v>5.7791439263295654</v>
      </c>
      <c r="M3" s="66">
        <v>-0.38748906996227822</v>
      </c>
      <c r="N3" s="66">
        <v>0.19646726937601985</v>
      </c>
      <c r="O3" s="44"/>
      <c r="P3" s="44"/>
      <c r="Q3" s="44"/>
      <c r="R3" s="44"/>
      <c r="S3" s="44"/>
      <c r="T3" s="44"/>
      <c r="U3" s="44"/>
    </row>
    <row r="4" spans="1:21" customFormat="1" ht="14.5" x14ac:dyDescent="0.35">
      <c r="A4" s="31" t="s">
        <v>36</v>
      </c>
      <c r="B4" s="31" t="s">
        <v>40</v>
      </c>
      <c r="C4" s="31" t="s">
        <v>110</v>
      </c>
      <c r="D4" s="65" t="s">
        <v>165</v>
      </c>
      <c r="E4" s="33">
        <v>10</v>
      </c>
      <c r="F4" s="32">
        <v>12.279213199999999</v>
      </c>
      <c r="G4" s="34">
        <v>2864</v>
      </c>
      <c r="H4" s="22"/>
      <c r="I4" s="35">
        <v>5.9856115107913777</v>
      </c>
      <c r="J4" s="35">
        <v>9.0522314244889657E-3</v>
      </c>
      <c r="K4" s="35">
        <v>0.55053001992078077</v>
      </c>
      <c r="L4" s="35">
        <v>5.2540553045687943</v>
      </c>
      <c r="M4" s="35">
        <v>0.35896373461816733</v>
      </c>
      <c r="N4" s="35">
        <v>0.96218389210711575</v>
      </c>
      <c r="O4" s="23"/>
      <c r="P4" s="35">
        <v>4.7969809623667929</v>
      </c>
      <c r="Q4" s="35">
        <v>5.0300871363665784</v>
      </c>
      <c r="R4" s="23"/>
      <c r="S4" s="35">
        <v>0.19</v>
      </c>
      <c r="T4" s="35">
        <v>0.35000000000000003</v>
      </c>
      <c r="U4" s="35" t="s">
        <v>91</v>
      </c>
    </row>
    <row r="5" spans="1:21" customFormat="1" ht="14.5" x14ac:dyDescent="0.35">
      <c r="A5" s="31" t="s">
        <v>162</v>
      </c>
      <c r="B5" s="31" t="s">
        <v>38</v>
      </c>
      <c r="C5" s="31" t="s">
        <v>68</v>
      </c>
      <c r="D5" s="65" t="s">
        <v>165</v>
      </c>
      <c r="E5" s="33">
        <v>17</v>
      </c>
      <c r="F5" s="32">
        <v>14.225103926100001</v>
      </c>
      <c r="G5" s="34">
        <v>2473</v>
      </c>
      <c r="H5" s="22"/>
      <c r="I5" s="35">
        <v>7.3205784604329693</v>
      </c>
      <c r="J5" s="35">
        <v>1.2585693076868631</v>
      </c>
      <c r="K5" s="35">
        <v>1.763669757213604</v>
      </c>
      <c r="L5" s="35">
        <v>7.0750254726799966</v>
      </c>
      <c r="M5" s="35">
        <v>0.51895051866714947</v>
      </c>
      <c r="N5" s="35">
        <v>1.1637719288394743</v>
      </c>
      <c r="O5" s="23"/>
      <c r="P5" s="35">
        <v>4.5412549678956085</v>
      </c>
      <c r="Q5" s="35">
        <v>4.7848711836041442</v>
      </c>
      <c r="R5" s="23"/>
      <c r="S5" s="35">
        <v>0.2</v>
      </c>
      <c r="T5" s="35">
        <v>0.3</v>
      </c>
      <c r="U5" s="35">
        <v>0.3</v>
      </c>
    </row>
    <row r="6" spans="1:21" customFormat="1" ht="14.5" x14ac:dyDescent="0.35">
      <c r="A6" s="31" t="s">
        <v>88</v>
      </c>
      <c r="B6" s="31" t="s">
        <v>37</v>
      </c>
      <c r="C6" s="31" t="s">
        <v>69</v>
      </c>
      <c r="D6" s="65" t="s">
        <v>165</v>
      </c>
      <c r="E6" s="33">
        <v>15</v>
      </c>
      <c r="F6" s="32">
        <v>57.034804899999997</v>
      </c>
      <c r="G6" s="34">
        <v>7282</v>
      </c>
      <c r="H6" s="22"/>
      <c r="I6" s="35">
        <v>6.9930069930069783</v>
      </c>
      <c r="J6" s="35">
        <v>0.56998028556427549</v>
      </c>
      <c r="K6" s="35">
        <v>1.1915276782797912</v>
      </c>
      <c r="L6" s="35">
        <v>5.8075775005546726</v>
      </c>
      <c r="M6" s="35">
        <v>0.16148933870232529</v>
      </c>
      <c r="N6" s="35">
        <v>0.75079994778031178</v>
      </c>
      <c r="O6" s="23"/>
      <c r="P6" s="35">
        <v>5.1442377536998398</v>
      </c>
      <c r="Q6" s="35">
        <v>6.2400754982395288</v>
      </c>
      <c r="R6" s="23"/>
      <c r="S6" s="35">
        <v>0.2</v>
      </c>
      <c r="T6" s="35">
        <v>0.32</v>
      </c>
      <c r="U6" s="35" t="s">
        <v>91</v>
      </c>
    </row>
    <row r="7" spans="1:21" customFormat="1" ht="14.5" x14ac:dyDescent="0.35">
      <c r="A7" s="31" t="s">
        <v>89</v>
      </c>
      <c r="B7" s="31" t="s">
        <v>39</v>
      </c>
      <c r="C7" s="31" t="s">
        <v>70</v>
      </c>
      <c r="D7" s="65" t="s">
        <v>165</v>
      </c>
      <c r="E7" s="33">
        <v>15</v>
      </c>
      <c r="F7" s="32">
        <v>71.585678560000005</v>
      </c>
      <c r="G7" s="34">
        <v>8822</v>
      </c>
      <c r="H7" s="22"/>
      <c r="I7" s="35">
        <v>6.7313915857605267</v>
      </c>
      <c r="J7" s="35">
        <v>0.86370717206978309</v>
      </c>
      <c r="K7" s="35">
        <v>1.5458584171362144</v>
      </c>
      <c r="L7" s="35">
        <v>5.9788780876027126</v>
      </c>
      <c r="M7" s="35">
        <v>-1.640392825243675</v>
      </c>
      <c r="N7" s="35">
        <v>-0.94165036987227113</v>
      </c>
      <c r="O7" s="23"/>
      <c r="P7" s="35">
        <v>5.4893783070906057</v>
      </c>
      <c r="Q7" s="35">
        <v>8.055350261497555</v>
      </c>
      <c r="R7" s="23"/>
      <c r="S7" s="35">
        <v>0.2</v>
      </c>
      <c r="T7" s="35" t="s">
        <v>91</v>
      </c>
      <c r="U7" s="35">
        <v>0.22639999999999999</v>
      </c>
    </row>
    <row r="8" spans="1:21" customFormat="1" ht="14.5" x14ac:dyDescent="0.35">
      <c r="A8" s="31" t="s">
        <v>116</v>
      </c>
      <c r="B8" s="31" t="s">
        <v>41</v>
      </c>
      <c r="C8" s="68" t="s">
        <v>148</v>
      </c>
      <c r="D8" s="65" t="s">
        <v>165</v>
      </c>
      <c r="E8" s="33">
        <v>10</v>
      </c>
      <c r="F8" s="32">
        <v>32.474127500000002</v>
      </c>
      <c r="G8" s="34">
        <v>6981</v>
      </c>
      <c r="H8" s="22"/>
      <c r="I8" s="35">
        <v>6.7066574884452779</v>
      </c>
      <c r="J8" s="35">
        <v>-0.35987990080628141</v>
      </c>
      <c r="K8" s="35">
        <v>6.2303169606692244E-2</v>
      </c>
      <c r="L8" s="35">
        <v>4.9198080330974836</v>
      </c>
      <c r="M8" s="35">
        <v>0.73091014114898822</v>
      </c>
      <c r="N8" s="35">
        <v>1.0184835145805593</v>
      </c>
      <c r="O8" s="23"/>
      <c r="P8" s="35">
        <v>4.1373154957991227</v>
      </c>
      <c r="Q8" s="35">
        <v>3.7187870759039559</v>
      </c>
      <c r="R8" s="23"/>
      <c r="S8" s="35">
        <v>0.2</v>
      </c>
      <c r="T8" s="35">
        <v>0.33</v>
      </c>
      <c r="U8" s="35" t="s">
        <v>91</v>
      </c>
    </row>
    <row r="9" spans="1:21" customFormat="1" ht="14.5" x14ac:dyDescent="0.35">
      <c r="A9" s="31" t="s">
        <v>131</v>
      </c>
      <c r="B9" s="31" t="s">
        <v>139</v>
      </c>
      <c r="C9" s="68" t="s">
        <v>147</v>
      </c>
      <c r="D9" s="65" t="s">
        <v>166</v>
      </c>
      <c r="E9" s="33">
        <v>0</v>
      </c>
      <c r="F9" s="32">
        <v>0.65275061560000003</v>
      </c>
      <c r="G9" s="34">
        <v>45</v>
      </c>
      <c r="H9" s="22"/>
      <c r="I9" s="35">
        <v>2.7844686385971595</v>
      </c>
      <c r="J9" s="35" t="s">
        <v>163</v>
      </c>
      <c r="K9" s="35" t="s">
        <v>163</v>
      </c>
      <c r="L9" s="35">
        <v>3.3574529667149022</v>
      </c>
      <c r="M9" s="35" t="s">
        <v>163</v>
      </c>
      <c r="N9" s="35" t="s">
        <v>163</v>
      </c>
      <c r="O9" s="23"/>
      <c r="P9" s="35" t="s">
        <v>163</v>
      </c>
      <c r="Q9" s="35" t="s">
        <v>163</v>
      </c>
      <c r="R9" s="23"/>
      <c r="S9" s="35">
        <v>0.18</v>
      </c>
      <c r="T9" s="35">
        <v>0.34</v>
      </c>
      <c r="U9" s="35" t="s">
        <v>91</v>
      </c>
    </row>
    <row r="10" spans="1:21" x14ac:dyDescent="0.35">
      <c r="A10" s="17"/>
      <c r="B10" s="17"/>
      <c r="C10" s="17"/>
      <c r="D10" s="17"/>
      <c r="E10" s="17"/>
      <c r="F10" s="17"/>
      <c r="G10" s="17"/>
      <c r="H10" s="17"/>
      <c r="I10" s="17"/>
      <c r="J10" s="17"/>
      <c r="K10" s="17"/>
      <c r="L10" s="17"/>
      <c r="M10" s="17"/>
      <c r="N10" s="17"/>
      <c r="O10" s="17"/>
      <c r="P10" s="17"/>
      <c r="Q10" s="17"/>
      <c r="R10" s="17"/>
    </row>
    <row r="11" spans="1:21" s="54" customFormat="1" ht="13.5" x14ac:dyDescent="0.3">
      <c r="A11" s="52" t="s">
        <v>168</v>
      </c>
      <c r="B11" s="48"/>
      <c r="C11" s="48"/>
      <c r="D11" s="53"/>
      <c r="E11" s="53"/>
      <c r="F11" s="53"/>
      <c r="G11" s="53"/>
      <c r="H11" s="53"/>
      <c r="I11" s="53"/>
      <c r="J11" s="53"/>
      <c r="K11" s="53"/>
      <c r="L11" s="53"/>
      <c r="M11" s="53"/>
      <c r="N11" s="53"/>
    </row>
    <row r="12" spans="1:21" s="54" customFormat="1" ht="13.5" x14ac:dyDescent="0.3">
      <c r="A12" s="48" t="s">
        <v>93</v>
      </c>
      <c r="B12" s="52"/>
      <c r="C12" s="52"/>
    </row>
    <row r="13" spans="1:21" s="54" customFormat="1" ht="13.5" x14ac:dyDescent="0.3">
      <c r="A13" s="52" t="s">
        <v>95</v>
      </c>
      <c r="B13" s="52"/>
      <c r="C13" s="52"/>
    </row>
    <row r="14" spans="1:21" s="54" customFormat="1" ht="13.5" x14ac:dyDescent="0.3">
      <c r="A14" s="52" t="s">
        <v>96</v>
      </c>
      <c r="B14" s="52"/>
      <c r="C14" s="52"/>
    </row>
    <row r="15" spans="1:21" s="54" customFormat="1" ht="13.5" x14ac:dyDescent="0.3">
      <c r="A15" s="52" t="s">
        <v>167</v>
      </c>
      <c r="B15" s="53"/>
      <c r="C15" s="53"/>
    </row>
    <row r="16" spans="1:21" s="54" customFormat="1" ht="13.5" x14ac:dyDescent="0.3">
      <c r="A16" s="55" t="s">
        <v>115</v>
      </c>
      <c r="B16" s="53"/>
      <c r="C16" s="53"/>
    </row>
    <row r="17" spans="1:4" s="54" customFormat="1" ht="13.5" x14ac:dyDescent="0.3">
      <c r="A17" s="55" t="s">
        <v>101</v>
      </c>
    </row>
    <row r="18" spans="1:4" s="54" customFormat="1" ht="13.5" x14ac:dyDescent="0.3">
      <c r="A18" s="55" t="s">
        <v>169</v>
      </c>
    </row>
    <row r="19" spans="1:4" x14ac:dyDescent="0.35">
      <c r="A19" s="55" t="s">
        <v>152</v>
      </c>
    </row>
    <row r="20" spans="1:4" x14ac:dyDescent="0.35">
      <c r="A20" s="55" t="s">
        <v>153</v>
      </c>
    </row>
    <row r="21" spans="1:4" x14ac:dyDescent="0.35">
      <c r="A21" s="55" t="s">
        <v>156</v>
      </c>
    </row>
    <row r="22" spans="1:4" x14ac:dyDescent="0.35">
      <c r="A22" s="55" t="s">
        <v>155</v>
      </c>
    </row>
    <row r="23" spans="1:4" x14ac:dyDescent="0.35">
      <c r="A23" s="55"/>
    </row>
    <row r="24" spans="1:4" x14ac:dyDescent="0.35">
      <c r="A24" s="55"/>
    </row>
    <row r="25" spans="1:4" x14ac:dyDescent="0.35">
      <c r="A25" s="36" t="s">
        <v>113</v>
      </c>
      <c r="B25" s="36"/>
      <c r="C25" s="36"/>
      <c r="D25" s="36"/>
    </row>
    <row r="26" spans="1:4" s="54" customFormat="1" ht="13.5" x14ac:dyDescent="0.3">
      <c r="A26" s="52" t="s">
        <v>83</v>
      </c>
      <c r="B26" s="53"/>
      <c r="C26" s="53"/>
    </row>
    <row r="27" spans="1:4" s="54" customFormat="1" ht="13.5" x14ac:dyDescent="0.3">
      <c r="A27" s="52" t="s">
        <v>84</v>
      </c>
      <c r="B27" s="53"/>
      <c r="C27" s="53"/>
    </row>
    <row r="28" spans="1:4" x14ac:dyDescent="0.35">
      <c r="A28" s="18"/>
      <c r="B28" s="18"/>
      <c r="C28" s="18"/>
    </row>
    <row r="35" spans="1:3" x14ac:dyDescent="0.35">
      <c r="A35" s="36" t="s">
        <v>0</v>
      </c>
      <c r="B35" s="36" t="s">
        <v>73</v>
      </c>
      <c r="C35" s="36" t="s">
        <v>72</v>
      </c>
    </row>
    <row r="36" spans="1:3" x14ac:dyDescent="0.35">
      <c r="A36" s="31" t="s">
        <v>40</v>
      </c>
      <c r="B36" s="32">
        <v>4.7969809623667929</v>
      </c>
      <c r="C36" s="32">
        <v>9.0522314244889657E-3</v>
      </c>
    </row>
    <row r="37" spans="1:3" x14ac:dyDescent="0.35">
      <c r="A37" s="31" t="s">
        <v>38</v>
      </c>
      <c r="B37" s="32">
        <v>4.5412549678956085</v>
      </c>
      <c r="C37" s="32">
        <v>1.2585693076868631</v>
      </c>
    </row>
    <row r="38" spans="1:3" x14ac:dyDescent="0.35">
      <c r="A38" s="31" t="s">
        <v>37</v>
      </c>
      <c r="B38" s="32">
        <v>5.1442377536998398</v>
      </c>
      <c r="C38" s="32">
        <v>0.56998028556427549</v>
      </c>
    </row>
    <row r="39" spans="1:3" x14ac:dyDescent="0.35">
      <c r="A39" s="31" t="s">
        <v>39</v>
      </c>
      <c r="B39" s="32">
        <v>5.4893783070906057</v>
      </c>
      <c r="C39" s="32">
        <v>0.86370717206978309</v>
      </c>
    </row>
    <row r="40" spans="1:3" x14ac:dyDescent="0.35">
      <c r="A40" s="31" t="s">
        <v>41</v>
      </c>
      <c r="B40" s="32">
        <v>4.1373154957991227</v>
      </c>
      <c r="C40" s="32">
        <v>-0.35987990080628141</v>
      </c>
    </row>
    <row r="57" spans="1:5" x14ac:dyDescent="0.35">
      <c r="A57" s="36" t="s">
        <v>114</v>
      </c>
      <c r="B57" s="36"/>
      <c r="C57" s="36"/>
      <c r="D57" s="36"/>
      <c r="E57" s="36"/>
    </row>
    <row r="58" spans="1:5" s="54" customFormat="1" ht="13.5" x14ac:dyDescent="0.3">
      <c r="A58" s="52" t="s">
        <v>85</v>
      </c>
      <c r="B58" s="53"/>
      <c r="C58" s="53"/>
    </row>
    <row r="59" spans="1:5" s="54" customFormat="1" ht="13.5" x14ac:dyDescent="0.3">
      <c r="A59" s="52" t="s">
        <v>86</v>
      </c>
      <c r="B59" s="53"/>
      <c r="C59" s="53"/>
    </row>
    <row r="60" spans="1:5" s="54" customFormat="1" ht="13.5" x14ac:dyDescent="0.3">
      <c r="A60" s="52" t="s">
        <v>87</v>
      </c>
      <c r="B60" s="53"/>
      <c r="C60" s="53"/>
    </row>
    <row r="65" spans="1:4" x14ac:dyDescent="0.35">
      <c r="A65" s="36" t="s">
        <v>0</v>
      </c>
      <c r="B65" s="36" t="s">
        <v>77</v>
      </c>
      <c r="C65" s="36" t="s">
        <v>78</v>
      </c>
      <c r="D65" s="36" t="s">
        <v>79</v>
      </c>
    </row>
    <row r="66" spans="1:4" x14ac:dyDescent="0.35">
      <c r="A66" s="31" t="s">
        <v>40</v>
      </c>
      <c r="B66" s="32">
        <v>2.8639999999999999</v>
      </c>
      <c r="C66" s="32">
        <v>9.0522314244889657E-3</v>
      </c>
      <c r="D66" s="32">
        <v>12.279213199999999</v>
      </c>
    </row>
    <row r="67" spans="1:4" x14ac:dyDescent="0.35">
      <c r="A67" s="31" t="s">
        <v>38</v>
      </c>
      <c r="B67" s="32">
        <v>2.4729999999999999</v>
      </c>
      <c r="C67" s="32">
        <v>1.2585693076868631</v>
      </c>
      <c r="D67" s="32">
        <v>14.225103926100001</v>
      </c>
    </row>
    <row r="68" spans="1:4" x14ac:dyDescent="0.35">
      <c r="A68" s="31" t="s">
        <v>37</v>
      </c>
      <c r="B68" s="32">
        <v>7.282</v>
      </c>
      <c r="C68" s="32">
        <v>0.56998028556427549</v>
      </c>
      <c r="D68" s="32">
        <v>57.034804899999997</v>
      </c>
    </row>
    <row r="69" spans="1:4" x14ac:dyDescent="0.35">
      <c r="A69" s="31" t="s">
        <v>39</v>
      </c>
      <c r="B69" s="32">
        <v>8.8219999999999992</v>
      </c>
      <c r="C69" s="32">
        <v>0.86370717206978309</v>
      </c>
      <c r="D69" s="32">
        <v>71.585678560000005</v>
      </c>
    </row>
    <row r="70" spans="1:4" x14ac:dyDescent="0.35">
      <c r="A70" s="31" t="s">
        <v>41</v>
      </c>
      <c r="B70" s="32">
        <v>6.9809999999999999</v>
      </c>
      <c r="C70" s="32">
        <v>-0.35987990080628141</v>
      </c>
      <c r="D70" s="32">
        <v>32.474127500000002</v>
      </c>
    </row>
  </sheetData>
  <mergeCells count="7">
    <mergeCell ref="S1:U1"/>
    <mergeCell ref="P1:Q1"/>
    <mergeCell ref="A3:C3"/>
    <mergeCell ref="D1:D2"/>
    <mergeCell ref="F1:F2"/>
    <mergeCell ref="G1:G2"/>
    <mergeCell ref="I1:M1"/>
  </mergeCells>
  <conditionalFormatting sqref="I4:I8">
    <cfRule type="cellIs" dxfId="17" priority="21" operator="greaterThanOrEqual">
      <formula>0</formula>
    </cfRule>
    <cfRule type="cellIs" dxfId="16" priority="22" operator="lessThan">
      <formula>0</formula>
    </cfRule>
  </conditionalFormatting>
  <conditionalFormatting sqref="J4:N8">
    <cfRule type="cellIs" dxfId="15" priority="19" operator="greaterThanOrEqual">
      <formula>0</formula>
    </cfRule>
    <cfRule type="cellIs" dxfId="14" priority="20" operator="lessThan">
      <formula>0</formula>
    </cfRule>
  </conditionalFormatting>
  <conditionalFormatting sqref="I3:N3">
    <cfRule type="cellIs" dxfId="13" priority="13" operator="greaterThanOrEqual">
      <formula>0</formula>
    </cfRule>
    <cfRule type="cellIs" dxfId="12" priority="14" operator="lessThan">
      <formula>0</formula>
    </cfRule>
  </conditionalFormatting>
  <conditionalFormatting sqref="P4:Q8">
    <cfRule type="cellIs" dxfId="11" priority="11" operator="greaterThanOrEqual">
      <formula>0</formula>
    </cfRule>
    <cfRule type="cellIs" dxfId="10" priority="12" operator="lessThan">
      <formula>0</formula>
    </cfRule>
  </conditionalFormatting>
  <conditionalFormatting sqref="S4:U8">
    <cfRule type="cellIs" dxfId="9" priority="9" operator="greaterThanOrEqual">
      <formula>0</formula>
    </cfRule>
    <cfRule type="cellIs" dxfId="8" priority="10" operator="lessThan">
      <formula>0</formula>
    </cfRule>
  </conditionalFormatting>
  <conditionalFormatting sqref="I9">
    <cfRule type="cellIs" dxfId="7" priority="7" operator="greaterThanOrEqual">
      <formula>0</formula>
    </cfRule>
    <cfRule type="cellIs" dxfId="6" priority="8" operator="lessThan">
      <formula>0</formula>
    </cfRule>
  </conditionalFormatting>
  <conditionalFormatting sqref="J9:N9">
    <cfRule type="cellIs" dxfId="5" priority="5" operator="greaterThanOrEqual">
      <formula>0</formula>
    </cfRule>
    <cfRule type="cellIs" dxfId="4" priority="6" operator="lessThan">
      <formula>0</formula>
    </cfRule>
  </conditionalFormatting>
  <conditionalFormatting sqref="P9:Q9">
    <cfRule type="cellIs" dxfId="3" priority="3" operator="greaterThanOrEqual">
      <formula>0</formula>
    </cfRule>
    <cfRule type="cellIs" dxfId="2" priority="4" operator="lessThan">
      <formula>0</formula>
    </cfRule>
  </conditionalFormatting>
  <conditionalFormatting sqref="S9:U9">
    <cfRule type="cellIs" dxfId="1" priority="1" operator="greaterThanOrEqual">
      <formula>0</formula>
    </cfRule>
    <cfRule type="cellIs" dxfId="0" priority="2" operator="lessThan">
      <formula>0</formula>
    </cfRule>
  </conditionalFormatting>
  <hyperlinks>
    <hyperlink ref="C1" location="GCF_2024!A1" display="Grįžti į pagrindinį puslapį" xr:uid="{A313FCAB-EB37-4248-B261-0E3F926C2175}"/>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7D"/>
  </sheetPr>
  <dimension ref="A1:O69"/>
  <sheetViews>
    <sheetView showGridLines="0" zoomScale="70" zoomScaleNormal="70" workbookViewId="0">
      <selection sqref="A1:A2"/>
    </sheetView>
  </sheetViews>
  <sheetFormatPr defaultColWidth="8.81640625" defaultRowHeight="13.5" x14ac:dyDescent="0.25"/>
  <cols>
    <col min="1" max="1" width="12.54296875" style="4" customWidth="1"/>
    <col min="2" max="2" width="15.81640625" style="4" customWidth="1"/>
    <col min="3" max="3" width="15.54296875" style="4" customWidth="1"/>
    <col min="4" max="4" width="15.453125" style="4" customWidth="1"/>
    <col min="5" max="5" width="14.1796875" style="4" customWidth="1"/>
    <col min="6" max="7" width="18.453125" style="4" customWidth="1"/>
    <col min="8" max="16384" width="8.81640625" style="2"/>
  </cols>
  <sheetData>
    <row r="1" spans="1:15" ht="13.75" customHeight="1" x14ac:dyDescent="0.25">
      <c r="A1" s="100" t="s">
        <v>74</v>
      </c>
      <c r="B1" s="98" t="s">
        <v>80</v>
      </c>
      <c r="C1" s="104"/>
      <c r="D1" s="104"/>
      <c r="E1" s="104"/>
      <c r="F1" s="104"/>
      <c r="G1" s="104"/>
      <c r="O1" s="19"/>
    </row>
    <row r="2" spans="1:15" ht="59.15" customHeight="1" x14ac:dyDescent="0.25">
      <c r="A2" s="101" t="s">
        <v>74</v>
      </c>
      <c r="B2" s="24" t="s">
        <v>88</v>
      </c>
      <c r="C2" s="24" t="s">
        <v>161</v>
      </c>
      <c r="D2" s="24" t="s">
        <v>89</v>
      </c>
      <c r="E2" s="24" t="s">
        <v>36</v>
      </c>
      <c r="F2" s="24" t="s">
        <v>116</v>
      </c>
      <c r="G2" s="24" t="s">
        <v>131</v>
      </c>
      <c r="H2" s="94" t="s">
        <v>76</v>
      </c>
    </row>
    <row r="3" spans="1:15" x14ac:dyDescent="0.25">
      <c r="A3" s="56">
        <v>20</v>
      </c>
      <c r="B3" s="33">
        <v>98</v>
      </c>
      <c r="C3" s="33">
        <v>97</v>
      </c>
      <c r="D3" s="33">
        <v>97</v>
      </c>
      <c r="E3" s="33">
        <v>90</v>
      </c>
      <c r="F3" s="33">
        <v>90</v>
      </c>
      <c r="G3" s="33">
        <v>100</v>
      </c>
    </row>
    <row r="4" spans="1:15" x14ac:dyDescent="0.25">
      <c r="A4" s="56">
        <v>21</v>
      </c>
      <c r="B4" s="33">
        <v>98</v>
      </c>
      <c r="C4" s="33">
        <v>97</v>
      </c>
      <c r="D4" s="33">
        <v>97</v>
      </c>
      <c r="E4" s="33">
        <v>90</v>
      </c>
      <c r="F4" s="33">
        <v>90</v>
      </c>
      <c r="G4" s="33">
        <v>100</v>
      </c>
    </row>
    <row r="5" spans="1:15" x14ac:dyDescent="0.25">
      <c r="A5" s="56">
        <v>22</v>
      </c>
      <c r="B5" s="33">
        <v>98</v>
      </c>
      <c r="C5" s="33">
        <v>97</v>
      </c>
      <c r="D5" s="33">
        <v>97</v>
      </c>
      <c r="E5" s="33">
        <v>90</v>
      </c>
      <c r="F5" s="33">
        <v>90</v>
      </c>
      <c r="G5" s="33">
        <v>100</v>
      </c>
    </row>
    <row r="6" spans="1:15" x14ac:dyDescent="0.25">
      <c r="A6" s="56">
        <v>23</v>
      </c>
      <c r="B6" s="33">
        <v>98</v>
      </c>
      <c r="C6" s="33">
        <v>97</v>
      </c>
      <c r="D6" s="33">
        <v>97</v>
      </c>
      <c r="E6" s="33">
        <v>90</v>
      </c>
      <c r="F6" s="33">
        <v>90</v>
      </c>
      <c r="G6" s="33">
        <v>100</v>
      </c>
    </row>
    <row r="7" spans="1:15" x14ac:dyDescent="0.25">
      <c r="A7" s="56">
        <v>24</v>
      </c>
      <c r="B7" s="33">
        <v>98</v>
      </c>
      <c r="C7" s="33">
        <v>97</v>
      </c>
      <c r="D7" s="33">
        <v>97</v>
      </c>
      <c r="E7" s="33">
        <v>90</v>
      </c>
      <c r="F7" s="33">
        <v>90</v>
      </c>
      <c r="G7" s="33">
        <v>100</v>
      </c>
    </row>
    <row r="8" spans="1:15" x14ac:dyDescent="0.25">
      <c r="A8" s="56">
        <v>25</v>
      </c>
      <c r="B8" s="33">
        <v>98</v>
      </c>
      <c r="C8" s="33">
        <v>97</v>
      </c>
      <c r="D8" s="33">
        <v>97</v>
      </c>
      <c r="E8" s="33">
        <v>90</v>
      </c>
      <c r="F8" s="33">
        <v>90</v>
      </c>
      <c r="G8" s="33">
        <v>100</v>
      </c>
    </row>
    <row r="9" spans="1:15" x14ac:dyDescent="0.25">
      <c r="A9" s="56">
        <v>26</v>
      </c>
      <c r="B9" s="33">
        <v>98</v>
      </c>
      <c r="C9" s="33">
        <v>97</v>
      </c>
      <c r="D9" s="33">
        <v>97</v>
      </c>
      <c r="E9" s="33">
        <v>90</v>
      </c>
      <c r="F9" s="33">
        <v>90</v>
      </c>
      <c r="G9" s="33">
        <v>100</v>
      </c>
    </row>
    <row r="10" spans="1:15" x14ac:dyDescent="0.25">
      <c r="A10" s="56">
        <v>27</v>
      </c>
      <c r="B10" s="33">
        <v>98</v>
      </c>
      <c r="C10" s="33">
        <v>97</v>
      </c>
      <c r="D10" s="33">
        <v>97</v>
      </c>
      <c r="E10" s="33">
        <v>90</v>
      </c>
      <c r="F10" s="33">
        <v>90</v>
      </c>
      <c r="G10" s="33">
        <v>100</v>
      </c>
    </row>
    <row r="11" spans="1:15" x14ac:dyDescent="0.25">
      <c r="A11" s="56">
        <v>28</v>
      </c>
      <c r="B11" s="33">
        <v>98</v>
      </c>
      <c r="C11" s="33">
        <v>97</v>
      </c>
      <c r="D11" s="33">
        <v>97</v>
      </c>
      <c r="E11" s="33">
        <v>90</v>
      </c>
      <c r="F11" s="33">
        <v>90</v>
      </c>
      <c r="G11" s="33">
        <v>100</v>
      </c>
    </row>
    <row r="12" spans="1:15" x14ac:dyDescent="0.25">
      <c r="A12" s="56">
        <v>29</v>
      </c>
      <c r="B12" s="33">
        <v>98</v>
      </c>
      <c r="C12" s="33">
        <v>97</v>
      </c>
      <c r="D12" s="33">
        <v>97</v>
      </c>
      <c r="E12" s="33">
        <v>90</v>
      </c>
      <c r="F12" s="33">
        <v>90</v>
      </c>
      <c r="G12" s="33">
        <v>100</v>
      </c>
    </row>
    <row r="13" spans="1:15" x14ac:dyDescent="0.25">
      <c r="A13" s="56">
        <v>30</v>
      </c>
      <c r="B13" s="33">
        <v>98</v>
      </c>
      <c r="C13" s="33">
        <v>97</v>
      </c>
      <c r="D13" s="33">
        <v>97</v>
      </c>
      <c r="E13" s="33">
        <v>90</v>
      </c>
      <c r="F13" s="33">
        <v>90</v>
      </c>
      <c r="G13" s="33">
        <v>100</v>
      </c>
    </row>
    <row r="14" spans="1:15" x14ac:dyDescent="0.25">
      <c r="A14" s="56">
        <v>31</v>
      </c>
      <c r="B14" s="33">
        <v>98</v>
      </c>
      <c r="C14" s="33">
        <v>97</v>
      </c>
      <c r="D14" s="33">
        <v>97</v>
      </c>
      <c r="E14" s="33">
        <v>90</v>
      </c>
      <c r="F14" s="33">
        <v>90</v>
      </c>
      <c r="G14" s="33">
        <v>100</v>
      </c>
    </row>
    <row r="15" spans="1:15" x14ac:dyDescent="0.25">
      <c r="A15" s="56">
        <v>32</v>
      </c>
      <c r="B15" s="33">
        <v>98</v>
      </c>
      <c r="C15" s="33">
        <v>97</v>
      </c>
      <c r="D15" s="33">
        <v>97</v>
      </c>
      <c r="E15" s="33">
        <v>90</v>
      </c>
      <c r="F15" s="33">
        <v>90</v>
      </c>
      <c r="G15" s="33">
        <v>100</v>
      </c>
    </row>
    <row r="16" spans="1:15" x14ac:dyDescent="0.25">
      <c r="A16" s="56">
        <v>33</v>
      </c>
      <c r="B16" s="33">
        <v>98</v>
      </c>
      <c r="C16" s="33">
        <v>97</v>
      </c>
      <c r="D16" s="33">
        <v>97</v>
      </c>
      <c r="E16" s="33">
        <v>90</v>
      </c>
      <c r="F16" s="33">
        <v>90</v>
      </c>
      <c r="G16" s="33">
        <v>100</v>
      </c>
    </row>
    <row r="17" spans="1:7" x14ac:dyDescent="0.25">
      <c r="A17" s="56">
        <v>34</v>
      </c>
      <c r="B17" s="33">
        <v>98</v>
      </c>
      <c r="C17" s="33">
        <v>97</v>
      </c>
      <c r="D17" s="33">
        <v>97</v>
      </c>
      <c r="E17" s="33">
        <v>90</v>
      </c>
      <c r="F17" s="33">
        <v>90</v>
      </c>
      <c r="G17" s="33">
        <v>100</v>
      </c>
    </row>
    <row r="18" spans="1:7" x14ac:dyDescent="0.25">
      <c r="A18" s="56">
        <v>35</v>
      </c>
      <c r="B18" s="33">
        <v>98</v>
      </c>
      <c r="C18" s="33">
        <v>97</v>
      </c>
      <c r="D18" s="33">
        <v>97</v>
      </c>
      <c r="E18" s="33">
        <v>90</v>
      </c>
      <c r="F18" s="33">
        <v>90</v>
      </c>
      <c r="G18" s="33">
        <v>100</v>
      </c>
    </row>
    <row r="19" spans="1:7" x14ac:dyDescent="0.25">
      <c r="A19" s="56">
        <v>36</v>
      </c>
      <c r="B19" s="33">
        <v>98</v>
      </c>
      <c r="C19" s="33">
        <v>97</v>
      </c>
      <c r="D19" s="33">
        <v>97</v>
      </c>
      <c r="E19" s="33">
        <v>90</v>
      </c>
      <c r="F19" s="33">
        <v>90</v>
      </c>
      <c r="G19" s="33">
        <v>100</v>
      </c>
    </row>
    <row r="20" spans="1:7" x14ac:dyDescent="0.25">
      <c r="A20" s="56">
        <v>37</v>
      </c>
      <c r="B20" s="33">
        <v>98</v>
      </c>
      <c r="C20" s="33">
        <v>97</v>
      </c>
      <c r="D20" s="33">
        <v>97</v>
      </c>
      <c r="E20" s="33">
        <v>90</v>
      </c>
      <c r="F20" s="33">
        <v>90</v>
      </c>
      <c r="G20" s="33">
        <v>100</v>
      </c>
    </row>
    <row r="21" spans="1:7" x14ac:dyDescent="0.25">
      <c r="A21" s="56">
        <v>38</v>
      </c>
      <c r="B21" s="33">
        <v>98</v>
      </c>
      <c r="C21" s="33">
        <v>97</v>
      </c>
      <c r="D21" s="33">
        <v>97</v>
      </c>
      <c r="E21" s="33">
        <v>90</v>
      </c>
      <c r="F21" s="33">
        <v>90</v>
      </c>
      <c r="G21" s="33">
        <v>100</v>
      </c>
    </row>
    <row r="22" spans="1:7" x14ac:dyDescent="0.25">
      <c r="A22" s="56">
        <v>39</v>
      </c>
      <c r="B22" s="33">
        <v>98</v>
      </c>
      <c r="C22" s="33">
        <v>97</v>
      </c>
      <c r="D22" s="33">
        <v>97</v>
      </c>
      <c r="E22" s="33">
        <v>90</v>
      </c>
      <c r="F22" s="33">
        <v>90</v>
      </c>
      <c r="G22" s="33">
        <v>100</v>
      </c>
    </row>
    <row r="23" spans="1:7" x14ac:dyDescent="0.25">
      <c r="A23" s="56">
        <v>40</v>
      </c>
      <c r="B23" s="33">
        <v>98</v>
      </c>
      <c r="C23" s="33">
        <v>97</v>
      </c>
      <c r="D23" s="33">
        <v>97</v>
      </c>
      <c r="E23" s="33">
        <v>90</v>
      </c>
      <c r="F23" s="33">
        <v>90</v>
      </c>
      <c r="G23" s="33">
        <v>100</v>
      </c>
    </row>
    <row r="24" spans="1:7" x14ac:dyDescent="0.25">
      <c r="A24" s="56">
        <v>41</v>
      </c>
      <c r="B24" s="33">
        <v>98</v>
      </c>
      <c r="C24" s="33">
        <v>97</v>
      </c>
      <c r="D24" s="33">
        <v>97</v>
      </c>
      <c r="E24" s="33">
        <v>90</v>
      </c>
      <c r="F24" s="33">
        <v>90</v>
      </c>
      <c r="G24" s="33">
        <v>100</v>
      </c>
    </row>
    <row r="25" spans="1:7" x14ac:dyDescent="0.25">
      <c r="A25" s="56">
        <v>42</v>
      </c>
      <c r="B25" s="33">
        <v>98</v>
      </c>
      <c r="C25" s="33">
        <v>97</v>
      </c>
      <c r="D25" s="33">
        <v>97</v>
      </c>
      <c r="E25" s="33">
        <v>90</v>
      </c>
      <c r="F25" s="33">
        <v>90</v>
      </c>
      <c r="G25" s="33">
        <v>100</v>
      </c>
    </row>
    <row r="26" spans="1:7" x14ac:dyDescent="0.25">
      <c r="A26" s="56">
        <v>43</v>
      </c>
      <c r="B26" s="33">
        <v>98</v>
      </c>
      <c r="C26" s="33">
        <v>97</v>
      </c>
      <c r="D26" s="33">
        <v>97</v>
      </c>
      <c r="E26" s="33">
        <v>90</v>
      </c>
      <c r="F26" s="33">
        <v>90</v>
      </c>
      <c r="G26" s="33">
        <v>100</v>
      </c>
    </row>
    <row r="27" spans="1:7" x14ac:dyDescent="0.25">
      <c r="A27" s="56">
        <v>44</v>
      </c>
      <c r="B27" s="33">
        <v>98</v>
      </c>
      <c r="C27" s="33">
        <v>97</v>
      </c>
      <c r="D27" s="33">
        <v>97</v>
      </c>
      <c r="E27" s="33">
        <v>90</v>
      </c>
      <c r="F27" s="33">
        <v>90</v>
      </c>
      <c r="G27" s="33">
        <v>100</v>
      </c>
    </row>
    <row r="28" spans="1:7" x14ac:dyDescent="0.25">
      <c r="A28" s="56">
        <v>45</v>
      </c>
      <c r="B28" s="33">
        <v>98</v>
      </c>
      <c r="C28" s="33">
        <v>97</v>
      </c>
      <c r="D28" s="33">
        <v>97</v>
      </c>
      <c r="E28" s="33">
        <v>90</v>
      </c>
      <c r="F28" s="33">
        <v>90</v>
      </c>
      <c r="G28" s="33">
        <v>100</v>
      </c>
    </row>
    <row r="29" spans="1:7" x14ac:dyDescent="0.25">
      <c r="A29" s="56">
        <v>46</v>
      </c>
      <c r="B29" s="33">
        <v>98</v>
      </c>
      <c r="C29" s="33">
        <v>97</v>
      </c>
      <c r="D29" s="33">
        <v>97</v>
      </c>
      <c r="E29" s="33">
        <v>90</v>
      </c>
      <c r="F29" s="33">
        <v>90</v>
      </c>
      <c r="G29" s="33">
        <v>100</v>
      </c>
    </row>
    <row r="30" spans="1:7" x14ac:dyDescent="0.25">
      <c r="A30" s="56">
        <v>47</v>
      </c>
      <c r="B30" s="33">
        <v>98</v>
      </c>
      <c r="C30" s="33">
        <v>97</v>
      </c>
      <c r="D30" s="33">
        <v>97</v>
      </c>
      <c r="E30" s="33">
        <v>90</v>
      </c>
      <c r="F30" s="33">
        <v>90</v>
      </c>
      <c r="G30" s="33">
        <v>100</v>
      </c>
    </row>
    <row r="31" spans="1:7" x14ac:dyDescent="0.25">
      <c r="A31" s="56">
        <v>48</v>
      </c>
      <c r="B31" s="33">
        <v>92.9</v>
      </c>
      <c r="C31" s="33">
        <v>91.88</v>
      </c>
      <c r="D31" s="33">
        <v>95</v>
      </c>
      <c r="E31" s="33">
        <v>90</v>
      </c>
      <c r="F31" s="33">
        <v>90</v>
      </c>
      <c r="G31" s="33">
        <v>100</v>
      </c>
    </row>
    <row r="32" spans="1:7" x14ac:dyDescent="0.25">
      <c r="A32" s="56">
        <v>49</v>
      </c>
      <c r="B32" s="33">
        <v>87.9</v>
      </c>
      <c r="C32" s="33">
        <v>86.77</v>
      </c>
      <c r="D32" s="33">
        <v>90</v>
      </c>
      <c r="E32" s="33">
        <v>90</v>
      </c>
      <c r="F32" s="33">
        <v>90</v>
      </c>
      <c r="G32" s="33">
        <v>100</v>
      </c>
    </row>
    <row r="33" spans="1:7" x14ac:dyDescent="0.25">
      <c r="A33" s="56">
        <v>50</v>
      </c>
      <c r="B33" s="33">
        <v>82.899999999999991</v>
      </c>
      <c r="C33" s="33">
        <v>81.64</v>
      </c>
      <c r="D33" s="33">
        <v>85</v>
      </c>
      <c r="E33" s="33">
        <v>85</v>
      </c>
      <c r="F33" s="33">
        <v>85</v>
      </c>
      <c r="G33" s="33">
        <v>100</v>
      </c>
    </row>
    <row r="34" spans="1:7" x14ac:dyDescent="0.25">
      <c r="A34" s="56">
        <v>51</v>
      </c>
      <c r="B34" s="33">
        <v>78</v>
      </c>
      <c r="C34" s="33">
        <v>76.530000000000015</v>
      </c>
      <c r="D34" s="33">
        <v>80</v>
      </c>
      <c r="E34" s="33">
        <v>80</v>
      </c>
      <c r="F34" s="33">
        <v>80</v>
      </c>
      <c r="G34" s="33">
        <v>100</v>
      </c>
    </row>
    <row r="35" spans="1:7" x14ac:dyDescent="0.25">
      <c r="A35" s="56">
        <v>52</v>
      </c>
      <c r="B35" s="33">
        <v>73.099999999999994</v>
      </c>
      <c r="C35" s="33">
        <v>71.41</v>
      </c>
      <c r="D35" s="33">
        <v>75</v>
      </c>
      <c r="E35" s="33">
        <v>75</v>
      </c>
      <c r="F35" s="33">
        <v>75</v>
      </c>
      <c r="G35" s="33">
        <v>100</v>
      </c>
    </row>
    <row r="36" spans="1:7" x14ac:dyDescent="0.25">
      <c r="A36" s="56">
        <v>53</v>
      </c>
      <c r="B36" s="33">
        <v>68.099999999999994</v>
      </c>
      <c r="C36" s="33">
        <v>66.3</v>
      </c>
      <c r="D36" s="33">
        <v>70</v>
      </c>
      <c r="E36" s="33">
        <v>70</v>
      </c>
      <c r="F36" s="33">
        <v>70</v>
      </c>
      <c r="G36" s="33">
        <v>100</v>
      </c>
    </row>
    <row r="37" spans="1:7" x14ac:dyDescent="0.25">
      <c r="A37" s="56">
        <v>54</v>
      </c>
      <c r="B37" s="33">
        <v>63.3</v>
      </c>
      <c r="C37" s="33">
        <v>61.18</v>
      </c>
      <c r="D37" s="33">
        <v>65</v>
      </c>
      <c r="E37" s="33">
        <v>65</v>
      </c>
      <c r="F37" s="33">
        <v>65</v>
      </c>
      <c r="G37" s="33">
        <v>100</v>
      </c>
    </row>
    <row r="38" spans="1:7" x14ac:dyDescent="0.25">
      <c r="A38" s="56">
        <v>55</v>
      </c>
      <c r="B38" s="33">
        <v>58.5</v>
      </c>
      <c r="C38" s="33">
        <v>56.06</v>
      </c>
      <c r="D38" s="33">
        <v>60</v>
      </c>
      <c r="E38" s="33">
        <v>60</v>
      </c>
      <c r="F38" s="33">
        <v>60</v>
      </c>
      <c r="G38" s="33">
        <v>90</v>
      </c>
    </row>
    <row r="39" spans="1:7" x14ac:dyDescent="0.25">
      <c r="A39" s="56">
        <v>56</v>
      </c>
      <c r="B39" s="33">
        <v>53.800000000000004</v>
      </c>
      <c r="C39" s="33">
        <v>50.94</v>
      </c>
      <c r="D39" s="33">
        <v>55.000000000000007</v>
      </c>
      <c r="E39" s="33">
        <v>55.000000000000007</v>
      </c>
      <c r="F39" s="33">
        <v>55.000000000000007</v>
      </c>
      <c r="G39" s="33">
        <v>80</v>
      </c>
    </row>
    <row r="40" spans="1:7" x14ac:dyDescent="0.25">
      <c r="A40" s="56">
        <v>57</v>
      </c>
      <c r="B40" s="33">
        <v>49.1</v>
      </c>
      <c r="C40" s="33">
        <v>45.82</v>
      </c>
      <c r="D40" s="33">
        <v>50</v>
      </c>
      <c r="E40" s="33">
        <v>50</v>
      </c>
      <c r="F40" s="33">
        <v>50</v>
      </c>
      <c r="G40" s="33">
        <v>70</v>
      </c>
    </row>
    <row r="41" spans="1:7" x14ac:dyDescent="0.25">
      <c r="A41" s="56">
        <v>58</v>
      </c>
      <c r="B41" s="33">
        <v>44.4</v>
      </c>
      <c r="C41" s="33">
        <v>40.71</v>
      </c>
      <c r="D41" s="33">
        <v>45</v>
      </c>
      <c r="E41" s="33">
        <v>45</v>
      </c>
      <c r="F41" s="33">
        <v>45</v>
      </c>
      <c r="G41" s="33">
        <v>60</v>
      </c>
    </row>
    <row r="42" spans="1:7" x14ac:dyDescent="0.25">
      <c r="A42" s="56">
        <v>59</v>
      </c>
      <c r="B42" s="33">
        <v>39.800000000000004</v>
      </c>
      <c r="C42" s="33">
        <v>35.589999999999996</v>
      </c>
      <c r="D42" s="33">
        <v>40</v>
      </c>
      <c r="E42" s="33">
        <v>40</v>
      </c>
      <c r="F42" s="33">
        <v>40</v>
      </c>
      <c r="G42" s="33">
        <v>50</v>
      </c>
    </row>
    <row r="43" spans="1:7" x14ac:dyDescent="0.25">
      <c r="A43" s="56">
        <v>60</v>
      </c>
      <c r="B43" s="33">
        <v>35.299999999999997</v>
      </c>
      <c r="C43" s="33">
        <v>30.470000000000002</v>
      </c>
      <c r="D43" s="33">
        <v>35</v>
      </c>
      <c r="E43" s="33">
        <v>35</v>
      </c>
      <c r="F43" s="33">
        <v>35</v>
      </c>
      <c r="G43" s="33">
        <v>40</v>
      </c>
    </row>
    <row r="44" spans="1:7" x14ac:dyDescent="0.25">
      <c r="A44" s="56">
        <v>61</v>
      </c>
      <c r="B44" s="33">
        <v>30.8</v>
      </c>
      <c r="C44" s="33">
        <v>25.35</v>
      </c>
      <c r="D44" s="33">
        <v>30</v>
      </c>
      <c r="E44" s="33">
        <v>30</v>
      </c>
      <c r="F44" s="33">
        <v>30</v>
      </c>
      <c r="G44" s="33">
        <v>30</v>
      </c>
    </row>
    <row r="45" spans="1:7" x14ac:dyDescent="0.25">
      <c r="A45" s="56">
        <v>62</v>
      </c>
      <c r="B45" s="33">
        <v>26.6</v>
      </c>
      <c r="C45" s="33">
        <v>20.239999999999998</v>
      </c>
      <c r="D45" s="33">
        <v>25</v>
      </c>
      <c r="E45" s="33">
        <v>25</v>
      </c>
      <c r="F45" s="33">
        <v>25</v>
      </c>
      <c r="G45" s="33">
        <v>20</v>
      </c>
    </row>
    <row r="46" spans="1:7" x14ac:dyDescent="0.25">
      <c r="A46" s="56">
        <v>63</v>
      </c>
      <c r="B46" s="33">
        <v>22.400000000000002</v>
      </c>
      <c r="C46" s="33">
        <v>15.120000000000001</v>
      </c>
      <c r="D46" s="33">
        <v>20</v>
      </c>
      <c r="E46" s="33">
        <v>20</v>
      </c>
      <c r="F46" s="33">
        <v>20</v>
      </c>
      <c r="G46" s="33">
        <v>10</v>
      </c>
    </row>
    <row r="47" spans="1:7" x14ac:dyDescent="0.25">
      <c r="A47" s="56">
        <v>64</v>
      </c>
      <c r="B47" s="33">
        <v>18.5</v>
      </c>
      <c r="C47" s="33">
        <v>10</v>
      </c>
      <c r="D47" s="33">
        <v>15</v>
      </c>
      <c r="E47" s="33">
        <v>15</v>
      </c>
      <c r="F47" s="33">
        <v>15</v>
      </c>
      <c r="G47" s="33">
        <v>0</v>
      </c>
    </row>
    <row r="48" spans="1:7" x14ac:dyDescent="0.25">
      <c r="A48" s="56">
        <v>65</v>
      </c>
      <c r="B48" s="33">
        <v>18.5</v>
      </c>
      <c r="C48" s="33">
        <v>10</v>
      </c>
      <c r="D48" s="33">
        <v>15</v>
      </c>
      <c r="E48" s="33">
        <v>10</v>
      </c>
      <c r="F48" s="33">
        <v>15</v>
      </c>
      <c r="G48" s="33">
        <v>0</v>
      </c>
    </row>
    <row r="49" spans="1:7" x14ac:dyDescent="0.25">
      <c r="A49" s="56">
        <v>66</v>
      </c>
      <c r="B49" s="33">
        <v>18.5</v>
      </c>
      <c r="C49" s="33">
        <v>10</v>
      </c>
      <c r="D49" s="33">
        <v>15</v>
      </c>
      <c r="E49" s="33">
        <v>10</v>
      </c>
      <c r="F49" s="33">
        <v>15</v>
      </c>
      <c r="G49" s="33">
        <v>0</v>
      </c>
    </row>
    <row r="50" spans="1:7" x14ac:dyDescent="0.25">
      <c r="A50" s="56">
        <v>67</v>
      </c>
      <c r="B50" s="33">
        <v>18.5</v>
      </c>
      <c r="C50" s="33">
        <v>10</v>
      </c>
      <c r="D50" s="33">
        <v>15</v>
      </c>
      <c r="E50" s="33">
        <v>10</v>
      </c>
      <c r="F50" s="33">
        <v>15</v>
      </c>
      <c r="G50" s="33">
        <v>0</v>
      </c>
    </row>
    <row r="51" spans="1:7" x14ac:dyDescent="0.25">
      <c r="A51" s="56">
        <v>68</v>
      </c>
      <c r="B51" s="33">
        <v>18.5</v>
      </c>
      <c r="C51" s="33">
        <v>10</v>
      </c>
      <c r="D51" s="33">
        <v>15</v>
      </c>
      <c r="E51" s="33">
        <v>10</v>
      </c>
      <c r="F51" s="33">
        <v>15</v>
      </c>
      <c r="G51" s="33">
        <v>0</v>
      </c>
    </row>
    <row r="52" spans="1:7" ht="14" x14ac:dyDescent="0.3">
      <c r="A52" s="48" t="s">
        <v>81</v>
      </c>
      <c r="B52" s="48"/>
      <c r="C52" s="48"/>
      <c r="D52" s="48"/>
      <c r="E52" s="48"/>
      <c r="F52" s="48"/>
      <c r="G52" s="48"/>
    </row>
    <row r="53" spans="1:7" x14ac:dyDescent="0.25">
      <c r="D53" s="3"/>
    </row>
    <row r="54" spans="1:7" x14ac:dyDescent="0.25">
      <c r="D54" s="3"/>
    </row>
    <row r="55" spans="1:7" x14ac:dyDescent="0.25">
      <c r="D55" s="3"/>
    </row>
    <row r="56" spans="1:7" x14ac:dyDescent="0.25">
      <c r="D56" s="3"/>
    </row>
    <row r="57" spans="1:7" x14ac:dyDescent="0.25">
      <c r="D57" s="3"/>
    </row>
    <row r="58" spans="1:7" x14ac:dyDescent="0.25">
      <c r="D58" s="3"/>
    </row>
    <row r="59" spans="1:7" x14ac:dyDescent="0.25">
      <c r="D59" s="3"/>
    </row>
    <row r="65" spans="3:3" x14ac:dyDescent="0.25">
      <c r="C65" s="3"/>
    </row>
    <row r="66" spans="3:3" x14ac:dyDescent="0.25">
      <c r="C66" s="3"/>
    </row>
    <row r="67" spans="3:3" x14ac:dyDescent="0.25">
      <c r="C67" s="3"/>
    </row>
    <row r="68" spans="3:3" x14ac:dyDescent="0.25">
      <c r="C68" s="3"/>
    </row>
    <row r="69" spans="3:3" x14ac:dyDescent="0.25">
      <c r="C69" s="3"/>
    </row>
  </sheetData>
  <mergeCells count="2">
    <mergeCell ref="A1:A2"/>
    <mergeCell ref="B1:G1"/>
  </mergeCells>
  <hyperlinks>
    <hyperlink ref="H2" location="GCF_2024!A1" display="Grįžti į pagrindinį puslapį" xr:uid="{00000000-0004-0000-09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GCF_2024</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2025-01-13T13:43:20Z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b353df4-ce5a-45e5-acaf-15ad54a53efc_Enabled">
    <vt:lpwstr>true</vt:lpwstr>
  </property>
  <property fmtid="{D5CDD505-2E9C-101B-9397-08002B2CF9AE}" pid="3" name="MSIP_Label_cb353df4-ce5a-45e5-acaf-15ad54a53efc_SetDate">
    <vt:lpwstr>2024-01-12T12:30:38Z</vt:lpwstr>
  </property>
  <property fmtid="{D5CDD505-2E9C-101B-9397-08002B2CF9AE}" pid="4" name="MSIP_Label_cb353df4-ce5a-45e5-acaf-15ad54a53efc_Method">
    <vt:lpwstr>Privileged</vt:lpwstr>
  </property>
  <property fmtid="{D5CDD505-2E9C-101B-9397-08002B2CF9AE}" pid="5" name="MSIP_Label_cb353df4-ce5a-45e5-acaf-15ad54a53efc_Name">
    <vt:lpwstr>LB RIBOTO NAUDOJIMO Dešinėje (Right)</vt:lpwstr>
  </property>
  <property fmtid="{D5CDD505-2E9C-101B-9397-08002B2CF9AE}" pid="6" name="MSIP_Label_cb353df4-ce5a-45e5-acaf-15ad54a53efc_SiteId">
    <vt:lpwstr>5a40b399-6903-4594-ad73-dc4ed7ed91c0</vt:lpwstr>
  </property>
  <property fmtid="{D5CDD505-2E9C-101B-9397-08002B2CF9AE}" pid="7" name="MSIP_Label_cb353df4-ce5a-45e5-acaf-15ad54a53efc_ActionId">
    <vt:lpwstr>96910c1f-f703-49f7-b290-64371842dd7f</vt:lpwstr>
  </property>
  <property fmtid="{D5CDD505-2E9C-101B-9397-08002B2CF9AE}" pid="8" name="MSIP_Label_cb353df4-ce5a-45e5-acaf-15ad54a53efc_ContentBits">
    <vt:lpwstr>3</vt:lpwstr>
  </property>
</Properties>
</file>