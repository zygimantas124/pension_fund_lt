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2D4821DA-5145-4751-B35D-5AEE4566E527}" xr6:coauthVersionLast="47" xr6:coauthVersionMax="47" xr10:uidLastSave="{00000000-0000-0000-0000-000000000000}"/>
  <bookViews>
    <workbookView xWindow="28680" yWindow="-120" windowWidth="29040" windowHeight="15720" xr2:uid="{00000000-000D-0000-FFFF-FFFF00000000}"/>
  </bookViews>
  <sheets>
    <sheet name="GCF_2025"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1954-1960" sheetId="21" r:id="rId9"/>
    <sheet name="TIF" sheetId="22" r:id="rId10"/>
    <sheet name="Strategijų_palyginimas" sheetId="3" r:id="rId11"/>
  </sheets>
  <definedNames>
    <definedName name="_xlnm._FilterDatabase" localSheetId="0" hidden="1">GCF_2025!$A$1:$Y$65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<sst xmlns="http://schemas.openxmlformats.org/spreadsheetml/2006/main" count="1431" uniqueCount="188">
  <si>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</si>
  <si>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</si>
  <si>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</si>
  <si>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</si>
  <si>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</si>
  <si>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</si>
  <si>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</si>
  <si>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</si>
  <si>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</si>
  <si>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</si>
  <si>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</si>
  <si>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</si>
  <si>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</si>
  <si>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</si>
  <si>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</si>
  <si>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</si>
  <si>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</si>
  <si>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</si>
  <si>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</si>
  <si>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</si>
  <si>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</si>
  <si>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</si>
  <si>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</si>
  <si>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</si>
  <si>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</si>
  <si>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</si>
  <si>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</si>
  <si>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</si>
  <si>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</si>
  <si>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</si>
  <si>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</si>
  <si>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</si>
  <si>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</si>
  <si>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</si>
  <si>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</si>
  <si>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</si>
  <si>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</si>
  <si>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</si>
  <si>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</si>
  <si>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</si>
  <si>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</si>
  <si>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</si>
  <si>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</si>
  <si>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</si>
  <si>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</si>
  <si>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</si>
  <si>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</si>
  <si>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</si>
  <si>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</si>
  <si>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</si>
  <si>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</si>
  <si>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</si>
  <si>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</si>
  <si>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</si>
  <si>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</si>
  <si>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</si>
  <si>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</si>
  <si>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</si>
  <si>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</si>
  <si>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</si>
  <si>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</si>
  <si>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</si>
  <si>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</si>
  <si>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</si>
  <si>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</si>
  <si>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</si>
  <si>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</si>
  <si>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</si>
  <si>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</si>
  <si>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</si>
  <si>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</si>
  <si>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</si>
  <si>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</si>
  <si>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</si>
  <si>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</si>
  <si>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</si>
  <si>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</si>
  <si>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</si>
  <si>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</si>
  <si>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</si>
  <si>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</si>
  <si>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</si>
  <si>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</si>
  <si>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</si>
  <si>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</si>
  <si>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</si>
  <si>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</si>
  <si>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</si>
  <si>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</si>
  <si>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</si>
  <si>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</si>
  <si>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</si>
  <si>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</si>
  <si>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</si>
  <si>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</si>
  <si>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</si>
  <si>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</si>
  <si>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</si>
  <si>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</si>
  <si>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</si>
  <si>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</si>
  <si>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</si>
  <si>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</si>
  <si>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</si>
  <si>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</si>
  <si>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</si>
  <si>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</si>
  <si>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</si>
  <si>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</si>
  <si>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</si>
  <si>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</si>
  <si>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</si>
  <si>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</si>
  <si>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</si>
  <si>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</si>
  <si>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</si>
  <si>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</si>
  <si>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</si>
  <si>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</si>
  <si>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</si>
  <si>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</si>
  <si>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</si>
  <si>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</si>
  <si>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</si>
  <si>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</si>
  <si>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</si>
  <si>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</si>
  <si>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</si>
  <si>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</si>
  <si>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</si>
  <si>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</si>
  <si>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</si>
  <si>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</si>
  <si>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</si>
  <si>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</si>
  <si>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</si>
  <si>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</si>
  <si>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</si>
  <si>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</si>
  <si>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</si>
  <si>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</si>
  <si>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</si>
  <si>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</si>
  <si>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</si>
  <si>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</si>
  <si>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</si>
  <si>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</si>
  <si>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</si>
  <si>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</si>
  <si>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</si>
  <si>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</si>
  <si>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Veikia trumpiau</t>
  </si>
  <si>
    <t>SBN-03/09</t>
  </si>
  <si>
    <t>SWD-03/09</t>
  </si>
  <si>
    <t>GOX-03/09</t>
  </si>
  <si>
    <t>AVI-03/09</t>
  </si>
  <si>
    <t>LMN-03/09</t>
  </si>
  <si>
    <t>INV-03/09</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</si>
  <si>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</si>
  <si>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</si>
  <si>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</si>
  <si>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</si>
  <si>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</si>
  <si>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vidutinis metinis vieneto vertės pokytis [10] per praėjusius 5 metus, proc.</t>
  </si>
  <si>
    <t>vidutinis lyginamojo indekso vertės pokytis [10] per praėjusius 5 metus, proc.</t>
  </si>
  <si>
    <t>Tikslinės pensijų fondų dalyvių grupės pensijų fondai, 2003-2009</t>
  </si>
  <si>
    <t>vieneto vertės pokytis [1] per praėjusius 1 metus, proc.</t>
  </si>
  <si>
    <t>lyginamojo indekso vertės pokytis [2] per praėjusius 1 metus, proc.</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</si>
  <si>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</si>
  <si>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vidutinis metinis lyginamojo indekso vertės pokytis [2] nuo faktinės GCF [12] pradžios</t>
  </si>
  <si>
    <t>vidutinis metinis vieneto vertės pokytis [1] nuo faktinės GCF [12] pradžios</t>
  </si>
  <si>
    <t>Išlaidų rodikliai (2024 m.)</t>
  </si>
  <si>
    <t>6 mėn.</t>
  </si>
  <si>
    <t>6 m. 6 mėn.</t>
  </si>
  <si>
    <t>2 m. 11 mėn.</t>
  </si>
  <si>
    <t>UAB „Artea Asset Management“</t>
  </si>
  <si>
    <t>Artea pensija 2003-2009 Index Plus</t>
  </si>
  <si>
    <t>Artea pensija 1996–2002 Index Plus</t>
  </si>
  <si>
    <t>Artea pensija 1989–1995 Index Plus</t>
  </si>
  <si>
    <t>Artea pensija 1982–1988 Index Plus</t>
  </si>
  <si>
    <t>Artea pensija 1975–1981 Index Plus</t>
  </si>
  <si>
    <t>Artea pensija 1968–1974 Index Plus</t>
  </si>
  <si>
    <t>Artea pensija 1954–1960 Index Plus</t>
  </si>
  <si>
    <t>Artea pensijų turto išsaugojimo fondas</t>
  </si>
  <si>
    <t>[4] Svertiniam vidurkiui apskaičiuoti naudotas 2025-06-30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</si>
  <si>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</si>
  <si>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</si>
  <si>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Artea pensija 1961–1967 Index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</si>
</sst>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
      <u/>
      <sz val="10"/>
      <color theme="10"/>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2">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0" fontId="19" fillId="3" borderId="2" xfId="0" applyFont="1" applyFill="1" applyBorder="1" applyAlignment="1">
      <alignment horizontal="center" vertical="center" wrapText="1"/>
    </xf>
    <xf numFmtId="1" fontId="16" fillId="0" borderId="6" xfId="0" applyNumberFormat="1" applyFont="1" applyFill="1" applyBorder="1" applyAlignment="1">
      <alignment horizontal="center" vertical="center"/>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2"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31" fillId="0" borderId="0" xfId="0" applyFont="1"/>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0" fontId="34" fillId="0" borderId="0" xfId="3" applyFont="1" applyAlignment="1">
      <alignment vertical="top"/>
    </xf>
    <xf numFmtId="14" fontId="34" fillId="0" borderId="0" xfId="3" applyNumberFormat="1" applyFont="1" applyAlignment="1">
      <alignment vertical="top"/>
    </xf>
    <xf numFmtId="0" fontId="26" fillId="0" borderId="7" xfId="0" applyFont="1" applyFill="1" applyBorder="1" applyAlignment="1">
      <alignment horizontal="left" wrapText="1"/>
    </xf>
    <xf numFmtId="0" fontId="26" fillId="0" borderId="9"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2"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71">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CCFFCC"/>
      <color rgb="FF903F98"/>
      <color rgb="FF00B07D"/>
      <color rgb="FFFCAF17"/>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3D0-41A3-B541-7460FBE8F9B1}"/>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3D0-41A3-B541-7460FBE8F9B1}"/>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3D0-41A3-B541-7460FBE8F9B1}"/>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strRef>
              <c:f>'2003-2009'!$B$36:$B$40</c:f>
              <c:strCache>
                <c:ptCount val="5"/>
                <c:pt idx="0">
                  <c:v>Veikia trumpiau</c:v>
                </c:pt>
                <c:pt idx="1">
                  <c:v>Veikia trumpiau</c:v>
                </c:pt>
                <c:pt idx="2">
                  <c:v>Veikia trumpiau</c:v>
                </c:pt>
                <c:pt idx="3">
                  <c:v>Veikia trumpiau</c:v>
                </c:pt>
                <c:pt idx="4">
                  <c:v>Veikia trumpiau</c:v>
                </c:pt>
              </c:strCache>
            </c:strRef>
          </c:xVal>
          <c:yVal>
            <c:numRef>
              <c:f>'2003-2009'!$C$36:$C$40</c:f>
              <c:numCache>
                <c:formatCode>0.00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'2003-2009'!$B$66:$B$70</c:f>
              <c:numCache>
                <c:formatCode>0.00</c:formatCode>
                <c:ptCount val="5"/>
                <c:pt idx="0">
                  <c:v>4.351</c:v>
                </c:pt>
                <c:pt idx="1">
                  <c:v>2.3460000000000001</c:v>
                </c:pt>
                <c:pt idx="2">
                  <c:v>1.369</c:v>
                </c:pt>
                <c:pt idx="3">
                  <c:v>2.0270000000000001</c:v>
                </c:pt>
                <c:pt idx="4">
                  <c:v>1.32</c:v>
                </c:pt>
              </c:numCache>
            </c:numRef>
          </c:xVal>
          <c:yVal>
            <c:numRef>
              <c:f>'2003-2009'!$C$66:$C$70</c:f>
              <c:numCache>
                <c:formatCode>0.00</c:formatCode>
                <c:ptCount val="5"/>
                <c:pt idx="0">
                  <c:v>0</c:v>
                </c:pt>
                <c:pt idx="1">
                  <c:v>0</c:v>
                </c:pt>
                <c:pt idx="2">
                  <c:v>0</c:v>
                </c:pt>
                <c:pt idx="3">
                  <c:v>0</c:v>
                </c:pt>
                <c:pt idx="4">
                  <c:v>0</c:v>
                </c:pt>
              </c:numCache>
            </c:numRef>
          </c:yVal>
          <c:bubbleSize>
            <c:numRef>
              <c:f>'2003-2009'!$D$66:$D$70</c:f>
              <c:numCache>
                <c:formatCode>0.00</c:formatCode>
                <c:ptCount val="5"/>
                <c:pt idx="0">
                  <c:v>2.81838605</c:v>
                </c:pt>
                <c:pt idx="1">
                  <c:v>1.3450340035000001</c:v>
                </c:pt>
                <c:pt idx="2">
                  <c:v>1.4446057299999999</c:v>
                </c:pt>
                <c:pt idx="3">
                  <c:v>2.5623150899999998</c:v>
                </c:pt>
                <c:pt idx="4">
                  <c:v>1.22625136</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11.688245439439056</c:v>
                </c:pt>
                <c:pt idx="1">
                  <c:v>11.248113932938461</c:v>
                </c:pt>
                <c:pt idx="2">
                  <c:v>12.351569230382275</c:v>
                </c:pt>
                <c:pt idx="3">
                  <c:v>13.051542051188896</c:v>
                </c:pt>
                <c:pt idx="4">
                  <c:v>12.964062011195407</c:v>
                </c:pt>
              </c:numCache>
            </c:numRef>
          </c:xVal>
          <c:yVal>
            <c:numRef>
              <c:f>'1996-2002'!$C$36:$C$40</c:f>
              <c:numCache>
                <c:formatCode>0.00</c:formatCode>
                <c:ptCount val="5"/>
                <c:pt idx="0">
                  <c:v>9.9910047539089284</c:v>
                </c:pt>
                <c:pt idx="1">
                  <c:v>10.300017746242652</c:v>
                </c:pt>
                <c:pt idx="2">
                  <c:v>10.683978435813945</c:v>
                </c:pt>
                <c:pt idx="3">
                  <c:v>9.9938455494525513</c:v>
                </c:pt>
                <c:pt idx="4">
                  <c:v>11.533756142374019</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13.518000000000001</c:v>
                </c:pt>
                <c:pt idx="1">
                  <c:v>17.978999999999999</c:v>
                </c:pt>
                <c:pt idx="2">
                  <c:v>21.643000000000001</c:v>
                </c:pt>
                <c:pt idx="3">
                  <c:v>49.634999999999998</c:v>
                </c:pt>
                <c:pt idx="4">
                  <c:v>19.824999999999999</c:v>
                </c:pt>
              </c:numCache>
            </c:numRef>
          </c:xVal>
          <c:yVal>
            <c:numRef>
              <c:f>'1996-2002'!$C$66:$C$70</c:f>
              <c:numCache>
                <c:formatCode>0.00</c:formatCode>
                <c:ptCount val="5"/>
                <c:pt idx="0">
                  <c:v>9.9910047539089284</c:v>
                </c:pt>
                <c:pt idx="1">
                  <c:v>10.300017746242652</c:v>
                </c:pt>
                <c:pt idx="2">
                  <c:v>10.683978435813945</c:v>
                </c:pt>
                <c:pt idx="3">
                  <c:v>9.9938455494525513</c:v>
                </c:pt>
                <c:pt idx="4">
                  <c:v>11.533756142374019</c:v>
                </c:pt>
              </c:numCache>
            </c:numRef>
          </c:yVal>
          <c:bubbleSize>
            <c:numRef>
              <c:f>'1996-2002'!$D$66:$D$70</c:f>
              <c:numCache>
                <c:formatCode>0.00</c:formatCode>
                <c:ptCount val="5"/>
                <c:pt idx="0">
                  <c:v>31.34979775</c:v>
                </c:pt>
                <c:pt idx="1">
                  <c:v>50.371252598700003</c:v>
                </c:pt>
                <c:pt idx="2">
                  <c:v>69.848672159999992</c:v>
                </c:pt>
                <c:pt idx="3">
                  <c:v>156.57458291</c:v>
                </c:pt>
                <c:pt idx="4">
                  <c:v>56.437351490000005</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11.673789032259938</c:v>
                </c:pt>
                <c:pt idx="1">
                  <c:v>10.802716556581428</c:v>
                </c:pt>
                <c:pt idx="2">
                  <c:v>12.237609439420233</c:v>
                </c:pt>
                <c:pt idx="3">
                  <c:v>12.619902059949558</c:v>
                </c:pt>
                <c:pt idx="4">
                  <c:v>12.414916179355473</c:v>
                </c:pt>
              </c:numCache>
            </c:numRef>
          </c:xVal>
          <c:yVal>
            <c:numRef>
              <c:f>'1989-1995'!$C$36:$C$40</c:f>
              <c:numCache>
                <c:formatCode>0.00</c:formatCode>
                <c:ptCount val="5"/>
                <c:pt idx="0">
                  <c:v>10.057505999433713</c:v>
                </c:pt>
                <c:pt idx="1">
                  <c:v>10.216950654940749</c:v>
                </c:pt>
                <c:pt idx="2">
                  <c:v>10.534143065971801</c:v>
                </c:pt>
                <c:pt idx="3">
                  <c:v>9.7757363966547004</c:v>
                </c:pt>
                <c:pt idx="4">
                  <c:v>12.132771070692595</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21.213000000000001</c:v>
                </c:pt>
                <c:pt idx="1">
                  <c:v>34.277000000000001</c:v>
                </c:pt>
                <c:pt idx="2">
                  <c:v>45.929000000000002</c:v>
                </c:pt>
                <c:pt idx="3">
                  <c:v>95.326999999999998</c:v>
                </c:pt>
                <c:pt idx="4">
                  <c:v>34.209000000000003</c:v>
                </c:pt>
              </c:numCache>
            </c:numRef>
          </c:xVal>
          <c:yVal>
            <c:numRef>
              <c:f>'1989-1995'!$C$66:$C$70</c:f>
              <c:numCache>
                <c:formatCode>0.00</c:formatCode>
                <c:ptCount val="5"/>
                <c:pt idx="0">
                  <c:v>10.057505999433713</c:v>
                </c:pt>
                <c:pt idx="1">
                  <c:v>10.216950654940749</c:v>
                </c:pt>
                <c:pt idx="2">
                  <c:v>10.534143065971801</c:v>
                </c:pt>
                <c:pt idx="3">
                  <c:v>9.7757363966547004</c:v>
                </c:pt>
                <c:pt idx="4">
                  <c:v>12.132771070692595</c:v>
                </c:pt>
              </c:numCache>
            </c:numRef>
          </c:yVal>
          <c:bubbleSize>
            <c:numRef>
              <c:f>'1989-1995'!$D$66:$D$70</c:f>
              <c:numCache>
                <c:formatCode>0.00</c:formatCode>
                <c:ptCount val="5"/>
                <c:pt idx="0">
                  <c:v>89.861743790000006</c:v>
                </c:pt>
                <c:pt idx="1">
                  <c:v>169.79920417509999</c:v>
                </c:pt>
                <c:pt idx="2">
                  <c:v>236.54528553999998</c:v>
                </c:pt>
                <c:pt idx="3">
                  <c:v>469.23351498</c:v>
                </c:pt>
                <c:pt idx="4">
                  <c:v>148.81578722999998</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11.61102235306978</c:v>
                </c:pt>
                <c:pt idx="1">
                  <c:v>10.748348151987869</c:v>
                </c:pt>
                <c:pt idx="2">
                  <c:v>12.184202690834853</c:v>
                </c:pt>
                <c:pt idx="3">
                  <c:v>12.584836515534334</c:v>
                </c:pt>
                <c:pt idx="4">
                  <c:v>12.424366528542377</c:v>
                </c:pt>
              </c:numCache>
            </c:numRef>
          </c:xVal>
          <c:yVal>
            <c:numRef>
              <c:f>'1982-1988'!$C$36:$C$40</c:f>
              <c:numCache>
                <c:formatCode>0.00</c:formatCode>
                <c:ptCount val="5"/>
                <c:pt idx="0">
                  <c:v>10.111552025049008</c:v>
                </c:pt>
                <c:pt idx="1">
                  <c:v>10.256032204938492</c:v>
                </c:pt>
                <c:pt idx="2">
                  <c:v>10.468970016561441</c:v>
                </c:pt>
                <c:pt idx="3">
                  <c:v>9.7669929148118904</c:v>
                </c:pt>
                <c:pt idx="4">
                  <c:v>12.1647546486072</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28.007999999999999</c:v>
                </c:pt>
                <c:pt idx="1">
                  <c:v>42.073999999999998</c:v>
                </c:pt>
                <c:pt idx="2">
                  <c:v>74.058999999999997</c:v>
                </c:pt>
                <c:pt idx="3">
                  <c:v>113.52800000000001</c:v>
                </c:pt>
                <c:pt idx="4">
                  <c:v>47.99</c:v>
                </c:pt>
              </c:numCache>
            </c:numRef>
          </c:xVal>
          <c:yVal>
            <c:numRef>
              <c:f>'1982-1988'!$C$66:$C$70</c:f>
              <c:numCache>
                <c:formatCode>0.00</c:formatCode>
                <c:ptCount val="5"/>
                <c:pt idx="0">
                  <c:v>10.111552025049008</c:v>
                </c:pt>
                <c:pt idx="1">
                  <c:v>10.256032204938492</c:v>
                </c:pt>
                <c:pt idx="2">
                  <c:v>10.468970016561441</c:v>
                </c:pt>
                <c:pt idx="3">
                  <c:v>9.7669929148118904</c:v>
                </c:pt>
                <c:pt idx="4">
                  <c:v>12.1647546486072</c:v>
                </c:pt>
              </c:numCache>
            </c:numRef>
          </c:yVal>
          <c:bubbleSize>
            <c:numRef>
              <c:f>'1982-1988'!$D$66:$D$70</c:f>
              <c:numCache>
                <c:formatCode>0.00</c:formatCode>
                <c:ptCount val="5"/>
                <c:pt idx="0">
                  <c:v>158.96977634999999</c:v>
                </c:pt>
                <c:pt idx="1">
                  <c:v>288.5697114084</c:v>
                </c:pt>
                <c:pt idx="2">
                  <c:v>498.15549736999998</c:v>
                </c:pt>
                <c:pt idx="3">
                  <c:v>645.02391646000001</c:v>
                </c:pt>
                <c:pt idx="4">
                  <c:v>245.54768002</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11.624721033589907</c:v>
                </c:pt>
                <c:pt idx="1">
                  <c:v>10.651994037771505</c:v>
                </c:pt>
                <c:pt idx="2">
                  <c:v>12.136671335670888</c:v>
                </c:pt>
                <c:pt idx="3">
                  <c:v>12.477451816150523</c:v>
                </c:pt>
                <c:pt idx="4">
                  <c:v>12.448054067532411</c:v>
                </c:pt>
              </c:numCache>
            </c:numRef>
          </c:xVal>
          <c:yVal>
            <c:numRef>
              <c:f>'1975-1981'!$C$36:$C$40</c:f>
              <c:numCache>
                <c:formatCode>0.00</c:formatCode>
                <c:ptCount val="5"/>
                <c:pt idx="0">
                  <c:v>10.152013271453253</c:v>
                </c:pt>
                <c:pt idx="1">
                  <c:v>10.17708181714343</c:v>
                </c:pt>
                <c:pt idx="2">
                  <c:v>10.432506160843126</c:v>
                </c:pt>
                <c:pt idx="3">
                  <c:v>9.7431748772119917</c:v>
                </c:pt>
                <c:pt idx="4">
                  <c:v>12.026418401643424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26.364999999999998</c:v>
                </c:pt>
                <c:pt idx="1">
                  <c:v>20.042000000000002</c:v>
                </c:pt>
                <c:pt idx="2">
                  <c:v>62.365000000000002</c:v>
                </c:pt>
                <c:pt idx="3">
                  <c:v>96.96</c:v>
                </c:pt>
                <c:pt idx="4">
                  <c:v>40.122</c:v>
                </c:pt>
              </c:numCache>
            </c:numRef>
          </c:xVal>
          <c:yVal>
            <c:numRef>
              <c:f>'1975-1981'!$C$66:$C$70</c:f>
              <c:numCache>
                <c:formatCode>0.00</c:formatCode>
                <c:ptCount val="5"/>
                <c:pt idx="0">
                  <c:v>10.17708181714343</c:v>
                </c:pt>
                <c:pt idx="1">
                  <c:v>10.152013271453253</c:v>
                </c:pt>
                <c:pt idx="2">
                  <c:v>10.432506160843126</c:v>
                </c:pt>
                <c:pt idx="3">
                  <c:v>9.7431748772119917</c:v>
                </c:pt>
                <c:pt idx="4">
                  <c:v>12.026418401643424</c:v>
                </c:pt>
              </c:numCache>
            </c:numRef>
          </c:yVal>
          <c:bubbleSize>
            <c:numRef>
              <c:f>'1975-1981'!$D$66:$D$70</c:f>
              <c:numCache>
                <c:formatCode>0.00</c:formatCode>
                <c:ptCount val="5"/>
                <c:pt idx="0">
                  <c:v>282.81150132130006</c:v>
                </c:pt>
                <c:pt idx="1">
                  <c:v>166.15439949</c:v>
                </c:pt>
                <c:pt idx="2">
                  <c:v>601.19621687000006</c:v>
                </c:pt>
                <c:pt idx="3">
                  <c:v>747.36154163000003</c:v>
                </c:pt>
                <c:pt idx="4">
                  <c:v>292.27374061</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10.013093142613316</c:v>
                </c:pt>
                <c:pt idx="1">
                  <c:v>8.2354620596417956</c:v>
                </c:pt>
                <c:pt idx="2">
                  <c:v>9.7733901559058634</c:v>
                </c:pt>
                <c:pt idx="3">
                  <c:v>10.142256444272295</c:v>
                </c:pt>
                <c:pt idx="4">
                  <c:v>10.405027846648442</c:v>
                </c:pt>
              </c:numCache>
            </c:numRef>
          </c:xVal>
          <c:yVal>
            <c:numRef>
              <c:f>'1968-1974'!$C$36:$C$40</c:f>
              <c:numCache>
                <c:formatCode>0.00</c:formatCode>
                <c:ptCount val="5"/>
                <c:pt idx="0">
                  <c:v>9.0228625363435242</c:v>
                </c:pt>
                <c:pt idx="1">
                  <c:v>9.2180462023540457</c:v>
                </c:pt>
                <c:pt idx="2">
                  <c:v>9.0596614141697618</c:v>
                </c:pt>
                <c:pt idx="3">
                  <c:v>8.3930611891960716</c:v>
                </c:pt>
                <c:pt idx="4">
                  <c:v>10.45688870118806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22.344000000000001</c:v>
                </c:pt>
                <c:pt idx="1">
                  <c:v>18.327000000000002</c:v>
                </c:pt>
                <c:pt idx="2">
                  <c:v>53.066000000000003</c:v>
                </c:pt>
                <c:pt idx="3">
                  <c:v>93.950999999999993</c:v>
                </c:pt>
                <c:pt idx="4">
                  <c:v>38.783999999999999</c:v>
                </c:pt>
              </c:numCache>
            </c:numRef>
          </c:xVal>
          <c:yVal>
            <c:numRef>
              <c:f>'1968-1974'!$C$66:$C$70</c:f>
              <c:numCache>
                <c:formatCode>0.00</c:formatCode>
                <c:ptCount val="5"/>
                <c:pt idx="0">
                  <c:v>9.2180462023540457</c:v>
                </c:pt>
                <c:pt idx="1">
                  <c:v>9.0228625363435242</c:v>
                </c:pt>
                <c:pt idx="2">
                  <c:v>9.0596614141697618</c:v>
                </c:pt>
                <c:pt idx="3">
                  <c:v>8.3930611891960716</c:v>
                </c:pt>
                <c:pt idx="4">
                  <c:v>10.45688870118806</c:v>
                </c:pt>
              </c:numCache>
            </c:numRef>
          </c:yVal>
          <c:bubbleSize>
            <c:numRef>
              <c:f>'1968-1974'!$D$66:$D$70</c:f>
              <c:numCache>
                <c:formatCode>0.00</c:formatCode>
                <c:ptCount val="5"/>
                <c:pt idx="0">
                  <c:v>230.1633383974</c:v>
                </c:pt>
                <c:pt idx="1">
                  <c:v>154.82931497999999</c:v>
                </c:pt>
                <c:pt idx="2">
                  <c:v>521.42866243000003</c:v>
                </c:pt>
                <c:pt idx="3">
                  <c:v>738.19649703999994</c:v>
                </c:pt>
                <c:pt idx="4">
                  <c:v>294.72977043999998</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7.7937351825963619</c:v>
                </c:pt>
                <c:pt idx="1">
                  <c:v>6.1002115698348209</c:v>
                </c:pt>
                <c:pt idx="2">
                  <c:v>6.8321220344025146</c:v>
                </c:pt>
                <c:pt idx="3">
                  <c:v>7.0438020542744839</c:v>
                </c:pt>
                <c:pt idx="4">
                  <c:v>6.3918141702494173</c:v>
                </c:pt>
              </c:numCache>
            </c:numRef>
          </c:xVal>
          <c:yVal>
            <c:numRef>
              <c:f>'1961-1967'!$C$36:$C$40</c:f>
              <c:numCache>
                <c:formatCode>0.00</c:formatCode>
                <c:ptCount val="5"/>
                <c:pt idx="0">
                  <c:v>6.5843388991897012</c:v>
                </c:pt>
                <c:pt idx="1">
                  <c:v>7.6370640882359675</c:v>
                </c:pt>
                <c:pt idx="2">
                  <c:v>6.7633183634255856</c:v>
                </c:pt>
                <c:pt idx="3">
                  <c:v>6.2204547935116761</c:v>
                </c:pt>
                <c:pt idx="4">
                  <c:v>6.8908319153258457</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16.516999999999999</c:v>
                </c:pt>
                <c:pt idx="1">
                  <c:v>17.085999999999999</c:v>
                </c:pt>
                <c:pt idx="2">
                  <c:v>46.381999999999998</c:v>
                </c:pt>
                <c:pt idx="3">
                  <c:v>81.516000000000005</c:v>
                </c:pt>
                <c:pt idx="4">
                  <c:v>35.784999999999997</c:v>
                </c:pt>
              </c:numCache>
            </c:numRef>
          </c:xVal>
          <c:yVal>
            <c:numRef>
              <c:f>'1961-1967'!$C$66:$C$70</c:f>
              <c:numCache>
                <c:formatCode>0.00</c:formatCode>
                <c:ptCount val="5"/>
                <c:pt idx="0">
                  <c:v>6.5843388991897012</c:v>
                </c:pt>
                <c:pt idx="1">
                  <c:v>7.6370640882359675</c:v>
                </c:pt>
                <c:pt idx="2">
                  <c:v>6.7633183634255856</c:v>
                </c:pt>
                <c:pt idx="3">
                  <c:v>6.2204547935116761</c:v>
                </c:pt>
                <c:pt idx="4">
                  <c:v>6.8908319153258457</c:v>
                </c:pt>
              </c:numCache>
            </c:numRef>
          </c:yVal>
          <c:bubbleSize>
            <c:numRef>
              <c:f>'1961-1967'!$D$66:$D$70</c:f>
              <c:numCache>
                <c:formatCode>0.00</c:formatCode>
                <c:ptCount val="5"/>
                <c:pt idx="0">
                  <c:v>120.39529890999999</c:v>
                </c:pt>
                <c:pt idx="1">
                  <c:v>146.18132719260001</c:v>
                </c:pt>
                <c:pt idx="2">
                  <c:v>388.46813732999999</c:v>
                </c:pt>
                <c:pt idx="3">
                  <c:v>557.01475972000003</c:v>
                </c:pt>
                <c:pt idx="4">
                  <c:v>248.03188988999997</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6.0686053393735282</c:v>
                </c:pt>
                <c:pt idx="1">
                  <c:v>4.6604853641950283</c:v>
                </c:pt>
                <c:pt idx="2">
                  <c:v>5.1563641658260613</c:v>
                </c:pt>
                <c:pt idx="3">
                  <c:v>4.729904572181546</c:v>
                </c:pt>
                <c:pt idx="4">
                  <c:v>3.9007366908096017</c:v>
                </c:pt>
              </c:numCache>
            </c:numRef>
          </c:xVal>
          <c:yVal>
            <c:numRef>
              <c:f>'1954-1960'!$C$36:$C$40</c:f>
              <c:numCache>
                <c:formatCode>0.00</c:formatCode>
                <c:ptCount val="5"/>
                <c:pt idx="0">
                  <c:v>4.4416458259277869</c:v>
                </c:pt>
                <c:pt idx="1">
                  <c:v>5.9213477436298456</c:v>
                </c:pt>
                <c:pt idx="2">
                  <c:v>5.0972117368924152</c:v>
                </c:pt>
                <c:pt idx="3">
                  <c:v>3.7672685521201954</c:v>
                </c:pt>
                <c:pt idx="4">
                  <c:v>4.5999075133861922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1.736</c:v>
                </c:pt>
                <c:pt idx="1">
                  <c:v>1.2949999999999999</c:v>
                </c:pt>
                <c:pt idx="2">
                  <c:v>3.3719999999999999</c:v>
                </c:pt>
                <c:pt idx="3">
                  <c:v>3.2610000000000001</c:v>
                </c:pt>
                <c:pt idx="4">
                  <c:v>3.17</c:v>
                </c:pt>
              </c:numCache>
            </c:numRef>
          </c:xVal>
          <c:yVal>
            <c:numRef>
              <c:f>'1954-1960'!$C$66:$C$70</c:f>
              <c:numCache>
                <c:formatCode>0.00</c:formatCode>
                <c:ptCount val="5"/>
                <c:pt idx="0">
                  <c:v>4.4416458259277869</c:v>
                </c:pt>
                <c:pt idx="1">
                  <c:v>5.9213477436298456</c:v>
                </c:pt>
                <c:pt idx="2">
                  <c:v>5.0972117368924152</c:v>
                </c:pt>
                <c:pt idx="3">
                  <c:v>3.7672685521201954</c:v>
                </c:pt>
                <c:pt idx="4">
                  <c:v>4.5999075133861922</c:v>
                </c:pt>
              </c:numCache>
            </c:numRef>
          </c:yVal>
          <c:bubbleSize>
            <c:numRef>
              <c:f>'1954-1960'!$D$66:$D$70</c:f>
              <c:numCache>
                <c:formatCode>0.00</c:formatCode>
                <c:ptCount val="5"/>
                <c:pt idx="0">
                  <c:v>11.595625050000001</c:v>
                </c:pt>
                <c:pt idx="1">
                  <c:v>9.9865371580999991</c:v>
                </c:pt>
                <c:pt idx="2">
                  <c:v>26.006702000000001</c:v>
                </c:pt>
                <c:pt idx="3">
                  <c:v>39.939362810000006</c:v>
                </c:pt>
                <c:pt idx="4">
                  <c:v>23.097378510000002</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4.6993202940945604</c:v>
                </c:pt>
                <c:pt idx="1">
                  <c:v>4.1126782407002445</c:v>
                </c:pt>
                <c:pt idx="2">
                  <c:v>4.767986714353305</c:v>
                </c:pt>
                <c:pt idx="3">
                  <c:v>5.1808691992139755</c:v>
                </c:pt>
                <c:pt idx="4">
                  <c:v>3.5644314676369895</c:v>
                </c:pt>
              </c:numCache>
            </c:numRef>
          </c:xVal>
          <c:yVal>
            <c:numRef>
              <c:f>TIF!$C$36:$C$40</c:f>
              <c:numCache>
                <c:formatCode>0.00</c:formatCode>
                <c:ptCount val="5"/>
                <c:pt idx="0">
                  <c:v>3.2872563564034563</c:v>
                </c:pt>
                <c:pt idx="1">
                  <c:v>4.7516324075703498</c:v>
                </c:pt>
                <c:pt idx="2">
                  <c:v>4.510705685584715</c:v>
                </c:pt>
                <c:pt idx="3">
                  <c:v>4.7896270676334174</c:v>
                </c:pt>
                <c:pt idx="4">
                  <c:v>3.6567271426285908</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3.0830000000000002</c:v>
                </c:pt>
                <c:pt idx="1">
                  <c:v>2.7450000000000001</c:v>
                </c:pt>
                <c:pt idx="2">
                  <c:v>7.907</c:v>
                </c:pt>
                <c:pt idx="3">
                  <c:v>8.9969999999999999</c:v>
                </c:pt>
                <c:pt idx="4">
                  <c:v>7.4459999999999997</c:v>
                </c:pt>
              </c:numCache>
            </c:numRef>
          </c:xVal>
          <c:yVal>
            <c:numRef>
              <c:f>TIF!$C$66:$C$70</c:f>
              <c:numCache>
                <c:formatCode>0.00</c:formatCode>
                <c:ptCount val="5"/>
                <c:pt idx="0">
                  <c:v>3.2872563564034563</c:v>
                </c:pt>
                <c:pt idx="1">
                  <c:v>4.7516324075703498</c:v>
                </c:pt>
                <c:pt idx="2">
                  <c:v>4.510705685584715</c:v>
                </c:pt>
                <c:pt idx="3">
                  <c:v>4.7896270676334174</c:v>
                </c:pt>
                <c:pt idx="4">
                  <c:v>3.6567271426285908</c:v>
                </c:pt>
              </c:numCache>
            </c:numRef>
          </c:yVal>
          <c:bubbleSize>
            <c:numRef>
              <c:f>TIF!$D$66:$D$70</c:f>
              <c:numCache>
                <c:formatCode>0.00</c:formatCode>
                <c:ptCount val="5"/>
                <c:pt idx="0">
                  <c:v>14.266344480000001</c:v>
                </c:pt>
                <c:pt idx="1">
                  <c:v>16.6359027498</c:v>
                </c:pt>
                <c:pt idx="2">
                  <c:v>65.023501600000003</c:v>
                </c:pt>
                <c:pt idx="3">
                  <c:v>81.109962069999995</c:v>
                </c:pt>
                <c:pt idx="4">
                  <c:v>38.142211600000003</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„Artea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92"/>
  <sheetViews>
    <sheetView showGridLines="0" tabSelected="1" zoomScale="60" zoomScaleNormal="60" workbookViewId="0">
      <pane xSplit="3" ySplit="2" topLeftCell="J3" activePane="bottomRight" state="frozen"/>
      <selection activeCell="D39" sqref="D39"/>
      <selection pane="topRight" activeCell="D39" sqref="D39"/>
      <selection pane="bottomLeft" activeCell="D39" sqref="D39"/>
      <selection pane="bottomRight" activeCell="D16" sqref="D16"/>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7.26953125" bestFit="1" customWidth="1"/>
    <col min="10" max="11" width="18.90625" customWidth="1"/>
    <col min="12" max="13" width="17.81640625" customWidth="1"/>
    <col min="14" max="14" width="17.26953125" bestFit="1" customWidth="1"/>
    <col min="15" max="15" width="19.08984375" customWidth="1"/>
    <col min="16" max="16" width="18.36328125" customWidth="1"/>
    <col min="17" max="17" width="17.453125" customWidth="1"/>
    <col min="18" max="18" width="19.632812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s>
  <sheetData>
    <row r="1" spans="1:27" ht="20.149999999999999" customHeight="1" x14ac:dyDescent="0.35">
      <c r="A1" s="96">
        <v>45838</v>
      </c>
      <c r="B1" s="24"/>
      <c r="C1" s="25"/>
      <c r="D1" s="104" t="s">
        <v>89</v>
      </c>
      <c r="E1" s="29" t="s">
        <v>74</v>
      </c>
      <c r="F1" s="104" t="s">
        <v>99</v>
      </c>
      <c r="G1" s="104" t="s">
        <v>70</v>
      </c>
      <c r="H1" s="26"/>
      <c r="I1" s="102" t="s">
        <v>71</v>
      </c>
      <c r="J1" s="108"/>
      <c r="K1" s="108"/>
      <c r="L1" s="108"/>
      <c r="M1" s="108"/>
      <c r="N1" s="108"/>
      <c r="O1" s="108"/>
      <c r="P1" s="108"/>
      <c r="Q1" s="108"/>
      <c r="R1" s="108"/>
      <c r="S1" s="27"/>
      <c r="T1" s="106" t="s">
        <v>96</v>
      </c>
      <c r="U1" s="107"/>
      <c r="W1" s="102" t="s">
        <v>171</v>
      </c>
      <c r="X1" s="103"/>
      <c r="Y1" s="103"/>
    </row>
    <row r="2" spans="1:27" ht="85" customHeight="1" x14ac:dyDescent="0.35">
      <c r="A2" s="23" t="s">
        <v>42</v>
      </c>
      <c r="B2" s="23" t="s">
        <v>43</v>
      </c>
      <c r="C2" s="23" t="s">
        <v>44</v>
      </c>
      <c r="D2" s="105"/>
      <c r="E2" s="23" t="s">
        <v>98</v>
      </c>
      <c r="F2" s="105"/>
      <c r="G2" s="105"/>
      <c r="H2" s="26"/>
      <c r="I2" s="93" t="s">
        <v>91</v>
      </c>
      <c r="J2" s="23" t="s">
        <v>166</v>
      </c>
      <c r="K2" s="23" t="s">
        <v>149</v>
      </c>
      <c r="L2" s="23" t="s">
        <v>163</v>
      </c>
      <c r="M2" s="23" t="s">
        <v>170</v>
      </c>
      <c r="N2" s="23" t="s">
        <v>93</v>
      </c>
      <c r="O2" s="23" t="s">
        <v>167</v>
      </c>
      <c r="P2" s="23" t="s">
        <v>150</v>
      </c>
      <c r="Q2" s="23" t="s">
        <v>164</v>
      </c>
      <c r="R2" s="23" t="s">
        <v>169</v>
      </c>
      <c r="S2" s="28"/>
      <c r="T2" s="23" t="s">
        <v>110</v>
      </c>
      <c r="U2" s="23" t="s">
        <v>111</v>
      </c>
      <c r="W2" s="23" t="s">
        <v>141</v>
      </c>
      <c r="X2" s="23" t="s">
        <v>142</v>
      </c>
      <c r="Y2" s="23" t="s">
        <v>143</v>
      </c>
      <c r="Z2" s="46"/>
    </row>
    <row r="3" spans="1:27" s="45" customFormat="1" ht="18.75" customHeight="1" x14ac:dyDescent="0.35">
      <c r="A3" s="100" t="s">
        <v>165</v>
      </c>
      <c r="B3" s="100"/>
      <c r="C3" s="100"/>
      <c r="D3" s="42"/>
      <c r="E3" s="42"/>
      <c r="F3" s="43"/>
      <c r="G3" s="44" t="s">
        <v>97</v>
      </c>
      <c r="H3" s="42"/>
      <c r="I3" s="66">
        <v>-4.7494990836732347</v>
      </c>
      <c r="J3" s="66" t="s">
        <v>151</v>
      </c>
      <c r="K3" s="66" t="s">
        <v>151</v>
      </c>
      <c r="L3" s="66" t="s">
        <v>151</v>
      </c>
      <c r="M3" s="66">
        <v>-4.7494990836732347</v>
      </c>
      <c r="N3" s="66">
        <v>-3.0543589970823075</v>
      </c>
      <c r="O3" s="66" t="s">
        <v>151</v>
      </c>
      <c r="P3" s="66" t="s">
        <v>151</v>
      </c>
      <c r="Q3" s="66" t="s">
        <v>151</v>
      </c>
      <c r="R3" s="66">
        <v>-3.0543589970823075</v>
      </c>
      <c r="S3" s="42"/>
      <c r="T3" s="66" t="s">
        <v>151</v>
      </c>
      <c r="U3" s="66" t="s">
        <v>151</v>
      </c>
      <c r="W3"/>
      <c r="X3"/>
      <c r="Y3"/>
    </row>
    <row r="4" spans="1:27" ht="14.5" customHeight="1" x14ac:dyDescent="0.35">
      <c r="A4" s="30" t="s">
        <v>36</v>
      </c>
      <c r="B4" s="30" t="s">
        <v>156</v>
      </c>
      <c r="C4" s="30" t="s">
        <v>158</v>
      </c>
      <c r="D4" s="90" t="s">
        <v>172</v>
      </c>
      <c r="E4" s="32">
        <v>90</v>
      </c>
      <c r="F4" s="31">
        <v>2.81838605</v>
      </c>
      <c r="G4" s="33">
        <v>4351</v>
      </c>
      <c r="H4" s="21"/>
      <c r="I4" s="34">
        <v>-4.9000000000000039</v>
      </c>
      <c r="J4" s="34" t="s">
        <v>151</v>
      </c>
      <c r="K4" s="34" t="s">
        <v>151</v>
      </c>
      <c r="L4" s="34" t="s">
        <v>151</v>
      </c>
      <c r="M4" s="34">
        <v>-4.9000000000000039</v>
      </c>
      <c r="N4" s="34">
        <v>-2.1063000000000054</v>
      </c>
      <c r="O4" s="34" t="s">
        <v>151</v>
      </c>
      <c r="P4" s="34" t="s">
        <v>151</v>
      </c>
      <c r="Q4" s="34" t="s">
        <v>151</v>
      </c>
      <c r="R4" s="34">
        <v>-2.1063000000000054</v>
      </c>
      <c r="S4" s="22"/>
      <c r="T4" s="34" t="s">
        <v>151</v>
      </c>
      <c r="U4" s="34" t="s">
        <v>151</v>
      </c>
      <c r="W4" s="91" t="s">
        <v>90</v>
      </c>
      <c r="X4" s="91" t="s">
        <v>90</v>
      </c>
      <c r="Y4" s="91" t="s">
        <v>90</v>
      </c>
      <c r="Z4" s="56"/>
      <c r="AA4" s="56"/>
    </row>
    <row r="5" spans="1:27" ht="14.5" customHeight="1" x14ac:dyDescent="0.35">
      <c r="A5" s="30" t="s">
        <v>175</v>
      </c>
      <c r="B5" s="30" t="s">
        <v>157</v>
      </c>
      <c r="C5" s="30" t="s">
        <v>176</v>
      </c>
      <c r="D5" s="90" t="s">
        <v>172</v>
      </c>
      <c r="E5" s="32">
        <v>97</v>
      </c>
      <c r="F5" s="31">
        <v>1.3450340035000001</v>
      </c>
      <c r="G5" s="33">
        <v>2346</v>
      </c>
      <c r="H5" s="21"/>
      <c r="I5" s="34">
        <v>-4.2200000000000015</v>
      </c>
      <c r="J5" s="34" t="s">
        <v>151</v>
      </c>
      <c r="K5" s="34" t="s">
        <v>151</v>
      </c>
      <c r="L5" s="34" t="s">
        <v>151</v>
      </c>
      <c r="M5" s="34">
        <v>-4.2200000000000015</v>
      </c>
      <c r="N5" s="34">
        <v>-2.8859999999999997</v>
      </c>
      <c r="O5" s="34" t="s">
        <v>151</v>
      </c>
      <c r="P5" s="34" t="s">
        <v>151</v>
      </c>
      <c r="Q5" s="34" t="s">
        <v>151</v>
      </c>
      <c r="R5" s="34">
        <v>-2.8859999999999997</v>
      </c>
      <c r="S5" s="22"/>
      <c r="T5" s="34" t="s">
        <v>151</v>
      </c>
      <c r="U5" s="34" t="s">
        <v>151</v>
      </c>
      <c r="W5" s="91" t="s">
        <v>90</v>
      </c>
      <c r="X5" s="91" t="s">
        <v>90</v>
      </c>
      <c r="Y5" s="91" t="s">
        <v>90</v>
      </c>
      <c r="Z5" s="56"/>
      <c r="AA5" s="56"/>
    </row>
    <row r="6" spans="1:27" ht="14.5" customHeight="1" x14ac:dyDescent="0.35">
      <c r="A6" s="30" t="s">
        <v>87</v>
      </c>
      <c r="B6" s="30" t="s">
        <v>152</v>
      </c>
      <c r="C6" s="30" t="s">
        <v>159</v>
      </c>
      <c r="D6" s="90" t="s">
        <v>172</v>
      </c>
      <c r="E6" s="32">
        <v>98</v>
      </c>
      <c r="F6" s="31">
        <v>1.4446057299999999</v>
      </c>
      <c r="G6" s="33">
        <v>1369</v>
      </c>
      <c r="H6" s="21"/>
      <c r="I6" s="34">
        <v>-5.8799999999999963</v>
      </c>
      <c r="J6" s="34" t="s">
        <v>151</v>
      </c>
      <c r="K6" s="34" t="s">
        <v>151</v>
      </c>
      <c r="L6" s="34" t="s">
        <v>151</v>
      </c>
      <c r="M6" s="34">
        <v>-5.8799999999999963</v>
      </c>
      <c r="N6" s="34">
        <v>-3.1557999999999975</v>
      </c>
      <c r="O6" s="34" t="s">
        <v>151</v>
      </c>
      <c r="P6" s="34" t="s">
        <v>151</v>
      </c>
      <c r="Q6" s="34" t="s">
        <v>151</v>
      </c>
      <c r="R6" s="34">
        <v>-3.1557999999999975</v>
      </c>
      <c r="S6" s="22"/>
      <c r="T6" s="34" t="s">
        <v>151</v>
      </c>
      <c r="U6" s="34" t="s">
        <v>151</v>
      </c>
      <c r="W6" s="91" t="s">
        <v>90</v>
      </c>
      <c r="X6" s="91" t="s">
        <v>90</v>
      </c>
      <c r="Y6" s="91" t="s">
        <v>90</v>
      </c>
      <c r="Z6" s="56"/>
      <c r="AA6" s="56"/>
    </row>
    <row r="7" spans="1:27" ht="14.5" customHeight="1" x14ac:dyDescent="0.35">
      <c r="A7" s="30" t="s">
        <v>88</v>
      </c>
      <c r="B7" s="30" t="s">
        <v>153</v>
      </c>
      <c r="C7" s="30" t="s">
        <v>161</v>
      </c>
      <c r="D7" s="90" t="s">
        <v>172</v>
      </c>
      <c r="E7" s="32">
        <v>97</v>
      </c>
      <c r="F7" s="31">
        <v>2.5623150899999998</v>
      </c>
      <c r="G7" s="33">
        <v>2027</v>
      </c>
      <c r="H7" s="21"/>
      <c r="I7" s="34">
        <v>-5.04</v>
      </c>
      <c r="J7" s="34" t="s">
        <v>151</v>
      </c>
      <c r="K7" s="34" t="s">
        <v>151</v>
      </c>
      <c r="L7" s="34" t="s">
        <v>151</v>
      </c>
      <c r="M7" s="34">
        <v>-5.04</v>
      </c>
      <c r="N7" s="34">
        <v>-3.4599000000000046</v>
      </c>
      <c r="O7" s="34" t="s">
        <v>151</v>
      </c>
      <c r="P7" s="34" t="s">
        <v>151</v>
      </c>
      <c r="Q7" s="34" t="s">
        <v>151</v>
      </c>
      <c r="R7" s="34">
        <v>-3.4599000000000046</v>
      </c>
      <c r="S7" s="22"/>
      <c r="T7" s="34" t="s">
        <v>151</v>
      </c>
      <c r="U7" s="34" t="s">
        <v>151</v>
      </c>
      <c r="W7" s="91" t="s">
        <v>90</v>
      </c>
      <c r="X7" s="91" t="s">
        <v>90</v>
      </c>
      <c r="Y7" s="91" t="s">
        <v>90</v>
      </c>
      <c r="Z7" s="56"/>
      <c r="AA7" s="56"/>
    </row>
    <row r="8" spans="1:27" ht="14.5" customHeight="1" x14ac:dyDescent="0.35">
      <c r="A8" s="30" t="s">
        <v>115</v>
      </c>
      <c r="B8" s="30" t="s">
        <v>155</v>
      </c>
      <c r="C8" s="30" t="s">
        <v>162</v>
      </c>
      <c r="D8" s="90" t="s">
        <v>172</v>
      </c>
      <c r="E8" s="32">
        <v>90</v>
      </c>
      <c r="F8" s="31">
        <v>1.22625136</v>
      </c>
      <c r="G8" s="33">
        <v>1320</v>
      </c>
      <c r="H8" s="21"/>
      <c r="I8" s="34">
        <v>-3.93</v>
      </c>
      <c r="J8" s="34" t="s">
        <v>151</v>
      </c>
      <c r="K8" s="34" t="s">
        <v>151</v>
      </c>
      <c r="L8" s="34" t="s">
        <v>151</v>
      </c>
      <c r="M8" s="34">
        <v>-3.93</v>
      </c>
      <c r="N8" s="34">
        <v>-2.8532000000000002</v>
      </c>
      <c r="O8" s="34" t="s">
        <v>151</v>
      </c>
      <c r="P8" s="34" t="s">
        <v>151</v>
      </c>
      <c r="Q8" s="34" t="s">
        <v>151</v>
      </c>
      <c r="R8" s="34">
        <v>-2.8532000000000002</v>
      </c>
      <c r="S8" s="22"/>
      <c r="T8" s="34" t="s">
        <v>151</v>
      </c>
      <c r="U8" s="34" t="s">
        <v>151</v>
      </c>
      <c r="W8" s="91" t="s">
        <v>90</v>
      </c>
      <c r="X8" s="91" t="s">
        <v>90</v>
      </c>
      <c r="Y8" s="91" t="s">
        <v>90</v>
      </c>
      <c r="AA8" s="56"/>
    </row>
    <row r="9" spans="1:27" ht="14.5" customHeight="1" x14ac:dyDescent="0.35">
      <c r="A9" s="30" t="s">
        <v>146</v>
      </c>
      <c r="B9" s="30" t="s">
        <v>154</v>
      </c>
      <c r="C9" s="30" t="s">
        <v>160</v>
      </c>
      <c r="D9" s="90" t="s">
        <v>172</v>
      </c>
      <c r="E9" s="32">
        <v>100</v>
      </c>
      <c r="F9" s="31">
        <v>2.8578370134999997</v>
      </c>
      <c r="G9" s="33">
        <v>2868</v>
      </c>
      <c r="H9" s="21"/>
      <c r="I9" s="34">
        <v>-4.3699999999999957</v>
      </c>
      <c r="J9" s="34" t="s">
        <v>151</v>
      </c>
      <c r="K9" s="34" t="s">
        <v>151</v>
      </c>
      <c r="L9" s="34" t="s">
        <v>151</v>
      </c>
      <c r="M9" s="34">
        <v>-4.3699999999999957</v>
      </c>
      <c r="N9" s="34">
        <v>-3.7399999999999989</v>
      </c>
      <c r="O9" s="34" t="s">
        <v>151</v>
      </c>
      <c r="P9" s="34" t="s">
        <v>151</v>
      </c>
      <c r="Q9" s="34" t="s">
        <v>151</v>
      </c>
      <c r="R9" s="34">
        <v>-3.7399999999999989</v>
      </c>
      <c r="S9" s="22"/>
      <c r="T9" s="34" t="s">
        <v>151</v>
      </c>
      <c r="U9" s="34" t="s">
        <v>151</v>
      </c>
      <c r="W9" s="91" t="s">
        <v>90</v>
      </c>
      <c r="X9" s="91" t="s">
        <v>90</v>
      </c>
      <c r="Y9" s="91" t="s">
        <v>90</v>
      </c>
      <c r="Z9" s="56"/>
      <c r="AA9" s="56"/>
    </row>
    <row r="10" spans="1:27" s="45" customFormat="1" ht="18.649999999999999" customHeight="1" x14ac:dyDescent="0.35">
      <c r="A10" s="100" t="s">
        <v>45</v>
      </c>
      <c r="B10" s="100"/>
      <c r="C10" s="100"/>
      <c r="D10" s="97"/>
      <c r="E10" s="42"/>
      <c r="F10" s="43"/>
      <c r="G10" s="44" t="s">
        <v>97</v>
      </c>
      <c r="H10" s="42"/>
      <c r="I10" s="66">
        <v>-3.3759368093241147</v>
      </c>
      <c r="J10" s="66">
        <v>3.4301157161146114</v>
      </c>
      <c r="K10" s="66">
        <v>10.406500868141064</v>
      </c>
      <c r="L10" s="66">
        <v>10.208268266793363</v>
      </c>
      <c r="M10" s="66">
        <v>9.8698590524970324</v>
      </c>
      <c r="N10" s="66">
        <v>-2.6645971216508575</v>
      </c>
      <c r="O10" s="66">
        <v>5.9328468591490982</v>
      </c>
      <c r="P10" s="66">
        <v>12.317998998150442</v>
      </c>
      <c r="Q10" s="66">
        <v>11.69282772614411</v>
      </c>
      <c r="R10" s="66">
        <v>11.345703599836671</v>
      </c>
      <c r="S10" s="42"/>
      <c r="T10" s="42"/>
      <c r="U10" s="42"/>
      <c r="W10"/>
      <c r="X10"/>
      <c r="Y10"/>
    </row>
    <row r="11" spans="1:27" ht="14.5" customHeight="1" x14ac:dyDescent="0.35">
      <c r="A11" s="30" t="s">
        <v>36</v>
      </c>
      <c r="B11" s="30" t="s">
        <v>4</v>
      </c>
      <c r="C11" s="30" t="s">
        <v>46</v>
      </c>
      <c r="D11" s="64" t="s">
        <v>173</v>
      </c>
      <c r="E11" s="32">
        <v>90</v>
      </c>
      <c r="F11" s="31">
        <v>31.34979775</v>
      </c>
      <c r="G11" s="33">
        <v>13518</v>
      </c>
      <c r="H11" s="21"/>
      <c r="I11" s="34">
        <v>-3.3703684014672164</v>
      </c>
      <c r="J11" s="34">
        <v>4.0052640613377655</v>
      </c>
      <c r="K11" s="34">
        <v>9.9910047539089284</v>
      </c>
      <c r="L11" s="34">
        <v>9.2224272273530481</v>
      </c>
      <c r="M11" s="34">
        <v>9.6271391318911945</v>
      </c>
      <c r="N11" s="34">
        <v>-1.7379078095590139</v>
      </c>
      <c r="O11" s="34">
        <v>6.6521201970206834</v>
      </c>
      <c r="P11" s="34">
        <v>11.494411062657806</v>
      </c>
      <c r="Q11" s="34">
        <v>10.772683713003484</v>
      </c>
      <c r="R11" s="34">
        <v>10.871767630124364</v>
      </c>
      <c r="S11" s="22"/>
      <c r="T11" s="34">
        <v>11.688245439439056</v>
      </c>
      <c r="U11" s="34">
        <v>12.576839997923251</v>
      </c>
      <c r="W11" s="82">
        <v>0.49</v>
      </c>
      <c r="X11" s="82">
        <v>0.7</v>
      </c>
      <c r="Y11" s="82" t="s">
        <v>90</v>
      </c>
      <c r="Z11" s="56"/>
      <c r="AA11" s="56"/>
    </row>
    <row r="12" spans="1:27" ht="14.5" customHeight="1" x14ac:dyDescent="0.35">
      <c r="A12" s="30" t="s">
        <v>175</v>
      </c>
      <c r="B12" s="30" t="s">
        <v>2</v>
      </c>
      <c r="C12" s="30" t="s">
        <v>177</v>
      </c>
      <c r="D12" s="64" t="s">
        <v>173</v>
      </c>
      <c r="E12" s="32">
        <v>97</v>
      </c>
      <c r="F12" s="31">
        <v>50.371252598700003</v>
      </c>
      <c r="G12" s="33">
        <v>17979</v>
      </c>
      <c r="H12" s="21"/>
      <c r="I12" s="34">
        <v>-1.9903591976364488</v>
      </c>
      <c r="J12" s="34">
        <v>4.6083204248727583</v>
      </c>
      <c r="K12" s="34">
        <v>10.300017746242652</v>
      </c>
      <c r="L12" s="34">
        <v>10.769134236265089</v>
      </c>
      <c r="M12" s="34">
        <v>10.294898573360056</v>
      </c>
      <c r="N12" s="34">
        <v>-2.3230412685191659</v>
      </c>
      <c r="O12" s="34">
        <v>5.4035595821961602</v>
      </c>
      <c r="P12" s="34">
        <v>11.86908926772341</v>
      </c>
      <c r="Q12" s="34">
        <v>11.73812806854848</v>
      </c>
      <c r="R12" s="34">
        <v>11.475391806339763</v>
      </c>
      <c r="S12" s="22"/>
      <c r="T12" s="34">
        <v>11.248113932938461</v>
      </c>
      <c r="U12" s="34">
        <v>13.710454028349703</v>
      </c>
      <c r="W12" s="82">
        <v>0.5</v>
      </c>
      <c r="X12" s="82">
        <v>1.06</v>
      </c>
      <c r="Y12" s="82">
        <v>1.06</v>
      </c>
      <c r="Z12" s="56"/>
      <c r="AA12" s="56"/>
    </row>
    <row r="13" spans="1:27" ht="14.5" customHeight="1" x14ac:dyDescent="0.35">
      <c r="A13" s="30" t="s">
        <v>87</v>
      </c>
      <c r="B13" s="30" t="s">
        <v>1</v>
      </c>
      <c r="C13" s="30" t="s">
        <v>47</v>
      </c>
      <c r="D13" s="64" t="s">
        <v>173</v>
      </c>
      <c r="E13" s="32">
        <v>98</v>
      </c>
      <c r="F13" s="31">
        <v>69.848672159999992</v>
      </c>
      <c r="G13" s="33">
        <v>21643</v>
      </c>
      <c r="H13" s="21"/>
      <c r="I13" s="34">
        <v>-3.5657968360547354</v>
      </c>
      <c r="J13" s="34">
        <v>3.8509997261024331</v>
      </c>
      <c r="K13" s="34">
        <v>10.683978435813945</v>
      </c>
      <c r="L13" s="34">
        <v>10.237817188215237</v>
      </c>
      <c r="M13" s="34">
        <v>10.338812514275908</v>
      </c>
      <c r="N13" s="34">
        <v>-2.5556197780668644</v>
      </c>
      <c r="O13" s="34">
        <v>6.6510283046122387</v>
      </c>
      <c r="P13" s="34">
        <v>13.411113412132858</v>
      </c>
      <c r="Q13" s="34">
        <v>12.727405550243409</v>
      </c>
      <c r="R13" s="34">
        <v>12.572326872414564</v>
      </c>
      <c r="S13" s="22"/>
      <c r="T13" s="34">
        <v>12.351569230382275</v>
      </c>
      <c r="U13" s="34">
        <v>14.10050863050985</v>
      </c>
      <c r="W13" s="82">
        <v>0.5</v>
      </c>
      <c r="X13" s="82" t="s">
        <v>90</v>
      </c>
      <c r="Y13" s="82">
        <v>0.78</v>
      </c>
      <c r="Z13" s="56"/>
      <c r="AA13" s="56"/>
    </row>
    <row r="14" spans="1:27" ht="14.5" customHeight="1" x14ac:dyDescent="0.35">
      <c r="A14" s="30" t="s">
        <v>88</v>
      </c>
      <c r="B14" s="30" t="s">
        <v>3</v>
      </c>
      <c r="C14" s="30" t="s">
        <v>101</v>
      </c>
      <c r="D14" s="64" t="s">
        <v>173</v>
      </c>
      <c r="E14" s="32">
        <v>97</v>
      </c>
      <c r="F14" s="31">
        <v>156.57458291</v>
      </c>
      <c r="G14" s="33">
        <v>49635</v>
      </c>
      <c r="H14" s="21"/>
      <c r="I14" s="34">
        <v>-4.0518983303201139</v>
      </c>
      <c r="J14" s="34">
        <v>2.4237951978202776</v>
      </c>
      <c r="K14" s="34">
        <v>9.9938455494525513</v>
      </c>
      <c r="L14" s="34">
        <v>10.096280949969859</v>
      </c>
      <c r="M14" s="34">
        <v>9.880431560531866</v>
      </c>
      <c r="N14" s="34">
        <v>-2.9587583732118006</v>
      </c>
      <c r="O14" s="34">
        <v>6.0355568877574983</v>
      </c>
      <c r="P14" s="34">
        <v>12.448288404914987</v>
      </c>
      <c r="Q14" s="34">
        <v>11.682917902380652</v>
      </c>
      <c r="R14" s="34">
        <v>11.563633428218779</v>
      </c>
      <c r="S14" s="22"/>
      <c r="T14" s="34">
        <v>13.051542051188896</v>
      </c>
      <c r="U14" s="34">
        <v>13.860172101882073</v>
      </c>
      <c r="W14" s="82">
        <v>0.41000000000000003</v>
      </c>
      <c r="X14" s="82" t="s">
        <v>90</v>
      </c>
      <c r="Y14" s="82">
        <v>0.66990000000000005</v>
      </c>
      <c r="Z14" s="56"/>
      <c r="AA14" s="56"/>
    </row>
    <row r="15" spans="1:27" ht="14.5" customHeight="1" x14ac:dyDescent="0.35">
      <c r="A15" s="30" t="s">
        <v>115</v>
      </c>
      <c r="B15" s="30" t="s">
        <v>5</v>
      </c>
      <c r="C15" s="30" t="s">
        <v>116</v>
      </c>
      <c r="D15" s="64" t="s">
        <v>173</v>
      </c>
      <c r="E15" s="32">
        <v>90</v>
      </c>
      <c r="F15" s="31">
        <v>56.437351490000005</v>
      </c>
      <c r="G15" s="33">
        <v>19825</v>
      </c>
      <c r="H15" s="21"/>
      <c r="I15" s="34">
        <v>-2.6734330856963417</v>
      </c>
      <c r="J15" s="34">
        <v>3.7014326328111968</v>
      </c>
      <c r="K15" s="34">
        <v>11.533756142374019</v>
      </c>
      <c r="L15" s="34">
        <v>10.529417466695357</v>
      </c>
      <c r="M15" s="34">
        <v>10.018461318122895</v>
      </c>
      <c r="N15" s="34">
        <v>-2.5143864455631215</v>
      </c>
      <c r="O15" s="34">
        <v>4.9603809988645331</v>
      </c>
      <c r="P15" s="34">
        <v>11.461808231764969</v>
      </c>
      <c r="Q15" s="34">
        <v>10.910583948774599</v>
      </c>
      <c r="R15" s="34">
        <v>10.990982251795888</v>
      </c>
      <c r="S15" s="22"/>
      <c r="T15" s="34">
        <v>12.964062011195407</v>
      </c>
      <c r="U15" s="34">
        <v>13.465644590971998</v>
      </c>
      <c r="W15" s="82">
        <v>0.5</v>
      </c>
      <c r="X15" s="82">
        <v>1.1100000000000001</v>
      </c>
      <c r="Y15" s="82" t="s">
        <v>90</v>
      </c>
      <c r="Z15" s="56"/>
      <c r="AA15" s="56"/>
    </row>
    <row r="16" spans="1:27" ht="14.5" customHeight="1" x14ac:dyDescent="0.35">
      <c r="A16" s="30" t="s">
        <v>123</v>
      </c>
      <c r="B16" s="30" t="s">
        <v>124</v>
      </c>
      <c r="C16" s="30" t="s">
        <v>138</v>
      </c>
      <c r="D16" s="64" t="s">
        <v>174</v>
      </c>
      <c r="E16" s="32">
        <v>100</v>
      </c>
      <c r="F16" s="31">
        <v>33.723070931800002</v>
      </c>
      <c r="G16" s="33">
        <v>10689</v>
      </c>
      <c r="H16" s="21"/>
      <c r="I16" s="34">
        <v>-3.0946882217090077</v>
      </c>
      <c r="J16" s="34">
        <v>4.4820717131474064</v>
      </c>
      <c r="K16" s="34" t="s">
        <v>151</v>
      </c>
      <c r="L16" s="34" t="s">
        <v>151</v>
      </c>
      <c r="M16" s="34">
        <v>8.1915292910500916</v>
      </c>
      <c r="N16" s="34">
        <v>-3.1475708963734417</v>
      </c>
      <c r="O16" s="34">
        <v>5.7178423236514453</v>
      </c>
      <c r="P16" s="34" t="s">
        <v>151</v>
      </c>
      <c r="Q16" s="34" t="s">
        <v>151</v>
      </c>
      <c r="R16" s="34">
        <v>8.633746963112344</v>
      </c>
      <c r="S16" s="22"/>
      <c r="T16" s="34" t="s">
        <v>151</v>
      </c>
      <c r="U16" s="34" t="s">
        <v>151</v>
      </c>
      <c r="W16" s="82">
        <v>0.44690000000000002</v>
      </c>
      <c r="X16" s="87">
        <v>0.57340000000000002</v>
      </c>
      <c r="Y16" s="82" t="s">
        <v>90</v>
      </c>
      <c r="Z16" s="56"/>
      <c r="AA16" s="56"/>
    </row>
    <row r="17" spans="1:30" s="45" customFormat="1" ht="18.649999999999999" customHeight="1" x14ac:dyDescent="0.35">
      <c r="A17" s="100" t="s">
        <v>48</v>
      </c>
      <c r="B17" s="100"/>
      <c r="C17" s="100"/>
      <c r="D17" s="97"/>
      <c r="E17" s="42"/>
      <c r="F17" s="43"/>
      <c r="G17" s="44" t="s">
        <v>97</v>
      </c>
      <c r="H17" s="42"/>
      <c r="I17" s="66">
        <v>-3.0586919883723889</v>
      </c>
      <c r="J17" s="66">
        <v>3.6715736322998187</v>
      </c>
      <c r="K17" s="66">
        <v>10.341494977400947</v>
      </c>
      <c r="L17" s="66">
        <v>10.339802323945861</v>
      </c>
      <c r="M17" s="66">
        <v>10.056110117874413</v>
      </c>
      <c r="N17" s="66">
        <v>-2.6434959425412581</v>
      </c>
      <c r="O17" s="66">
        <v>5.9638328823026683</v>
      </c>
      <c r="P17" s="66">
        <v>12.35574523336901</v>
      </c>
      <c r="Q17" s="66">
        <v>11.736507543576373</v>
      </c>
      <c r="R17" s="66">
        <v>11.490353689154521</v>
      </c>
      <c r="S17" s="42"/>
      <c r="T17" s="42"/>
      <c r="U17" s="42"/>
      <c r="W17" s="83"/>
      <c r="X17" s="83"/>
      <c r="Y17" s="83"/>
      <c r="Z17" s="56"/>
      <c r="AA17" s="56"/>
    </row>
    <row r="18" spans="1:30" ht="14.5" customHeight="1" x14ac:dyDescent="0.35">
      <c r="A18" s="30" t="s">
        <v>36</v>
      </c>
      <c r="B18" s="30" t="s">
        <v>9</v>
      </c>
      <c r="C18" s="30" t="s">
        <v>49</v>
      </c>
      <c r="D18" s="64" t="s">
        <v>173</v>
      </c>
      <c r="E18" s="32">
        <v>90</v>
      </c>
      <c r="F18" s="31">
        <v>89.861743790000006</v>
      </c>
      <c r="G18" s="33">
        <v>21213</v>
      </c>
      <c r="H18" s="21"/>
      <c r="I18" s="34">
        <v>-3.3487728264920524</v>
      </c>
      <c r="J18" s="34">
        <v>4.2314979617614989</v>
      </c>
      <c r="K18" s="34">
        <v>10.057505999433713</v>
      </c>
      <c r="L18" s="34">
        <v>9.2790062890186764</v>
      </c>
      <c r="M18" s="34">
        <v>9.6057914139369149</v>
      </c>
      <c r="N18" s="34">
        <v>-1.7379078095590139</v>
      </c>
      <c r="O18" s="34">
        <v>6.6521201970206834</v>
      </c>
      <c r="P18" s="34">
        <v>11.494411062657806</v>
      </c>
      <c r="Q18" s="34">
        <v>10.772683713003484</v>
      </c>
      <c r="R18" s="34">
        <v>10.871767630124364</v>
      </c>
      <c r="S18" s="22"/>
      <c r="T18" s="34">
        <v>11.673789032259938</v>
      </c>
      <c r="U18" s="34">
        <v>12.576839997923251</v>
      </c>
      <c r="W18" s="82">
        <v>0.49</v>
      </c>
      <c r="X18" s="82">
        <v>0.71</v>
      </c>
      <c r="Y18" s="82" t="s">
        <v>90</v>
      </c>
      <c r="Z18" s="56"/>
      <c r="AA18" s="56"/>
    </row>
    <row r="19" spans="1:30" ht="14.5" customHeight="1" x14ac:dyDescent="0.35">
      <c r="A19" s="30" t="s">
        <v>175</v>
      </c>
      <c r="B19" s="30" t="s">
        <v>7</v>
      </c>
      <c r="C19" s="30" t="s">
        <v>178</v>
      </c>
      <c r="D19" s="64" t="s">
        <v>173</v>
      </c>
      <c r="E19" s="32">
        <v>97</v>
      </c>
      <c r="F19" s="31">
        <v>169.79920417509999</v>
      </c>
      <c r="G19" s="33">
        <v>34277</v>
      </c>
      <c r="H19" s="21"/>
      <c r="I19" s="34">
        <v>-1.6706443914081159</v>
      </c>
      <c r="J19" s="34">
        <v>4.74190339339009</v>
      </c>
      <c r="K19" s="34">
        <v>10.216950654940749</v>
      </c>
      <c r="L19" s="34">
        <v>10.82142213334536</v>
      </c>
      <c r="M19" s="34">
        <v>10.333440460830246</v>
      </c>
      <c r="N19" s="34">
        <v>-2.3230412685191659</v>
      </c>
      <c r="O19" s="34">
        <v>5.4035595821961602</v>
      </c>
      <c r="P19" s="34">
        <v>11.86908926772341</v>
      </c>
      <c r="Q19" s="34">
        <v>11.73812806854848</v>
      </c>
      <c r="R19" s="34">
        <v>11.475391806339763</v>
      </c>
      <c r="S19" s="22"/>
      <c r="T19" s="34">
        <v>10.802716556581428</v>
      </c>
      <c r="U19" s="34">
        <v>13.710454028349703</v>
      </c>
      <c r="W19" s="82">
        <v>0.5</v>
      </c>
      <c r="X19" s="82">
        <v>1.27</v>
      </c>
      <c r="Y19" s="82">
        <v>1.27</v>
      </c>
      <c r="Z19" s="56"/>
      <c r="AA19" s="56"/>
    </row>
    <row r="20" spans="1:30" ht="14.5" customHeight="1" x14ac:dyDescent="0.35">
      <c r="A20" s="30" t="s">
        <v>87</v>
      </c>
      <c r="B20" s="30" t="s">
        <v>6</v>
      </c>
      <c r="C20" s="30" t="s">
        <v>50</v>
      </c>
      <c r="D20" s="64" t="s">
        <v>173</v>
      </c>
      <c r="E20" s="32">
        <v>98</v>
      </c>
      <c r="F20" s="31">
        <v>236.54528553999998</v>
      </c>
      <c r="G20" s="33">
        <v>45929</v>
      </c>
      <c r="H20" s="21"/>
      <c r="I20" s="34">
        <v>-3.5220640933756542</v>
      </c>
      <c r="J20" s="34">
        <v>3.9549892437531042</v>
      </c>
      <c r="K20" s="34">
        <v>10.534143065971801</v>
      </c>
      <c r="L20" s="34">
        <v>10.211560118588658</v>
      </c>
      <c r="M20" s="34">
        <v>10.238296079879738</v>
      </c>
      <c r="N20" s="34">
        <v>-2.5556197780668644</v>
      </c>
      <c r="O20" s="34">
        <v>6.6510283046122387</v>
      </c>
      <c r="P20" s="34">
        <v>13.411113412132858</v>
      </c>
      <c r="Q20" s="34">
        <v>12.727405550243409</v>
      </c>
      <c r="R20" s="34">
        <v>12.572326872414564</v>
      </c>
      <c r="S20" s="22"/>
      <c r="T20" s="34">
        <v>12.237609439420233</v>
      </c>
      <c r="U20" s="34">
        <v>14.10050863050985</v>
      </c>
      <c r="W20" s="82">
        <v>0.5</v>
      </c>
      <c r="X20" s="82" t="s">
        <v>90</v>
      </c>
      <c r="Y20" s="82">
        <v>0.81</v>
      </c>
      <c r="Z20" s="56"/>
      <c r="AA20" s="56"/>
    </row>
    <row r="21" spans="1:30" ht="14.5" customHeight="1" x14ac:dyDescent="0.35">
      <c r="A21" s="30" t="s">
        <v>88</v>
      </c>
      <c r="B21" s="30" t="s">
        <v>8</v>
      </c>
      <c r="C21" s="30" t="s">
        <v>102</v>
      </c>
      <c r="D21" s="64" t="s">
        <v>173</v>
      </c>
      <c r="E21" s="32">
        <v>97</v>
      </c>
      <c r="F21" s="31">
        <v>469.23351498</v>
      </c>
      <c r="G21" s="33">
        <v>95327</v>
      </c>
      <c r="H21" s="21"/>
      <c r="I21" s="34">
        <v>-3.3992681762740506</v>
      </c>
      <c r="J21" s="34">
        <v>2.5733430936426549</v>
      </c>
      <c r="K21" s="34">
        <v>9.7757363966547004</v>
      </c>
      <c r="L21" s="34">
        <v>10.267840687802066</v>
      </c>
      <c r="M21" s="34">
        <v>10.183510302184363</v>
      </c>
      <c r="N21" s="34">
        <v>-2.9587583732118006</v>
      </c>
      <c r="O21" s="34">
        <v>6.0355568877574983</v>
      </c>
      <c r="P21" s="34">
        <v>12.448288404914987</v>
      </c>
      <c r="Q21" s="34">
        <v>11.682917902380652</v>
      </c>
      <c r="R21" s="34">
        <v>11.563633428218779</v>
      </c>
      <c r="S21" s="22"/>
      <c r="T21" s="34">
        <v>12.619902059949558</v>
      </c>
      <c r="U21" s="34">
        <v>13.860172101882073</v>
      </c>
      <c r="W21" s="82">
        <v>0.41000000000000003</v>
      </c>
      <c r="X21" s="82" t="s">
        <v>90</v>
      </c>
      <c r="Y21" s="82">
        <v>0.68300000000000005</v>
      </c>
      <c r="Z21" s="56"/>
      <c r="AA21" s="56"/>
    </row>
    <row r="22" spans="1:30" ht="14.5" customHeight="1" x14ac:dyDescent="0.35">
      <c r="A22" s="30" t="s">
        <v>115</v>
      </c>
      <c r="B22" s="30" t="s">
        <v>10</v>
      </c>
      <c r="C22" s="30" t="s">
        <v>117</v>
      </c>
      <c r="D22" s="64" t="s">
        <v>173</v>
      </c>
      <c r="E22" s="32">
        <v>90</v>
      </c>
      <c r="F22" s="31">
        <v>148.81578722999998</v>
      </c>
      <c r="G22" s="33">
        <v>34209</v>
      </c>
      <c r="H22" s="21"/>
      <c r="I22" s="34">
        <v>-2.6801107570137317</v>
      </c>
      <c r="J22" s="34">
        <v>4.7811902351220681</v>
      </c>
      <c r="K22" s="34">
        <v>12.132771070692595</v>
      </c>
      <c r="L22" s="34">
        <v>10.861576412262398</v>
      </c>
      <c r="M22" s="34">
        <v>10.04118982559441</v>
      </c>
      <c r="N22" s="34">
        <v>-2.5143864455631215</v>
      </c>
      <c r="O22" s="34">
        <v>4.9603809988645331</v>
      </c>
      <c r="P22" s="34">
        <v>11.461808231764969</v>
      </c>
      <c r="Q22" s="34">
        <v>10.910583948774599</v>
      </c>
      <c r="R22" s="34">
        <v>10.990982251795888</v>
      </c>
      <c r="S22" s="22"/>
      <c r="T22" s="34">
        <v>12.414916179355473</v>
      </c>
      <c r="U22" s="34">
        <v>13.465644590971998</v>
      </c>
      <c r="W22" s="82">
        <v>0.5</v>
      </c>
      <c r="X22" s="82">
        <v>0.93</v>
      </c>
      <c r="Y22" s="82" t="s">
        <v>90</v>
      </c>
      <c r="Z22" s="56"/>
      <c r="AA22" s="56"/>
    </row>
    <row r="23" spans="1:30" ht="14.5" customHeight="1" x14ac:dyDescent="0.35">
      <c r="A23" s="30" t="s">
        <v>123</v>
      </c>
      <c r="B23" s="30" t="s">
        <v>125</v>
      </c>
      <c r="C23" s="30" t="s">
        <v>137</v>
      </c>
      <c r="D23" s="64" t="s">
        <v>174</v>
      </c>
      <c r="E23" s="32">
        <v>100</v>
      </c>
      <c r="F23" s="31">
        <v>55.267976640000001</v>
      </c>
      <c r="G23" s="33">
        <v>11599</v>
      </c>
      <c r="H23" s="21"/>
      <c r="I23" s="34">
        <v>-2.9961389961389973</v>
      </c>
      <c r="J23" s="34">
        <v>4.5961698584512822</v>
      </c>
      <c r="K23" s="34" t="s">
        <v>151</v>
      </c>
      <c r="L23" s="34" t="s">
        <v>151</v>
      </c>
      <c r="M23" s="34">
        <v>8.1150341873287068</v>
      </c>
      <c r="N23" s="34">
        <v>-3.1475708963734417</v>
      </c>
      <c r="O23" s="34">
        <v>5.7178423236514453</v>
      </c>
      <c r="P23" s="34" t="s">
        <v>151</v>
      </c>
      <c r="Q23" s="34" t="s">
        <v>151</v>
      </c>
      <c r="R23" s="34">
        <v>8.633746963112344</v>
      </c>
      <c r="S23" s="22"/>
      <c r="T23" s="34" t="s">
        <v>151</v>
      </c>
      <c r="U23" s="34" t="s">
        <v>151</v>
      </c>
      <c r="W23" s="82">
        <v>0.4466</v>
      </c>
      <c r="X23" s="82">
        <v>0.5766</v>
      </c>
      <c r="Y23" s="82" t="s">
        <v>90</v>
      </c>
      <c r="Z23" s="56"/>
      <c r="AA23" s="56"/>
    </row>
    <row r="24" spans="1:30" s="45" customFormat="1" ht="18.649999999999999" customHeight="1" x14ac:dyDescent="0.35">
      <c r="A24" s="100" t="s">
        <v>51</v>
      </c>
      <c r="B24" s="100"/>
      <c r="C24" s="100"/>
      <c r="D24" s="97"/>
      <c r="E24" s="42"/>
      <c r="F24" s="43"/>
      <c r="G24" s="44" t="s">
        <v>97</v>
      </c>
      <c r="H24" s="42"/>
      <c r="I24" s="66">
        <v>-3.0290633881187037</v>
      </c>
      <c r="J24" s="66">
        <v>3.7575805005121152</v>
      </c>
      <c r="K24" s="66">
        <v>10.384743630374079</v>
      </c>
      <c r="L24" s="66">
        <v>10.402822199986606</v>
      </c>
      <c r="M24" s="66">
        <v>10.158696678463638</v>
      </c>
      <c r="N24" s="66">
        <v>-2.6013329464732937</v>
      </c>
      <c r="O24" s="66">
        <v>6.0039299148000493</v>
      </c>
      <c r="P24" s="66">
        <v>12.40397656915099</v>
      </c>
      <c r="Q24" s="66">
        <v>11.792871822708957</v>
      </c>
      <c r="R24" s="66">
        <v>11.595008777522505</v>
      </c>
      <c r="S24" s="42"/>
      <c r="T24" s="42"/>
      <c r="U24" s="42"/>
      <c r="W24" s="83"/>
      <c r="X24" s="83"/>
      <c r="Y24" s="83"/>
      <c r="Z24" s="56"/>
      <c r="AA24" s="56"/>
    </row>
    <row r="25" spans="1:30" ht="14.5" customHeight="1" x14ac:dyDescent="0.35">
      <c r="A25" s="30" t="s">
        <v>36</v>
      </c>
      <c r="B25" s="30" t="s">
        <v>14</v>
      </c>
      <c r="C25" s="30" t="s">
        <v>52</v>
      </c>
      <c r="D25" s="64" t="s">
        <v>173</v>
      </c>
      <c r="E25" s="32">
        <v>90</v>
      </c>
      <c r="F25" s="31">
        <v>158.96977634999999</v>
      </c>
      <c r="G25" s="33">
        <v>28008</v>
      </c>
      <c r="H25" s="21"/>
      <c r="I25" s="34">
        <v>-3.3463201152799216</v>
      </c>
      <c r="J25" s="34">
        <v>4.3503313166234348</v>
      </c>
      <c r="K25" s="34">
        <v>10.111552025049008</v>
      </c>
      <c r="L25" s="34">
        <v>9.3181043731804802</v>
      </c>
      <c r="M25" s="34">
        <v>9.5648884518566568</v>
      </c>
      <c r="N25" s="34">
        <v>-1.7379078095590139</v>
      </c>
      <c r="O25" s="34">
        <v>6.6521201970206834</v>
      </c>
      <c r="P25" s="34">
        <v>11.494411062657806</v>
      </c>
      <c r="Q25" s="34">
        <v>10.772683713003484</v>
      </c>
      <c r="R25" s="34">
        <v>10.871767630124364</v>
      </c>
      <c r="S25" s="22"/>
      <c r="T25" s="34">
        <v>11.61102235306978</v>
      </c>
      <c r="U25" s="34">
        <v>12.576839997923251</v>
      </c>
      <c r="W25" s="82">
        <v>0.49</v>
      </c>
      <c r="X25" s="82">
        <v>0.72</v>
      </c>
      <c r="Y25" s="82" t="s">
        <v>90</v>
      </c>
      <c r="Z25" s="56"/>
      <c r="AA25" s="56"/>
    </row>
    <row r="26" spans="1:30" ht="14.5" customHeight="1" x14ac:dyDescent="0.35">
      <c r="A26" s="30" t="s">
        <v>175</v>
      </c>
      <c r="B26" s="30" t="s">
        <v>12</v>
      </c>
      <c r="C26" s="30" t="s">
        <v>179</v>
      </c>
      <c r="D26" s="64" t="s">
        <v>173</v>
      </c>
      <c r="E26" s="32">
        <v>97</v>
      </c>
      <c r="F26" s="31">
        <v>288.5697114084</v>
      </c>
      <c r="G26" s="33">
        <v>42074</v>
      </c>
      <c r="H26" s="21"/>
      <c r="I26" s="34">
        <v>-1.5950537746142301</v>
      </c>
      <c r="J26" s="34">
        <v>4.7682265737360341</v>
      </c>
      <c r="K26" s="34">
        <v>10.256032204938492</v>
      </c>
      <c r="L26" s="34">
        <v>10.881809903958173</v>
      </c>
      <c r="M26" s="34">
        <v>10.322692035104231</v>
      </c>
      <c r="N26" s="34">
        <v>-2.3230412685191659</v>
      </c>
      <c r="O26" s="34">
        <v>5.4035595821961602</v>
      </c>
      <c r="P26" s="34">
        <v>11.86908926772341</v>
      </c>
      <c r="Q26" s="34">
        <v>11.73812806854848</v>
      </c>
      <c r="R26" s="34">
        <v>11.475391806339763</v>
      </c>
      <c r="S26" s="22"/>
      <c r="T26" s="34">
        <v>10.748348151987869</v>
      </c>
      <c r="U26" s="34">
        <v>13.710454028349703</v>
      </c>
      <c r="W26" s="82">
        <v>0.5</v>
      </c>
      <c r="X26" s="82">
        <v>1.26</v>
      </c>
      <c r="Y26" s="82">
        <v>1.26</v>
      </c>
      <c r="Z26" s="56"/>
      <c r="AA26" s="56"/>
    </row>
    <row r="27" spans="1:30" ht="14.5" customHeight="1" x14ac:dyDescent="0.35">
      <c r="A27" s="30" t="s">
        <v>87</v>
      </c>
      <c r="B27" s="30" t="s">
        <v>11</v>
      </c>
      <c r="C27" s="30" t="s">
        <v>53</v>
      </c>
      <c r="D27" s="64" t="s">
        <v>173</v>
      </c>
      <c r="E27" s="32">
        <v>98</v>
      </c>
      <c r="F27" s="31">
        <v>498.15549736999998</v>
      </c>
      <c r="G27" s="33">
        <v>74059</v>
      </c>
      <c r="H27" s="21"/>
      <c r="I27" s="34">
        <v>-3.5173824130879328</v>
      </c>
      <c r="J27" s="34">
        <v>3.9951507136165798</v>
      </c>
      <c r="K27" s="34">
        <v>10.468970016561441</v>
      </c>
      <c r="L27" s="34">
        <v>10.219138804387695</v>
      </c>
      <c r="M27" s="34">
        <v>10.261675214002919</v>
      </c>
      <c r="N27" s="34">
        <v>-2.5556197780668644</v>
      </c>
      <c r="O27" s="34">
        <v>6.6510283046122387</v>
      </c>
      <c r="P27" s="34">
        <v>13.411113412132858</v>
      </c>
      <c r="Q27" s="34">
        <v>12.727405550243409</v>
      </c>
      <c r="R27" s="34">
        <v>12.572326872414564</v>
      </c>
      <c r="S27" s="22"/>
      <c r="T27" s="34">
        <v>12.184202690834853</v>
      </c>
      <c r="U27" s="34">
        <v>14.10050863050985</v>
      </c>
      <c r="W27" s="82">
        <v>0.5</v>
      </c>
      <c r="X27" s="82" t="s">
        <v>90</v>
      </c>
      <c r="Y27" s="82">
        <v>0.82</v>
      </c>
      <c r="Z27" s="56"/>
      <c r="AA27" s="56"/>
    </row>
    <row r="28" spans="1:30" ht="14.5" customHeight="1" x14ac:dyDescent="0.35">
      <c r="A28" s="30" t="s">
        <v>88</v>
      </c>
      <c r="B28" s="30" t="s">
        <v>13</v>
      </c>
      <c r="C28" s="30" t="s">
        <v>103</v>
      </c>
      <c r="D28" s="64" t="s">
        <v>173</v>
      </c>
      <c r="E28" s="32">
        <v>97</v>
      </c>
      <c r="F28" s="31">
        <v>645.02391646000001</v>
      </c>
      <c r="G28" s="33">
        <v>113528</v>
      </c>
      <c r="H28" s="21"/>
      <c r="I28" s="34">
        <v>-3.4118389233519064</v>
      </c>
      <c r="J28" s="34">
        <v>2.4878674624867481</v>
      </c>
      <c r="K28" s="34">
        <v>9.7669929148118904</v>
      </c>
      <c r="L28" s="34">
        <v>10.441454452775933</v>
      </c>
      <c r="M28" s="34">
        <v>10.350065033525823</v>
      </c>
      <c r="N28" s="34">
        <v>-2.9587583732118006</v>
      </c>
      <c r="O28" s="34">
        <v>6.0355568877574983</v>
      </c>
      <c r="P28" s="34">
        <v>12.448288404914987</v>
      </c>
      <c r="Q28" s="34">
        <v>11.682917902380652</v>
      </c>
      <c r="R28" s="34">
        <v>11.563633428218779</v>
      </c>
      <c r="S28" s="22"/>
      <c r="T28" s="34">
        <v>12.584836515534334</v>
      </c>
      <c r="U28" s="34">
        <v>13.860172101882073</v>
      </c>
      <c r="W28" s="82">
        <v>0.41000000000000003</v>
      </c>
      <c r="X28" s="82" t="s">
        <v>90</v>
      </c>
      <c r="Y28" s="82">
        <v>0.68959999999999999</v>
      </c>
      <c r="Z28" s="56"/>
      <c r="AA28" s="56"/>
    </row>
    <row r="29" spans="1:30" ht="14.5" customHeight="1" x14ac:dyDescent="0.35">
      <c r="A29" s="30" t="s">
        <v>115</v>
      </c>
      <c r="B29" s="30" t="s">
        <v>15</v>
      </c>
      <c r="C29" s="30" t="s">
        <v>118</v>
      </c>
      <c r="D29" s="64" t="s">
        <v>173</v>
      </c>
      <c r="E29" s="32">
        <v>90</v>
      </c>
      <c r="F29" s="31">
        <v>245.54768002</v>
      </c>
      <c r="G29" s="33">
        <v>47990</v>
      </c>
      <c r="H29" s="21"/>
      <c r="I29" s="34">
        <v>-2.5192076517012496</v>
      </c>
      <c r="J29" s="34">
        <v>4.8574801821555047</v>
      </c>
      <c r="K29" s="34">
        <v>12.1647546486072</v>
      </c>
      <c r="L29" s="34">
        <v>10.813333808632674</v>
      </c>
      <c r="M29" s="34">
        <v>10.062077267312318</v>
      </c>
      <c r="N29" s="34">
        <v>-2.5143864455631215</v>
      </c>
      <c r="O29" s="34">
        <v>4.9603809988645331</v>
      </c>
      <c r="P29" s="34">
        <v>11.461808231764969</v>
      </c>
      <c r="Q29" s="34">
        <v>10.910583948774599</v>
      </c>
      <c r="R29" s="34">
        <v>10.990982251795888</v>
      </c>
      <c r="S29" s="22"/>
      <c r="T29" s="34">
        <v>12.424366528542377</v>
      </c>
      <c r="U29" s="34">
        <v>13.465644590971998</v>
      </c>
      <c r="W29" s="82">
        <v>0.5</v>
      </c>
      <c r="X29" s="82">
        <v>0.97</v>
      </c>
      <c r="Y29" s="82" t="s">
        <v>90</v>
      </c>
      <c r="Z29" s="56"/>
      <c r="AA29" s="56"/>
    </row>
    <row r="30" spans="1:30" ht="14.5" customHeight="1" x14ac:dyDescent="0.35">
      <c r="A30" s="30" t="s">
        <v>123</v>
      </c>
      <c r="B30" s="30" t="s">
        <v>126</v>
      </c>
      <c r="C30" s="30" t="s">
        <v>136</v>
      </c>
      <c r="D30" s="64" t="s">
        <v>174</v>
      </c>
      <c r="E30" s="32">
        <v>100</v>
      </c>
      <c r="F30" s="31">
        <v>57.0060707819</v>
      </c>
      <c r="G30" s="33">
        <v>8537</v>
      </c>
      <c r="H30" s="21"/>
      <c r="I30" s="34">
        <v>-3.0012281240405225</v>
      </c>
      <c r="J30" s="34">
        <v>4.5416942422236817</v>
      </c>
      <c r="K30" s="34" t="s">
        <v>151</v>
      </c>
      <c r="L30" s="34" t="s">
        <v>151</v>
      </c>
      <c r="M30" s="34">
        <v>8.3354110609920049</v>
      </c>
      <c r="N30" s="34">
        <v>-3.1475708963734417</v>
      </c>
      <c r="O30" s="34">
        <v>5.7178423236514453</v>
      </c>
      <c r="P30" s="34" t="s">
        <v>151</v>
      </c>
      <c r="Q30" s="34" t="s">
        <v>151</v>
      </c>
      <c r="R30" s="34">
        <v>8.633746963112344</v>
      </c>
      <c r="S30" s="22"/>
      <c r="T30" s="34" t="s">
        <v>151</v>
      </c>
      <c r="U30" s="34" t="s">
        <v>151</v>
      </c>
      <c r="W30" s="82">
        <v>0.4466</v>
      </c>
      <c r="X30" s="82">
        <v>0.57699999999999996</v>
      </c>
      <c r="Y30" s="82" t="s">
        <v>90</v>
      </c>
      <c r="Z30" s="56"/>
      <c r="AA30" s="56"/>
    </row>
    <row r="31" spans="1:30" s="45" customFormat="1" ht="18.649999999999999" customHeight="1" x14ac:dyDescent="0.35">
      <c r="A31" s="100" t="s">
        <v>54</v>
      </c>
      <c r="B31" s="100"/>
      <c r="C31" s="100"/>
      <c r="D31" s="97"/>
      <c r="E31" s="42"/>
      <c r="F31" s="43"/>
      <c r="G31" s="44" t="s">
        <v>97</v>
      </c>
      <c r="H31" s="42"/>
      <c r="I31" s="66">
        <v>-3.0471945428249181</v>
      </c>
      <c r="J31" s="66">
        <v>3.7469390198159216</v>
      </c>
      <c r="K31" s="66">
        <v>10.352037562439559</v>
      </c>
      <c r="L31" s="66">
        <v>10.359482390153721</v>
      </c>
      <c r="M31" s="66">
        <v>10.24710416348489</v>
      </c>
      <c r="N31" s="66">
        <v>-2.6045035770585763</v>
      </c>
      <c r="O31" s="66">
        <v>6.0242000402820004</v>
      </c>
      <c r="P31" s="66">
        <v>12.434865006457233</v>
      </c>
      <c r="Q31" s="66">
        <v>11.811566539951034</v>
      </c>
      <c r="R31" s="66">
        <v>11.777905927160639</v>
      </c>
      <c r="S31" s="42"/>
      <c r="T31" s="42"/>
      <c r="U31" s="42"/>
      <c r="W31" s="83"/>
      <c r="X31" s="83"/>
      <c r="Y31" s="83"/>
      <c r="Z31" s="56"/>
      <c r="AA31" s="56"/>
      <c r="AB31" s="71"/>
      <c r="AC31" s="71"/>
    </row>
    <row r="32" spans="1:30" ht="14.5" customHeight="1" x14ac:dyDescent="0.35">
      <c r="A32" s="30" t="s">
        <v>36</v>
      </c>
      <c r="B32" s="30" t="s">
        <v>19</v>
      </c>
      <c r="C32" s="30" t="s">
        <v>55</v>
      </c>
      <c r="D32" s="64" t="s">
        <v>173</v>
      </c>
      <c r="E32" s="32">
        <v>90</v>
      </c>
      <c r="F32" s="31">
        <v>166.15439949</v>
      </c>
      <c r="G32" s="33">
        <v>20042</v>
      </c>
      <c r="H32" s="21"/>
      <c r="I32" s="34">
        <v>-3.4589186888037471</v>
      </c>
      <c r="J32" s="34">
        <v>4.3003334483155076</v>
      </c>
      <c r="K32" s="34">
        <v>10.152013271453253</v>
      </c>
      <c r="L32" s="34">
        <v>9.4095791569036571</v>
      </c>
      <c r="M32" s="34">
        <v>9.5946443874075129</v>
      </c>
      <c r="N32" s="34">
        <v>-1.7379078095590139</v>
      </c>
      <c r="O32" s="34">
        <v>6.6521201970206834</v>
      </c>
      <c r="P32" s="34">
        <v>11.494411062657806</v>
      </c>
      <c r="Q32" s="34">
        <v>10.772683713003484</v>
      </c>
      <c r="R32" s="34">
        <v>10.871767630124364</v>
      </c>
      <c r="S32" s="22"/>
      <c r="T32" s="34">
        <v>11.624721033589907</v>
      </c>
      <c r="U32" s="34">
        <v>12.576839997923251</v>
      </c>
      <c r="W32" s="82">
        <v>0.49</v>
      </c>
      <c r="X32" s="82">
        <v>0.72</v>
      </c>
      <c r="Y32" s="82" t="s">
        <v>90</v>
      </c>
      <c r="Z32" s="56"/>
      <c r="AA32" s="56"/>
      <c r="AB32" s="46"/>
      <c r="AC32" s="46"/>
      <c r="AD32" s="45"/>
    </row>
    <row r="33" spans="1:30" ht="14.5" customHeight="1" x14ac:dyDescent="0.35">
      <c r="A33" s="30" t="s">
        <v>175</v>
      </c>
      <c r="B33" s="30" t="s">
        <v>17</v>
      </c>
      <c r="C33" s="30" t="s">
        <v>180</v>
      </c>
      <c r="D33" s="64" t="s">
        <v>173</v>
      </c>
      <c r="E33" s="32">
        <v>97</v>
      </c>
      <c r="F33" s="31">
        <v>282.81150132130006</v>
      </c>
      <c r="G33" s="33">
        <v>26365</v>
      </c>
      <c r="H33" s="21"/>
      <c r="I33" s="34">
        <v>-1.4825566326266082</v>
      </c>
      <c r="J33" s="34">
        <v>4.7684674751929501</v>
      </c>
      <c r="K33" s="34">
        <v>10.17708181714343</v>
      </c>
      <c r="L33" s="34">
        <v>10.850114763342521</v>
      </c>
      <c r="M33" s="34">
        <v>10.380843897957192</v>
      </c>
      <c r="N33" s="34">
        <v>-2.2880949075680834</v>
      </c>
      <c r="O33" s="34">
        <v>5.4412703267414875</v>
      </c>
      <c r="P33" s="34">
        <v>11.882428993167293</v>
      </c>
      <c r="Q33" s="34">
        <v>11.746122343359101</v>
      </c>
      <c r="R33" s="34">
        <v>11.48152544563359</v>
      </c>
      <c r="S33" s="22"/>
      <c r="T33" s="34">
        <v>10.651994037771505</v>
      </c>
      <c r="U33" s="34">
        <v>13.686085424880922</v>
      </c>
      <c r="W33" s="82">
        <v>0.5</v>
      </c>
      <c r="X33" s="82">
        <v>1.28</v>
      </c>
      <c r="Y33" s="82">
        <v>1.28</v>
      </c>
      <c r="Z33" s="56"/>
      <c r="AA33" s="56"/>
      <c r="AB33" s="46"/>
      <c r="AC33" s="46"/>
      <c r="AD33" s="45"/>
    </row>
    <row r="34" spans="1:30" ht="14.5" customHeight="1" x14ac:dyDescent="0.35">
      <c r="A34" s="30" t="s">
        <v>87</v>
      </c>
      <c r="B34" s="30" t="s">
        <v>16</v>
      </c>
      <c r="C34" s="30" t="s">
        <v>56</v>
      </c>
      <c r="D34" s="64" t="s">
        <v>173</v>
      </c>
      <c r="E34" s="32">
        <v>98</v>
      </c>
      <c r="F34" s="31">
        <v>601.19621687000006</v>
      </c>
      <c r="G34" s="33">
        <v>62365</v>
      </c>
      <c r="H34" s="21"/>
      <c r="I34" s="34">
        <v>-3.4932090412469363</v>
      </c>
      <c r="J34" s="34">
        <v>4.0583626047014265</v>
      </c>
      <c r="K34" s="34">
        <v>10.432506160843126</v>
      </c>
      <c r="L34" s="34">
        <v>10.196942636994377</v>
      </c>
      <c r="M34" s="34">
        <v>10.60383152796247</v>
      </c>
      <c r="N34" s="34">
        <v>-2.5554049232338394</v>
      </c>
      <c r="O34" s="34">
        <v>6.6509979330913405</v>
      </c>
      <c r="P34" s="34">
        <v>13.411023228539465</v>
      </c>
      <c r="Q34" s="34">
        <v>12.727413819995981</v>
      </c>
      <c r="R34" s="34">
        <v>13.053336378356706</v>
      </c>
      <c r="S34" s="22"/>
      <c r="T34" s="34">
        <v>12.136671335670888</v>
      </c>
      <c r="U34" s="34">
        <v>14.100560791461008</v>
      </c>
      <c r="W34" s="82">
        <v>0.5</v>
      </c>
      <c r="X34" s="82" t="s">
        <v>90</v>
      </c>
      <c r="Y34" s="82">
        <v>0.82</v>
      </c>
      <c r="Z34" s="56"/>
      <c r="AA34" s="56"/>
    </row>
    <row r="35" spans="1:30" ht="14.5" customHeight="1" x14ac:dyDescent="0.35">
      <c r="A35" s="30" t="s">
        <v>88</v>
      </c>
      <c r="B35" s="30" t="s">
        <v>18</v>
      </c>
      <c r="C35" s="30" t="s">
        <v>104</v>
      </c>
      <c r="D35" s="64" t="s">
        <v>173</v>
      </c>
      <c r="E35" s="32">
        <v>97</v>
      </c>
      <c r="F35" s="31">
        <v>747.36154163000003</v>
      </c>
      <c r="G35" s="33">
        <v>96960</v>
      </c>
      <c r="H35" s="21"/>
      <c r="I35" s="34">
        <v>-3.3690093319976855</v>
      </c>
      <c r="J35" s="34">
        <v>2.5457393834275033</v>
      </c>
      <c r="K35" s="34">
        <v>9.7431748772119917</v>
      </c>
      <c r="L35" s="34">
        <v>10.436727405829771</v>
      </c>
      <c r="M35" s="34">
        <v>10.35231229730722</v>
      </c>
      <c r="N35" s="34">
        <v>-2.9587583732118006</v>
      </c>
      <c r="O35" s="34">
        <v>6.0355568877574983</v>
      </c>
      <c r="P35" s="34">
        <v>12.448288404914987</v>
      </c>
      <c r="Q35" s="34">
        <v>11.682917902380652</v>
      </c>
      <c r="R35" s="34">
        <v>11.563633428218779</v>
      </c>
      <c r="S35" s="22"/>
      <c r="T35" s="34">
        <v>12.477451816150523</v>
      </c>
      <c r="U35" s="34">
        <v>13.860172101882073</v>
      </c>
      <c r="W35" s="82">
        <v>0.41000000000000003</v>
      </c>
      <c r="X35" s="82" t="s">
        <v>90</v>
      </c>
      <c r="Y35" s="82">
        <v>0.69630000000000003</v>
      </c>
      <c r="Z35" s="56"/>
      <c r="AA35" s="56"/>
    </row>
    <row r="36" spans="1:30" ht="14.5" customHeight="1" x14ac:dyDescent="0.35">
      <c r="A36" s="30" t="s">
        <v>115</v>
      </c>
      <c r="B36" s="30" t="s">
        <v>20</v>
      </c>
      <c r="C36" s="30" t="s">
        <v>119</v>
      </c>
      <c r="D36" s="64" t="s">
        <v>173</v>
      </c>
      <c r="E36" s="32">
        <v>90</v>
      </c>
      <c r="F36" s="31">
        <v>292.27374061</v>
      </c>
      <c r="G36" s="33">
        <v>40122</v>
      </c>
      <c r="H36" s="21"/>
      <c r="I36" s="34">
        <v>-2.5975402883799958</v>
      </c>
      <c r="J36" s="34">
        <v>4.7429027476912466</v>
      </c>
      <c r="K36" s="34">
        <v>12.026418401643424</v>
      </c>
      <c r="L36" s="34">
        <v>10.561561625202831</v>
      </c>
      <c r="M36" s="34">
        <v>9.8090566240871535</v>
      </c>
      <c r="N36" s="34">
        <v>-2.5143864455631215</v>
      </c>
      <c r="O36" s="34">
        <v>4.9603809988645331</v>
      </c>
      <c r="P36" s="34">
        <v>11.461808231764969</v>
      </c>
      <c r="Q36" s="34">
        <v>10.910583948774599</v>
      </c>
      <c r="R36" s="34">
        <v>10.990982251795888</v>
      </c>
      <c r="S36" s="22"/>
      <c r="T36" s="34">
        <v>12.448054067532411</v>
      </c>
      <c r="U36" s="34">
        <v>13.465644590971998</v>
      </c>
      <c r="W36" s="82">
        <v>0.5</v>
      </c>
      <c r="X36" s="82">
        <v>0.98</v>
      </c>
      <c r="Y36" s="82" t="s">
        <v>90</v>
      </c>
      <c r="Z36" s="56"/>
      <c r="AA36" s="56"/>
    </row>
    <row r="37" spans="1:30" ht="14.5" customHeight="1" x14ac:dyDescent="0.35">
      <c r="A37" s="30" t="s">
        <v>123</v>
      </c>
      <c r="B37" s="30" t="s">
        <v>127</v>
      </c>
      <c r="C37" s="30" t="s">
        <v>135</v>
      </c>
      <c r="D37" s="64" t="s">
        <v>174</v>
      </c>
      <c r="E37" s="32">
        <v>100</v>
      </c>
      <c r="F37" s="31">
        <v>45.248710040799999</v>
      </c>
      <c r="G37" s="33">
        <v>4025</v>
      </c>
      <c r="H37" s="21"/>
      <c r="I37" s="34">
        <v>-2.9777057779834859</v>
      </c>
      <c r="J37" s="34">
        <v>4.5991350632069272</v>
      </c>
      <c r="K37" s="34" t="s">
        <v>151</v>
      </c>
      <c r="L37" s="34" t="s">
        <v>151</v>
      </c>
      <c r="M37" s="34">
        <v>8.1591786760989216</v>
      </c>
      <c r="N37" s="34">
        <v>-3.1475708963734417</v>
      </c>
      <c r="O37" s="34">
        <v>5.7178423236514453</v>
      </c>
      <c r="P37" s="34" t="s">
        <v>151</v>
      </c>
      <c r="Q37" s="34" t="s">
        <v>151</v>
      </c>
      <c r="R37" s="34">
        <v>8.633746963112344</v>
      </c>
      <c r="S37" s="22"/>
      <c r="T37" s="34" t="s">
        <v>151</v>
      </c>
      <c r="U37" s="34" t="s">
        <v>151</v>
      </c>
      <c r="W37" s="82">
        <v>0.44690000000000002</v>
      </c>
      <c r="X37" s="82">
        <v>0.57820000000000005</v>
      </c>
      <c r="Y37" s="82" t="s">
        <v>90</v>
      </c>
      <c r="Z37" s="56"/>
      <c r="AA37" s="56"/>
    </row>
    <row r="38" spans="1:30" s="45" customFormat="1" ht="18.649999999999999" customHeight="1" x14ac:dyDescent="0.35">
      <c r="A38" s="100" t="s">
        <v>57</v>
      </c>
      <c r="B38" s="100"/>
      <c r="C38" s="100"/>
      <c r="D38" s="97"/>
      <c r="E38" s="42"/>
      <c r="F38" s="43"/>
      <c r="G38" s="44" t="s">
        <v>97</v>
      </c>
      <c r="H38" s="42"/>
      <c r="I38" s="66">
        <v>-1.5046875105570847</v>
      </c>
      <c r="J38" s="66">
        <v>4.6017875883507031</v>
      </c>
      <c r="K38" s="66">
        <v>9.0341267202763067</v>
      </c>
      <c r="L38" s="66">
        <v>9.0236331257472866</v>
      </c>
      <c r="M38" s="66">
        <v>9.1045350506344285</v>
      </c>
      <c r="N38" s="66">
        <v>-1.1534935870336542</v>
      </c>
      <c r="O38" s="66">
        <v>6.324317595392257</v>
      </c>
      <c r="P38" s="66">
        <v>10.361983408195316</v>
      </c>
      <c r="Q38" s="66">
        <v>9.719759031582079</v>
      </c>
      <c r="R38" s="66">
        <v>10.076071303634135</v>
      </c>
      <c r="S38" s="42"/>
      <c r="T38" s="42"/>
      <c r="U38" s="42"/>
      <c r="W38" s="83"/>
      <c r="X38" s="83"/>
      <c r="Y38" s="83"/>
      <c r="Z38" s="56"/>
      <c r="AA38" s="56"/>
    </row>
    <row r="39" spans="1:30" ht="14.5" customHeight="1" x14ac:dyDescent="0.35">
      <c r="A39" s="30" t="s">
        <v>36</v>
      </c>
      <c r="B39" s="30" t="s">
        <v>24</v>
      </c>
      <c r="C39" s="30" t="s">
        <v>58</v>
      </c>
      <c r="D39" s="64" t="s">
        <v>173</v>
      </c>
      <c r="E39" s="32">
        <v>65</v>
      </c>
      <c r="F39" s="31">
        <v>154.82931497999999</v>
      </c>
      <c r="G39" s="33">
        <v>18327</v>
      </c>
      <c r="H39" s="21"/>
      <c r="I39" s="34">
        <v>-1.5920008937548857</v>
      </c>
      <c r="J39" s="34">
        <v>5.4910179640718537</v>
      </c>
      <c r="K39" s="34">
        <v>9.0228625363435242</v>
      </c>
      <c r="L39" s="34">
        <v>8.6882379491241437</v>
      </c>
      <c r="M39" s="34">
        <v>9.1007442367092573</v>
      </c>
      <c r="N39" s="34">
        <v>-1.0181307883007307</v>
      </c>
      <c r="O39" s="34">
        <v>6.4948339035051594</v>
      </c>
      <c r="P39" s="34">
        <v>9.8618686958473525</v>
      </c>
      <c r="Q39" s="34">
        <v>9.5366242414200997</v>
      </c>
      <c r="R39" s="34">
        <v>9.9190711466201407</v>
      </c>
      <c r="S39" s="22"/>
      <c r="T39" s="34">
        <v>10.013093142613316</v>
      </c>
      <c r="U39" s="34">
        <v>11.12094943059263</v>
      </c>
      <c r="W39" s="82">
        <v>0.49</v>
      </c>
      <c r="X39" s="82">
        <v>0.73</v>
      </c>
      <c r="Y39" s="82" t="s">
        <v>90</v>
      </c>
      <c r="Z39" s="56"/>
      <c r="AA39" s="56"/>
    </row>
    <row r="40" spans="1:30" ht="14.5" customHeight="1" x14ac:dyDescent="0.35">
      <c r="A40" s="30" t="s">
        <v>175</v>
      </c>
      <c r="B40" s="30" t="s">
        <v>22</v>
      </c>
      <c r="C40" s="30" t="s">
        <v>181</v>
      </c>
      <c r="D40" s="64" t="s">
        <v>173</v>
      </c>
      <c r="E40" s="32">
        <v>61.18</v>
      </c>
      <c r="F40" s="31">
        <v>230.1633383974</v>
      </c>
      <c r="G40" s="33">
        <v>22344</v>
      </c>
      <c r="H40" s="21"/>
      <c r="I40" s="34">
        <v>0.73546311192829172</v>
      </c>
      <c r="J40" s="34">
        <v>6.3125341095142895</v>
      </c>
      <c r="K40" s="34">
        <v>9.2180462023540457</v>
      </c>
      <c r="L40" s="34">
        <v>9.05863241832472</v>
      </c>
      <c r="M40" s="34">
        <v>9.0196111308793459</v>
      </c>
      <c r="N40" s="34">
        <v>-0.29856328940601751</v>
      </c>
      <c r="O40" s="34">
        <v>6.3845961965624198</v>
      </c>
      <c r="P40" s="34">
        <v>10.187573040307218</v>
      </c>
      <c r="Q40" s="34">
        <v>8.9405331985674898</v>
      </c>
      <c r="R40" s="34">
        <v>9.3801536197066326</v>
      </c>
      <c r="S40" s="22"/>
      <c r="T40" s="34">
        <v>8.2354620596417956</v>
      </c>
      <c r="U40" s="34">
        <v>10.999502675443622</v>
      </c>
      <c r="W40" s="82">
        <v>0.5</v>
      </c>
      <c r="X40" s="82">
        <v>1.1000000000000001</v>
      </c>
      <c r="Y40" s="82">
        <v>1.1000000000000001</v>
      </c>
      <c r="Z40" s="56"/>
      <c r="AA40" s="56"/>
    </row>
    <row r="41" spans="1:30" ht="14.5" customHeight="1" x14ac:dyDescent="0.35">
      <c r="A41" s="30" t="s">
        <v>87</v>
      </c>
      <c r="B41" s="30" t="s">
        <v>21</v>
      </c>
      <c r="C41" s="30" t="s">
        <v>59</v>
      </c>
      <c r="D41" s="64" t="s">
        <v>173</v>
      </c>
      <c r="E41" s="32">
        <v>63.3</v>
      </c>
      <c r="F41" s="31">
        <v>521.42866243000003</v>
      </c>
      <c r="G41" s="33">
        <v>53066</v>
      </c>
      <c r="H41" s="21"/>
      <c r="I41" s="34">
        <v>-1.6556475359742251</v>
      </c>
      <c r="J41" s="34">
        <v>4.9756849721266816</v>
      </c>
      <c r="K41" s="34">
        <v>9.0596614141697618</v>
      </c>
      <c r="L41" s="34">
        <v>8.80293184338543</v>
      </c>
      <c r="M41" s="34">
        <v>9.1805980620188965</v>
      </c>
      <c r="N41" s="34">
        <v>-0.94644881112461166</v>
      </c>
      <c r="O41" s="34">
        <v>6.8885664373217637</v>
      </c>
      <c r="P41" s="34">
        <v>11.129883972021503</v>
      </c>
      <c r="Q41" s="34">
        <v>10.427663728409531</v>
      </c>
      <c r="R41" s="34">
        <v>10.823656456952136</v>
      </c>
      <c r="S41" s="22"/>
      <c r="T41" s="34">
        <v>9.7733901559058634</v>
      </c>
      <c r="U41" s="34">
        <v>11.574156813500888</v>
      </c>
      <c r="W41" s="82">
        <v>0.5</v>
      </c>
      <c r="X41" s="82" t="s">
        <v>90</v>
      </c>
      <c r="Y41" s="82">
        <v>0.77</v>
      </c>
      <c r="Z41" s="56"/>
      <c r="AA41" s="56"/>
    </row>
    <row r="42" spans="1:30" ht="14.5" customHeight="1" x14ac:dyDescent="0.35">
      <c r="A42" s="30" t="s">
        <v>88</v>
      </c>
      <c r="B42" s="30" t="s">
        <v>23</v>
      </c>
      <c r="C42" s="30" t="s">
        <v>105</v>
      </c>
      <c r="D42" s="64" t="s">
        <v>173</v>
      </c>
      <c r="E42" s="32">
        <v>65</v>
      </c>
      <c r="F42" s="31">
        <v>738.19649703999994</v>
      </c>
      <c r="G42" s="33">
        <v>93951</v>
      </c>
      <c r="H42" s="21"/>
      <c r="I42" s="34">
        <v>-2.2335423197492155</v>
      </c>
      <c r="J42" s="34">
        <v>3.208840562581261</v>
      </c>
      <c r="K42" s="34">
        <v>8.3930611891960716</v>
      </c>
      <c r="L42" s="34">
        <v>9.2963416013582822</v>
      </c>
      <c r="M42" s="34">
        <v>9.4809761292587105</v>
      </c>
      <c r="N42" s="34">
        <v>-1.512485450949197</v>
      </c>
      <c r="O42" s="34">
        <v>6.2313065333005513</v>
      </c>
      <c r="P42" s="34">
        <v>10.167075739886599</v>
      </c>
      <c r="Q42" s="34">
        <v>9.7764824561761277</v>
      </c>
      <c r="R42" s="34">
        <v>10.096112413802881</v>
      </c>
      <c r="S42" s="22"/>
      <c r="T42" s="34">
        <v>10.142256444272295</v>
      </c>
      <c r="U42" s="34">
        <v>11.70034588754265</v>
      </c>
      <c r="W42" s="82">
        <v>0.41000000000000003</v>
      </c>
      <c r="X42" s="82" t="s">
        <v>90</v>
      </c>
      <c r="Y42" s="82">
        <v>0.64700000000000002</v>
      </c>
      <c r="Z42" s="56"/>
      <c r="AA42" s="56"/>
    </row>
    <row r="43" spans="1:30" ht="14.5" customHeight="1" x14ac:dyDescent="0.35">
      <c r="A43" s="30" t="s">
        <v>115</v>
      </c>
      <c r="B43" s="30" t="s">
        <v>25</v>
      </c>
      <c r="C43" s="30" t="s">
        <v>120</v>
      </c>
      <c r="D43" s="64" t="s">
        <v>173</v>
      </c>
      <c r="E43" s="32">
        <v>65</v>
      </c>
      <c r="F43" s="31">
        <v>294.72977043999998</v>
      </c>
      <c r="G43" s="33">
        <v>38784</v>
      </c>
      <c r="H43" s="21"/>
      <c r="I43" s="34">
        <v>-0.96142433234421842</v>
      </c>
      <c r="J43" s="34">
        <v>5.6269384138236678</v>
      </c>
      <c r="K43" s="34">
        <v>10.45688870118806</v>
      </c>
      <c r="L43" s="34">
        <v>8.8799115890175315</v>
      </c>
      <c r="M43" s="34">
        <v>8.195409589251712</v>
      </c>
      <c r="N43" s="34">
        <v>-1.1529812322349731</v>
      </c>
      <c r="O43" s="34">
        <v>5.4851503002257607</v>
      </c>
      <c r="P43" s="34">
        <v>9.8905348849346097</v>
      </c>
      <c r="Q43" s="34">
        <v>9.0300052309236545</v>
      </c>
      <c r="R43" s="34">
        <v>9.4785028174161781</v>
      </c>
      <c r="S43" s="22"/>
      <c r="T43" s="34">
        <v>10.405027846648442</v>
      </c>
      <c r="U43" s="34">
        <v>11.367177362481032</v>
      </c>
      <c r="W43" s="82">
        <v>0.5</v>
      </c>
      <c r="X43" s="82">
        <v>0.89</v>
      </c>
      <c r="Y43" s="82" t="s">
        <v>90</v>
      </c>
      <c r="Z43" s="56"/>
      <c r="AA43" s="56"/>
    </row>
    <row r="44" spans="1:30" ht="14.5" customHeight="1" x14ac:dyDescent="0.35">
      <c r="A44" s="30" t="s">
        <v>123</v>
      </c>
      <c r="B44" s="30" t="s">
        <v>128</v>
      </c>
      <c r="C44" s="30" t="s">
        <v>134</v>
      </c>
      <c r="D44" s="64" t="s">
        <v>174</v>
      </c>
      <c r="E44" s="32">
        <v>100</v>
      </c>
      <c r="F44" s="31">
        <v>30.5079902795</v>
      </c>
      <c r="G44" s="33">
        <v>2789</v>
      </c>
      <c r="H44" s="21"/>
      <c r="I44" s="34">
        <v>-2.9942892421670142</v>
      </c>
      <c r="J44" s="34">
        <v>4.5931103344982516</v>
      </c>
      <c r="K44" s="34" t="s">
        <v>151</v>
      </c>
      <c r="L44" s="34" t="s">
        <v>151</v>
      </c>
      <c r="M44" s="34">
        <v>8.1385822277619813</v>
      </c>
      <c r="N44" s="34">
        <v>-3.1475708963734417</v>
      </c>
      <c r="O44" s="34">
        <v>5.7178423236514453</v>
      </c>
      <c r="P44" s="34" t="s">
        <v>151</v>
      </c>
      <c r="Q44" s="34" t="s">
        <v>151</v>
      </c>
      <c r="R44" s="34">
        <v>8.633746963112344</v>
      </c>
      <c r="S44" s="22"/>
      <c r="T44" s="34" t="s">
        <v>151</v>
      </c>
      <c r="U44" s="34" t="s">
        <v>151</v>
      </c>
      <c r="W44" s="82">
        <v>0.44640000000000002</v>
      </c>
      <c r="X44" s="82">
        <v>0.57769999999999999</v>
      </c>
      <c r="Y44" s="82" t="s">
        <v>90</v>
      </c>
      <c r="Z44" s="56"/>
      <c r="AA44" s="56"/>
    </row>
    <row r="45" spans="1:30" s="45" customFormat="1" ht="18.649999999999999" customHeight="1" x14ac:dyDescent="0.35">
      <c r="A45" s="100" t="s">
        <v>60</v>
      </c>
      <c r="B45" s="100"/>
      <c r="C45" s="100"/>
      <c r="D45" s="97"/>
      <c r="E45" s="42"/>
      <c r="F45" s="43"/>
      <c r="G45" s="44" t="s">
        <v>97</v>
      </c>
      <c r="H45" s="42"/>
      <c r="I45" s="66">
        <v>0.30031142108304432</v>
      </c>
      <c r="J45" s="66">
        <v>5.3115654167353297</v>
      </c>
      <c r="K45" s="66">
        <v>6.6506003728699383</v>
      </c>
      <c r="L45" s="66">
        <v>5.386548119297891</v>
      </c>
      <c r="M45" s="66">
        <v>5.7450638845250275</v>
      </c>
      <c r="N45" s="66">
        <v>0.28193675768879178</v>
      </c>
      <c r="O45" s="66">
        <v>5.9341585718677736</v>
      </c>
      <c r="P45" s="66">
        <v>6.8384284371228805</v>
      </c>
      <c r="Q45" s="66">
        <v>5.0759246282555894</v>
      </c>
      <c r="R45" s="66">
        <v>5.912523329517108</v>
      </c>
      <c r="S45" s="42"/>
      <c r="T45" s="42"/>
      <c r="U45" s="42"/>
      <c r="W45" s="83"/>
      <c r="X45" s="83"/>
      <c r="Y45" s="83"/>
      <c r="Z45" s="56"/>
      <c r="AA45" s="56"/>
    </row>
    <row r="46" spans="1:30" ht="14.5" customHeight="1" x14ac:dyDescent="0.35">
      <c r="A46" s="30" t="s">
        <v>36</v>
      </c>
      <c r="B46" s="30" t="s">
        <v>27</v>
      </c>
      <c r="C46" s="30" t="s">
        <v>61</v>
      </c>
      <c r="D46" s="64" t="s">
        <v>173</v>
      </c>
      <c r="E46" s="32">
        <v>30</v>
      </c>
      <c r="F46" s="31">
        <v>120.39529890999999</v>
      </c>
      <c r="G46" s="33">
        <v>16517</v>
      </c>
      <c r="H46" s="21"/>
      <c r="I46" s="34">
        <v>0.36797889328612499</v>
      </c>
      <c r="J46" s="34">
        <v>6.1536202085475278</v>
      </c>
      <c r="K46" s="34">
        <v>6.5843388991897012</v>
      </c>
      <c r="L46" s="34">
        <v>4.991944709935936</v>
      </c>
      <c r="M46" s="34">
        <v>5.8321460025415606</v>
      </c>
      <c r="N46" s="34">
        <v>0.66667653239411706</v>
      </c>
      <c r="O46" s="34">
        <v>6.5661251743715399</v>
      </c>
      <c r="P46" s="34">
        <v>6.893023704900525</v>
      </c>
      <c r="Q46" s="34">
        <v>5.4610588242536284</v>
      </c>
      <c r="R46" s="34">
        <v>6.3973829442826036</v>
      </c>
      <c r="S46" s="22"/>
      <c r="T46" s="34">
        <v>7.7937351825963619</v>
      </c>
      <c r="U46" s="34">
        <v>8.4503432076234368</v>
      </c>
      <c r="W46" s="82">
        <v>0.49</v>
      </c>
      <c r="X46" s="82">
        <v>0.71</v>
      </c>
      <c r="Y46" s="82" t="s">
        <v>90</v>
      </c>
      <c r="Z46" s="56"/>
      <c r="AA46" s="56"/>
    </row>
    <row r="47" spans="1:30" ht="14.5" customHeight="1" x14ac:dyDescent="0.35">
      <c r="A47" s="30" t="s">
        <v>175</v>
      </c>
      <c r="B47" s="30" t="s">
        <v>29</v>
      </c>
      <c r="C47" s="30" t="s">
        <v>187</v>
      </c>
      <c r="D47" s="64" t="s">
        <v>173</v>
      </c>
      <c r="E47" s="32">
        <v>25.35</v>
      </c>
      <c r="F47" s="31">
        <v>146.18132719260001</v>
      </c>
      <c r="G47" s="33">
        <v>17086</v>
      </c>
      <c r="H47" s="21"/>
      <c r="I47" s="34">
        <v>2.054890921885999</v>
      </c>
      <c r="J47" s="34">
        <v>6.9469026548672375</v>
      </c>
      <c r="K47" s="34">
        <v>7.6370640882359675</v>
      </c>
      <c r="L47" s="34">
        <v>5.7508466249466483</v>
      </c>
      <c r="M47" s="34">
        <v>5.8838755257017761</v>
      </c>
      <c r="N47" s="34">
        <v>1.2835057507440073</v>
      </c>
      <c r="O47" s="34">
        <v>6.539693098449173</v>
      </c>
      <c r="P47" s="34">
        <v>7.5025609990718056</v>
      </c>
      <c r="Q47" s="34">
        <v>4.1665345870566917</v>
      </c>
      <c r="R47" s="34">
        <v>5.1232371415493638</v>
      </c>
      <c r="S47" s="22"/>
      <c r="T47" s="34">
        <v>6.1002115698348209</v>
      </c>
      <c r="U47" s="34">
        <v>7.620265507053821</v>
      </c>
      <c r="W47" s="82">
        <v>0.5</v>
      </c>
      <c r="X47" s="82">
        <v>0.83</v>
      </c>
      <c r="Y47" s="82">
        <v>0.83</v>
      </c>
      <c r="Z47" s="56"/>
      <c r="AA47" s="56"/>
    </row>
    <row r="48" spans="1:30" ht="14.5" customHeight="1" x14ac:dyDescent="0.35">
      <c r="A48" s="30" t="s">
        <v>87</v>
      </c>
      <c r="B48" s="30" t="s">
        <v>28</v>
      </c>
      <c r="C48" s="30" t="s">
        <v>62</v>
      </c>
      <c r="D48" s="64" t="s">
        <v>173</v>
      </c>
      <c r="E48" s="32">
        <v>30.8</v>
      </c>
      <c r="F48" s="31">
        <v>388.46813732999999</v>
      </c>
      <c r="G48" s="33">
        <v>46382</v>
      </c>
      <c r="H48" s="21"/>
      <c r="I48" s="34">
        <v>-6.9449267310217611E-2</v>
      </c>
      <c r="J48" s="34">
        <v>5.2827979805370573</v>
      </c>
      <c r="K48" s="34">
        <v>6.7633183634255856</v>
      </c>
      <c r="L48" s="34">
        <v>5.319849999502746</v>
      </c>
      <c r="M48" s="34">
        <v>5.7565510824158395</v>
      </c>
      <c r="N48" s="34">
        <v>0.20045768446195211</v>
      </c>
      <c r="O48" s="34">
        <v>5.9116477746031793</v>
      </c>
      <c r="P48" s="34">
        <v>7.3486597379255114</v>
      </c>
      <c r="Q48" s="34">
        <v>5.9459155641245376</v>
      </c>
      <c r="R48" s="34">
        <v>6.7820418248055736</v>
      </c>
      <c r="S48" s="22"/>
      <c r="T48" s="34">
        <v>6.8321220344025146</v>
      </c>
      <c r="U48" s="34">
        <v>8.3850118306401633</v>
      </c>
      <c r="W48" s="82">
        <v>0.5</v>
      </c>
      <c r="X48" s="82" t="s">
        <v>90</v>
      </c>
      <c r="Y48" s="82">
        <v>0.67</v>
      </c>
      <c r="Z48" s="56"/>
      <c r="AA48" s="56"/>
    </row>
    <row r="49" spans="1:27" ht="14.5" customHeight="1" x14ac:dyDescent="0.35">
      <c r="A49" s="30" t="s">
        <v>88</v>
      </c>
      <c r="B49" s="30" t="s">
        <v>26</v>
      </c>
      <c r="C49" s="30" t="s">
        <v>106</v>
      </c>
      <c r="D49" s="64" t="s">
        <v>173</v>
      </c>
      <c r="E49" s="32">
        <v>30</v>
      </c>
      <c r="F49" s="31">
        <v>557.01475972000003</v>
      </c>
      <c r="G49" s="33">
        <v>81516</v>
      </c>
      <c r="H49" s="21"/>
      <c r="I49" s="34">
        <v>-0.22021884247471757</v>
      </c>
      <c r="J49" s="34">
        <v>4.4295592048400945</v>
      </c>
      <c r="K49" s="34">
        <v>6.2204547935116761</v>
      </c>
      <c r="L49" s="34">
        <v>5.7986256547793102</v>
      </c>
      <c r="M49" s="34">
        <v>6.2100366264496998</v>
      </c>
      <c r="N49" s="34">
        <v>-0.10663882811674519</v>
      </c>
      <c r="O49" s="34">
        <v>5.8449956582706131</v>
      </c>
      <c r="P49" s="34">
        <v>6.5885288863009706</v>
      </c>
      <c r="Q49" s="34">
        <v>4.7911219022803708</v>
      </c>
      <c r="R49" s="34">
        <v>5.7544873571026001</v>
      </c>
      <c r="S49" s="22"/>
      <c r="T49" s="34">
        <v>7.0438020542744839</v>
      </c>
      <c r="U49" s="34">
        <v>8.876527388434182</v>
      </c>
      <c r="W49" s="82">
        <v>0.41000000000000003</v>
      </c>
      <c r="X49" s="82" t="s">
        <v>90</v>
      </c>
      <c r="Y49" s="82">
        <v>0.4874</v>
      </c>
      <c r="Z49" s="56"/>
      <c r="AA49" s="56"/>
    </row>
    <row r="50" spans="1:27" ht="14.5" customHeight="1" x14ac:dyDescent="0.35">
      <c r="A50" s="30" t="s">
        <v>115</v>
      </c>
      <c r="B50" s="30" t="s">
        <v>30</v>
      </c>
      <c r="C50" s="30" t="s">
        <v>121</v>
      </c>
      <c r="D50" s="64" t="s">
        <v>173</v>
      </c>
      <c r="E50" s="32">
        <v>30</v>
      </c>
      <c r="F50" s="31">
        <v>248.03188988999997</v>
      </c>
      <c r="G50" s="33">
        <v>35785</v>
      </c>
      <c r="H50" s="21"/>
      <c r="I50" s="34">
        <v>0.98335854765505548</v>
      </c>
      <c r="J50" s="34">
        <v>5.9692014605492894</v>
      </c>
      <c r="K50" s="34">
        <v>6.8908319153258457</v>
      </c>
      <c r="L50" s="34">
        <v>4.5424291684089901</v>
      </c>
      <c r="M50" s="34">
        <v>4.5443923084761861</v>
      </c>
      <c r="N50" s="34">
        <v>0.51237556671237527</v>
      </c>
      <c r="O50" s="34">
        <v>5.5065640782334668</v>
      </c>
      <c r="P50" s="34">
        <v>6.1825947950542082</v>
      </c>
      <c r="Q50" s="34">
        <v>4.7019527978393372</v>
      </c>
      <c r="R50" s="34">
        <v>5.1161782003560363</v>
      </c>
      <c r="S50" s="22"/>
      <c r="T50" s="34">
        <v>6.3918141702494173</v>
      </c>
      <c r="U50" s="34">
        <v>6.8991446043173337</v>
      </c>
      <c r="W50" s="82">
        <v>0.5</v>
      </c>
      <c r="X50" s="82">
        <v>0.78</v>
      </c>
      <c r="Y50" s="82" t="s">
        <v>90</v>
      </c>
      <c r="Z50" s="56"/>
      <c r="AA50" s="56"/>
    </row>
    <row r="51" spans="1:27" ht="14.5" customHeight="1" x14ac:dyDescent="0.35">
      <c r="A51" s="30" t="s">
        <v>123</v>
      </c>
      <c r="B51" s="30" t="s">
        <v>129</v>
      </c>
      <c r="C51" s="30" t="s">
        <v>133</v>
      </c>
      <c r="D51" s="64" t="s">
        <v>174</v>
      </c>
      <c r="E51" s="32">
        <v>30</v>
      </c>
      <c r="F51" s="31">
        <v>9.8683631589999994</v>
      </c>
      <c r="G51" s="33">
        <v>1068</v>
      </c>
      <c r="H51" s="21"/>
      <c r="I51" s="34">
        <v>0.25290844714214167</v>
      </c>
      <c r="J51" s="34">
        <v>5.2016985138004124</v>
      </c>
      <c r="K51" s="34" t="s">
        <v>151</v>
      </c>
      <c r="L51" s="34" t="s">
        <v>151</v>
      </c>
      <c r="M51" s="34">
        <v>6.1068059520248852</v>
      </c>
      <c r="N51" s="34">
        <v>0.10020876826724034</v>
      </c>
      <c r="O51" s="34">
        <v>5.9202968984713333</v>
      </c>
      <c r="P51" s="34" t="s">
        <v>151</v>
      </c>
      <c r="Q51" s="34" t="s">
        <v>151</v>
      </c>
      <c r="R51" s="34">
        <v>6.3960088396634696</v>
      </c>
      <c r="S51" s="22"/>
      <c r="T51" s="34" t="s">
        <v>151</v>
      </c>
      <c r="U51" s="34" t="s">
        <v>151</v>
      </c>
      <c r="W51" s="82">
        <v>0.44669999999999999</v>
      </c>
      <c r="X51" s="82">
        <v>0.59330000000000005</v>
      </c>
      <c r="Y51" s="82" t="s">
        <v>90</v>
      </c>
      <c r="Z51" s="56"/>
      <c r="AA51" s="56"/>
    </row>
    <row r="52" spans="1:27" s="45" customFormat="1" ht="18.649999999999999" customHeight="1" x14ac:dyDescent="0.35">
      <c r="A52" s="101" t="s">
        <v>63</v>
      </c>
      <c r="B52" s="101"/>
      <c r="C52" s="101"/>
      <c r="D52" s="97"/>
      <c r="E52" s="42"/>
      <c r="F52" s="43"/>
      <c r="G52" s="44" t="s">
        <v>97</v>
      </c>
      <c r="H52" s="42"/>
      <c r="I52" s="66">
        <v>0.9446802224953047</v>
      </c>
      <c r="J52" s="66">
        <v>4.9474357832940425</v>
      </c>
      <c r="K52" s="66">
        <v>4.5189103698866075</v>
      </c>
      <c r="L52" s="66">
        <v>2.104038462348699</v>
      </c>
      <c r="M52" s="66">
        <v>2.4984491380586049</v>
      </c>
      <c r="N52" s="66">
        <v>0.88157391700730037</v>
      </c>
      <c r="O52" s="66">
        <v>5.4171736039310803</v>
      </c>
      <c r="P52" s="66">
        <v>4.3453768374755475</v>
      </c>
      <c r="Q52" s="66">
        <v>1.4210171985298687</v>
      </c>
      <c r="R52" s="66">
        <v>2.3868084486470997</v>
      </c>
      <c r="S52" s="42"/>
      <c r="T52" s="42"/>
      <c r="U52" s="42"/>
      <c r="W52" s="83"/>
      <c r="X52" s="83"/>
      <c r="Y52" s="83"/>
      <c r="Z52" s="56"/>
      <c r="AA52" s="56"/>
    </row>
    <row r="53" spans="1:27" ht="14.5" customHeight="1" x14ac:dyDescent="0.35">
      <c r="A53" s="30" t="s">
        <v>36</v>
      </c>
      <c r="B53" s="30" t="s">
        <v>32</v>
      </c>
      <c r="C53" s="30" t="s">
        <v>64</v>
      </c>
      <c r="D53" s="64" t="s">
        <v>173</v>
      </c>
      <c r="E53" s="32">
        <v>10</v>
      </c>
      <c r="F53" s="31">
        <v>11.595625050000001</v>
      </c>
      <c r="G53" s="33">
        <v>1736</v>
      </c>
      <c r="H53" s="21"/>
      <c r="I53" s="34">
        <v>1.101206082852646</v>
      </c>
      <c r="J53" s="34">
        <v>5.6824410743650633</v>
      </c>
      <c r="K53" s="34">
        <v>4.4416458259277869</v>
      </c>
      <c r="L53" s="34">
        <v>1.4643370859116489</v>
      </c>
      <c r="M53" s="34">
        <v>2.2656993133103764</v>
      </c>
      <c r="N53" s="34">
        <v>1.6345834716229746</v>
      </c>
      <c r="O53" s="34">
        <v>6.281716211881383</v>
      </c>
      <c r="P53" s="34">
        <v>4.3494489247098089</v>
      </c>
      <c r="Q53" s="34">
        <v>1.6579875562935387</v>
      </c>
      <c r="R53" s="34">
        <v>3.0100791546050942</v>
      </c>
      <c r="S53" s="22"/>
      <c r="T53" s="34">
        <v>6.0686053393735282</v>
      </c>
      <c r="U53" s="34">
        <v>6.5907309263365228</v>
      </c>
      <c r="W53" s="82">
        <v>0.49</v>
      </c>
      <c r="X53" s="82">
        <v>0.7</v>
      </c>
      <c r="Y53" s="82" t="s">
        <v>90</v>
      </c>
      <c r="Z53" s="56"/>
      <c r="AA53" s="56"/>
    </row>
    <row r="54" spans="1:27" ht="14.5" customHeight="1" x14ac:dyDescent="0.35">
      <c r="A54" s="30" t="s">
        <v>175</v>
      </c>
      <c r="B54" s="30" t="s">
        <v>35</v>
      </c>
      <c r="C54" s="30" t="s">
        <v>182</v>
      </c>
      <c r="D54" s="64" t="s">
        <v>173</v>
      </c>
      <c r="E54" s="32">
        <v>10</v>
      </c>
      <c r="F54" s="31">
        <v>9.9865371580999991</v>
      </c>
      <c r="G54" s="33">
        <v>1295</v>
      </c>
      <c r="H54" s="21"/>
      <c r="I54" s="34">
        <v>1.7947184001367411</v>
      </c>
      <c r="J54" s="34">
        <v>6.0263485846537401</v>
      </c>
      <c r="K54" s="34">
        <v>5.9213477436298456</v>
      </c>
      <c r="L54" s="34">
        <v>2.5245305861369083</v>
      </c>
      <c r="M54" s="34">
        <v>2.7263554342358054</v>
      </c>
      <c r="N54" s="34">
        <v>1.8801722441216473</v>
      </c>
      <c r="O54" s="34">
        <v>6.099995210957343</v>
      </c>
      <c r="P54" s="34">
        <v>5.4897865366269505</v>
      </c>
      <c r="Q54" s="34">
        <v>0.80034866962330753</v>
      </c>
      <c r="R54" s="34">
        <v>1.5862594037937328</v>
      </c>
      <c r="S54" s="22"/>
      <c r="T54" s="34">
        <v>4.6604853641950283</v>
      </c>
      <c r="U54" s="34">
        <v>4.9018960514021801</v>
      </c>
      <c r="W54" s="82">
        <v>0.5</v>
      </c>
      <c r="X54" s="82">
        <v>0.56000000000000005</v>
      </c>
      <c r="Y54" s="82">
        <v>0.56000000000000005</v>
      </c>
      <c r="Z54" s="56"/>
      <c r="AA54" s="56"/>
    </row>
    <row r="55" spans="1:27" ht="14.5" customHeight="1" x14ac:dyDescent="0.35">
      <c r="A55" s="30" t="s">
        <v>87</v>
      </c>
      <c r="B55" s="30" t="s">
        <v>33</v>
      </c>
      <c r="C55" s="30" t="s">
        <v>65</v>
      </c>
      <c r="D55" s="64" t="s">
        <v>173</v>
      </c>
      <c r="E55" s="32">
        <v>18.5</v>
      </c>
      <c r="F55" s="31">
        <v>26.006702000000001</v>
      </c>
      <c r="G55" s="33">
        <v>3372</v>
      </c>
      <c r="H55" s="21"/>
      <c r="I55" s="34">
        <v>0.6516036219006649</v>
      </c>
      <c r="J55" s="34">
        <v>5.2659527391804684</v>
      </c>
      <c r="K55" s="34">
        <v>5.0972117368924152</v>
      </c>
      <c r="L55" s="34">
        <v>2.1478968016187983</v>
      </c>
      <c r="M55" s="34">
        <v>2.7037901863937064</v>
      </c>
      <c r="N55" s="34">
        <v>0.61225105391151668</v>
      </c>
      <c r="O55" s="34">
        <v>5.2399497562427344</v>
      </c>
      <c r="P55" s="34">
        <v>5.0355056373573293</v>
      </c>
      <c r="Q55" s="34">
        <v>2.3266463373259993</v>
      </c>
      <c r="R55" s="34">
        <v>3.2886537960600926</v>
      </c>
      <c r="S55" s="22"/>
      <c r="T55" s="34">
        <v>5.1563641658260613</v>
      </c>
      <c r="U55" s="34">
        <v>6.5602543129364257</v>
      </c>
      <c r="W55" s="82">
        <v>0.5</v>
      </c>
      <c r="X55" s="82">
        <v>0.65</v>
      </c>
      <c r="Y55" s="82" t="s">
        <v>90</v>
      </c>
      <c r="Z55" s="56"/>
      <c r="AA55" s="56"/>
    </row>
    <row r="56" spans="1:27" ht="14.5" customHeight="1" x14ac:dyDescent="0.35">
      <c r="A56" s="30" t="s">
        <v>88</v>
      </c>
      <c r="B56" s="30" t="s">
        <v>31</v>
      </c>
      <c r="C56" s="30" t="s">
        <v>66</v>
      </c>
      <c r="D56" s="64" t="s">
        <v>173</v>
      </c>
      <c r="E56" s="32">
        <v>15</v>
      </c>
      <c r="F56" s="31">
        <v>39.939362810000006</v>
      </c>
      <c r="G56" s="33">
        <v>3261</v>
      </c>
      <c r="H56" s="21"/>
      <c r="I56" s="34">
        <v>0.14702066937644087</v>
      </c>
      <c r="J56" s="34">
        <v>3.5592917188338236</v>
      </c>
      <c r="K56" s="34">
        <v>3.7672685521201954</v>
      </c>
      <c r="L56" s="34">
        <v>1.9288891039122236</v>
      </c>
      <c r="M56" s="34">
        <v>2.2820094483088527</v>
      </c>
      <c r="N56" s="34">
        <v>0.43781372002231755</v>
      </c>
      <c r="O56" s="34">
        <v>5.2891302564315401</v>
      </c>
      <c r="P56" s="34">
        <v>4.1034606173913968</v>
      </c>
      <c r="Q56" s="34">
        <v>0.43796509986802068</v>
      </c>
      <c r="R56" s="34">
        <v>1.7098339171593313</v>
      </c>
      <c r="S56" s="22"/>
      <c r="T56" s="34">
        <v>4.729904572181546</v>
      </c>
      <c r="U56" s="34">
        <v>7.2875959734616567</v>
      </c>
      <c r="W56" s="82">
        <v>0.41000000000000003</v>
      </c>
      <c r="X56" s="82" t="s">
        <v>90</v>
      </c>
      <c r="Y56" s="82">
        <v>0.43020000000000003</v>
      </c>
      <c r="Z56" s="56"/>
      <c r="AA56" s="56"/>
    </row>
    <row r="57" spans="1:27" ht="14.5" customHeight="1" x14ac:dyDescent="0.35">
      <c r="A57" s="30" t="s">
        <v>115</v>
      </c>
      <c r="B57" s="30" t="s">
        <v>34</v>
      </c>
      <c r="C57" s="30" t="s">
        <v>122</v>
      </c>
      <c r="D57" s="64" t="s">
        <v>173</v>
      </c>
      <c r="E57" s="32">
        <v>15</v>
      </c>
      <c r="F57" s="31">
        <v>23.097378510000002</v>
      </c>
      <c r="G57" s="33">
        <v>3170</v>
      </c>
      <c r="H57" s="21"/>
      <c r="I57" s="34">
        <v>2.2059457130547022</v>
      </c>
      <c r="J57" s="34">
        <v>6.1577016020764264</v>
      </c>
      <c r="K57" s="34">
        <v>4.5999075133861922</v>
      </c>
      <c r="L57" s="34">
        <v>2.4968631326993229</v>
      </c>
      <c r="M57" s="34">
        <v>2.6599090381975277</v>
      </c>
      <c r="N57" s="34">
        <v>1.1377863760629214</v>
      </c>
      <c r="O57" s="34">
        <v>5.1088749602296479</v>
      </c>
      <c r="P57" s="34">
        <v>3.4897861162416444</v>
      </c>
      <c r="Q57" s="34">
        <v>2.2505726909984647</v>
      </c>
      <c r="R57" s="34">
        <v>2.5703912560507636</v>
      </c>
      <c r="S57" s="22"/>
      <c r="T57" s="34">
        <v>3.9007366908096017</v>
      </c>
      <c r="U57" s="34">
        <v>4.0348179742867192</v>
      </c>
      <c r="W57" s="82">
        <v>0.5</v>
      </c>
      <c r="X57" s="82">
        <v>0.7</v>
      </c>
      <c r="Y57" s="82" t="s">
        <v>90</v>
      </c>
    </row>
    <row r="58" spans="1:27" ht="14.5" customHeight="1" x14ac:dyDescent="0.35">
      <c r="A58" s="30" t="s">
        <v>123</v>
      </c>
      <c r="B58" s="30" t="s">
        <v>130</v>
      </c>
      <c r="C58" s="30" t="s">
        <v>132</v>
      </c>
      <c r="D58" s="64" t="s">
        <v>174</v>
      </c>
      <c r="E58" s="32">
        <v>0</v>
      </c>
      <c r="F58" s="31">
        <v>9.5425633499999996E-2</v>
      </c>
      <c r="G58" s="33">
        <v>16</v>
      </c>
      <c r="H58" s="21"/>
      <c r="I58" s="34">
        <v>1.4067220543806824</v>
      </c>
      <c r="J58" s="34">
        <v>3.9686380795663778</v>
      </c>
      <c r="K58" s="34" t="s">
        <v>151</v>
      </c>
      <c r="L58" s="34" t="s">
        <v>151</v>
      </c>
      <c r="M58" s="34">
        <v>2.4754408357896329</v>
      </c>
      <c r="N58" s="34">
        <v>1.9893166328973866</v>
      </c>
      <c r="O58" s="34">
        <v>5.4164683484055232</v>
      </c>
      <c r="P58" s="34" t="s">
        <v>151</v>
      </c>
      <c r="Q58" s="34" t="s">
        <v>151</v>
      </c>
      <c r="R58" s="34">
        <v>3.5513383944150378</v>
      </c>
      <c r="S58" s="22"/>
      <c r="T58" s="34" t="s">
        <v>151</v>
      </c>
      <c r="U58" s="34" t="s">
        <v>151</v>
      </c>
      <c r="W58" s="82">
        <v>0.44850000000000001</v>
      </c>
      <c r="X58" s="82">
        <v>0.59950000000000003</v>
      </c>
      <c r="Y58" s="82" t="s">
        <v>90</v>
      </c>
    </row>
    <row r="59" spans="1:27" s="45" customFormat="1" ht="18.649999999999999" customHeight="1" x14ac:dyDescent="0.35">
      <c r="A59" s="100" t="s">
        <v>67</v>
      </c>
      <c r="B59" s="100"/>
      <c r="C59" s="100"/>
      <c r="D59" s="97"/>
      <c r="E59" s="42"/>
      <c r="F59" s="43"/>
      <c r="G59" s="44" t="s">
        <v>97</v>
      </c>
      <c r="H59" s="42"/>
      <c r="I59" s="66">
        <v>0.80964867139409091</v>
      </c>
      <c r="J59" s="66">
        <v>5.1613734806125509</v>
      </c>
      <c r="K59" s="66">
        <v>4.4019796445292005</v>
      </c>
      <c r="L59" s="66">
        <v>1.8786592565535711</v>
      </c>
      <c r="M59" s="66">
        <v>2.1570702241280379</v>
      </c>
      <c r="N59" s="66">
        <v>0.78098449921188229</v>
      </c>
      <c r="O59" s="66">
        <v>5.0900644344888129</v>
      </c>
      <c r="P59" s="66">
        <v>3.7731049488346864</v>
      </c>
      <c r="Q59" s="66">
        <v>1.0496429526258912</v>
      </c>
      <c r="R59" s="66">
        <v>1.7258736186123902</v>
      </c>
      <c r="S59" s="42"/>
      <c r="T59" s="42"/>
      <c r="U59" s="42"/>
      <c r="W59" s="83"/>
      <c r="X59" s="83"/>
      <c r="Y59" s="83"/>
    </row>
    <row r="60" spans="1:27" ht="14.5" customHeight="1" x14ac:dyDescent="0.35">
      <c r="A60" s="30" t="s">
        <v>36</v>
      </c>
      <c r="B60" s="30" t="s">
        <v>40</v>
      </c>
      <c r="C60" s="30" t="s">
        <v>109</v>
      </c>
      <c r="D60" s="64" t="s">
        <v>173</v>
      </c>
      <c r="E60" s="89">
        <v>10</v>
      </c>
      <c r="F60" s="31">
        <v>14.266344480000001</v>
      </c>
      <c r="G60" s="33">
        <v>3083</v>
      </c>
      <c r="H60" s="21"/>
      <c r="I60" s="34">
        <v>0.51588379038827181</v>
      </c>
      <c r="J60" s="34">
        <v>4.714312653215158</v>
      </c>
      <c r="K60" s="34">
        <v>3.2872563564034563</v>
      </c>
      <c r="L60" s="34">
        <v>1.0478160315417817</v>
      </c>
      <c r="M60" s="34">
        <v>1.626599819864083</v>
      </c>
      <c r="N60" s="34">
        <v>1.8015375152661273</v>
      </c>
      <c r="O60" s="34">
        <v>6.0639722245306782</v>
      </c>
      <c r="P60" s="34">
        <v>3.6594810352891916</v>
      </c>
      <c r="Q60" s="34">
        <v>1.5417059774756492</v>
      </c>
      <c r="R60" s="34">
        <v>2.1544228124459552</v>
      </c>
      <c r="S60" s="22"/>
      <c r="T60" s="34">
        <v>4.6993202940945604</v>
      </c>
      <c r="U60" s="34">
        <v>4.7981772940272585</v>
      </c>
      <c r="W60" s="82">
        <v>0.19</v>
      </c>
      <c r="X60" s="82">
        <v>0.34</v>
      </c>
      <c r="Y60" s="82" t="s">
        <v>90</v>
      </c>
    </row>
    <row r="61" spans="1:27" ht="14.5" customHeight="1" x14ac:dyDescent="0.35">
      <c r="A61" s="30" t="s">
        <v>175</v>
      </c>
      <c r="B61" s="30" t="s">
        <v>38</v>
      </c>
      <c r="C61" s="30" t="s">
        <v>183</v>
      </c>
      <c r="D61" s="64" t="s">
        <v>173</v>
      </c>
      <c r="E61" s="89">
        <v>17</v>
      </c>
      <c r="F61" s="31">
        <v>16.6359027498</v>
      </c>
      <c r="G61" s="33">
        <v>2745</v>
      </c>
      <c r="H61" s="21"/>
      <c r="I61" s="34">
        <v>1.205222631402747</v>
      </c>
      <c r="J61" s="34">
        <v>5.6808250305890429</v>
      </c>
      <c r="K61" s="34">
        <v>4.7516324075703498</v>
      </c>
      <c r="L61" s="34">
        <v>2.5837697598702025</v>
      </c>
      <c r="M61" s="34">
        <v>2.964934379679951</v>
      </c>
      <c r="N61" s="34">
        <v>1.3375777203726402</v>
      </c>
      <c r="O61" s="34">
        <v>5.7598524727339173</v>
      </c>
      <c r="P61" s="34">
        <v>4.3151155235652938</v>
      </c>
      <c r="Q61" s="34">
        <v>2.2000539941901875</v>
      </c>
      <c r="R61" s="34">
        <v>2.7197214271255321</v>
      </c>
      <c r="S61" s="22"/>
      <c r="T61" s="34">
        <v>4.1126782407002445</v>
      </c>
      <c r="U61" s="34">
        <v>4.0993364355506863</v>
      </c>
      <c r="W61" s="82">
        <v>0.2</v>
      </c>
      <c r="X61" s="82">
        <v>0.28000000000000003</v>
      </c>
      <c r="Y61" s="82">
        <v>0.28000000000000003</v>
      </c>
    </row>
    <row r="62" spans="1:27" ht="14.5" customHeight="1" x14ac:dyDescent="0.35">
      <c r="A62" s="30" t="s">
        <v>87</v>
      </c>
      <c r="B62" s="30" t="s">
        <v>37</v>
      </c>
      <c r="C62" s="30" t="s">
        <v>68</v>
      </c>
      <c r="D62" s="64" t="s">
        <v>173</v>
      </c>
      <c r="E62" s="89">
        <v>15</v>
      </c>
      <c r="F62" s="31">
        <v>65.023501600000003</v>
      </c>
      <c r="G62" s="33">
        <v>7907</v>
      </c>
      <c r="H62" s="21"/>
      <c r="I62" s="34">
        <v>0.73202614379084263</v>
      </c>
      <c r="J62" s="34">
        <v>5.0436205016357594</v>
      </c>
      <c r="K62" s="34">
        <v>4.510705685584715</v>
      </c>
      <c r="L62" s="34">
        <v>1.936484037441133</v>
      </c>
      <c r="M62" s="34">
        <v>2.2534573140237102</v>
      </c>
      <c r="N62" s="34">
        <v>0.50308370044052086</v>
      </c>
      <c r="O62" s="34">
        <v>4.4828205259725529</v>
      </c>
      <c r="P62" s="34">
        <v>3.7496771566007947</v>
      </c>
      <c r="Q62" s="34">
        <v>1.4634384307210091</v>
      </c>
      <c r="R62" s="34">
        <v>2.0456129645872734</v>
      </c>
      <c r="S62" s="22"/>
      <c r="T62" s="34">
        <v>4.767986714353305</v>
      </c>
      <c r="U62" s="34">
        <v>6.0913831813513921</v>
      </c>
      <c r="W62" s="82">
        <v>0.2</v>
      </c>
      <c r="X62" s="82">
        <v>0.32</v>
      </c>
      <c r="Y62" s="82" t="s">
        <v>90</v>
      </c>
    </row>
    <row r="63" spans="1:27" ht="14.5" customHeight="1" x14ac:dyDescent="0.35">
      <c r="A63" s="30" t="s">
        <v>88</v>
      </c>
      <c r="B63" s="30" t="s">
        <v>39</v>
      </c>
      <c r="C63" s="30" t="s">
        <v>69</v>
      </c>
      <c r="D63" s="64" t="s">
        <v>173</v>
      </c>
      <c r="E63" s="89">
        <v>15</v>
      </c>
      <c r="F63" s="31">
        <v>81.109962069999995</v>
      </c>
      <c r="G63" s="33">
        <v>8997</v>
      </c>
      <c r="H63" s="21"/>
      <c r="I63" s="34">
        <v>0.29455081001470429</v>
      </c>
      <c r="J63" s="34">
        <v>4.8071700162954922</v>
      </c>
      <c r="K63" s="34">
        <v>4.7896270676334174</v>
      </c>
      <c r="L63" s="34">
        <v>2.2225487195665972</v>
      </c>
      <c r="M63" s="34">
        <v>2.2779332558511944</v>
      </c>
      <c r="N63" s="34">
        <v>0.43776640541353107</v>
      </c>
      <c r="O63" s="34">
        <v>5.2890192673072045</v>
      </c>
      <c r="P63" s="34">
        <v>4.103427702816842</v>
      </c>
      <c r="Q63" s="34">
        <v>0.22218221884089395</v>
      </c>
      <c r="R63" s="34">
        <v>1.3348273530354948</v>
      </c>
      <c r="S63" s="22"/>
      <c r="T63" s="34">
        <v>5.1808691992139755</v>
      </c>
      <c r="U63" s="34">
        <v>7.2875990726562243</v>
      </c>
      <c r="W63" s="82">
        <v>0.2</v>
      </c>
      <c r="X63" s="82" t="s">
        <v>90</v>
      </c>
      <c r="Y63" s="82">
        <v>0.2208</v>
      </c>
    </row>
    <row r="64" spans="1:27" ht="14.5" customHeight="1" x14ac:dyDescent="0.35">
      <c r="A64" s="30" t="s">
        <v>115</v>
      </c>
      <c r="B64" s="30" t="s">
        <v>41</v>
      </c>
      <c r="C64" s="30" t="s">
        <v>140</v>
      </c>
      <c r="D64" s="64" t="s">
        <v>173</v>
      </c>
      <c r="E64" s="89">
        <v>10</v>
      </c>
      <c r="F64" s="31">
        <v>38.142211600000003</v>
      </c>
      <c r="G64" s="33">
        <v>7446</v>
      </c>
      <c r="H64" s="21"/>
      <c r="I64" s="34">
        <v>1.953736982766574</v>
      </c>
      <c r="J64" s="34">
        <v>6.0690316395014543</v>
      </c>
      <c r="K64" s="34">
        <v>3.6567271426285908</v>
      </c>
      <c r="L64" s="34">
        <v>1.0520190640911364</v>
      </c>
      <c r="M64" s="34">
        <v>1.5659784353051487</v>
      </c>
      <c r="N64" s="34">
        <v>1.334253657361506</v>
      </c>
      <c r="O64" s="34">
        <v>5.0440256163009956</v>
      </c>
      <c r="P64" s="34">
        <v>2.9167060954624402</v>
      </c>
      <c r="Q64" s="34">
        <v>1.4180225085609122</v>
      </c>
      <c r="R64" s="34">
        <v>1.3876303531836776</v>
      </c>
      <c r="S64" s="22"/>
      <c r="T64" s="34">
        <v>3.5644314676369895</v>
      </c>
      <c r="U64" s="34">
        <v>3.583863930020144</v>
      </c>
      <c r="W64" s="82">
        <v>0.2</v>
      </c>
      <c r="X64" s="82">
        <v>0.37</v>
      </c>
      <c r="Y64" s="82" t="s">
        <v>90</v>
      </c>
    </row>
    <row r="65" spans="1:25" ht="14.5" customHeight="1" x14ac:dyDescent="0.35">
      <c r="A65" s="30" t="s">
        <v>123</v>
      </c>
      <c r="B65" s="30" t="s">
        <v>131</v>
      </c>
      <c r="C65" s="30" t="s">
        <v>139</v>
      </c>
      <c r="D65" s="64" t="s">
        <v>174</v>
      </c>
      <c r="E65" s="32">
        <v>0</v>
      </c>
      <c r="F65" s="31">
        <v>0.90079629329999999</v>
      </c>
      <c r="G65" s="33">
        <v>66</v>
      </c>
      <c r="H65" s="21"/>
      <c r="I65" s="34">
        <v>1.6966629171353498</v>
      </c>
      <c r="J65" s="34">
        <v>4.609005881785766</v>
      </c>
      <c r="K65" s="34" t="s">
        <v>151</v>
      </c>
      <c r="L65" s="34" t="s">
        <v>151</v>
      </c>
      <c r="M65" s="34">
        <v>2.8267555601741101</v>
      </c>
      <c r="N65" s="34">
        <v>1.8762251470176405</v>
      </c>
      <c r="O65" s="34">
        <v>5.1647716322990922</v>
      </c>
      <c r="P65" s="34" t="s">
        <v>151</v>
      </c>
      <c r="Q65" s="34" t="s">
        <v>151</v>
      </c>
      <c r="R65" s="34">
        <v>3.0370870290537422</v>
      </c>
      <c r="S65" s="22"/>
      <c r="T65" s="34" t="s">
        <v>151</v>
      </c>
      <c r="U65" s="34" t="s">
        <v>151</v>
      </c>
      <c r="W65" s="82">
        <v>0.17929999999999999</v>
      </c>
      <c r="X65" s="82">
        <v>0.33169999999999999</v>
      </c>
      <c r="Y65" s="82" t="s">
        <v>90</v>
      </c>
    </row>
    <row r="66" spans="1:25" x14ac:dyDescent="0.35">
      <c r="D66" s="8"/>
      <c r="E66" s="19"/>
      <c r="F66" s="92"/>
      <c r="G66" s="20"/>
      <c r="H66" s="7"/>
      <c r="I66" s="9"/>
      <c r="J66" s="9"/>
      <c r="K66" s="9"/>
      <c r="L66" s="9"/>
      <c r="M66" s="9"/>
      <c r="N66" s="10"/>
      <c r="O66" s="10"/>
      <c r="P66" s="10"/>
      <c r="Q66" s="10"/>
      <c r="R66" s="10"/>
      <c r="S66" s="11"/>
      <c r="T66" s="12"/>
      <c r="U66" s="13"/>
      <c r="V66" s="1"/>
      <c r="W66" s="13"/>
      <c r="X66" s="13"/>
      <c r="Y66" s="13"/>
    </row>
    <row r="67" spans="1:25" s="41" customFormat="1" x14ac:dyDescent="0.35">
      <c r="A67" s="35"/>
      <c r="B67" s="35"/>
      <c r="C67" s="35"/>
      <c r="D67" s="35"/>
      <c r="E67" s="36"/>
      <c r="F67" s="37"/>
      <c r="G67" s="38" t="s">
        <v>108</v>
      </c>
      <c r="H67" s="39"/>
      <c r="I67" s="39">
        <v>-2.076139002897853</v>
      </c>
      <c r="J67" s="39">
        <v>4.1985396134151287</v>
      </c>
      <c r="K67" s="39">
        <v>9.2767234963514049</v>
      </c>
      <c r="L67" s="39">
        <v>8.9808360571919881</v>
      </c>
      <c r="M67" s="39">
        <v>8.9458454101175704</v>
      </c>
      <c r="N67" s="39">
        <v>-1.7352040495640473</v>
      </c>
      <c r="O67" s="39">
        <v>6.0289432340902236</v>
      </c>
      <c r="P67" s="39">
        <v>10.776889216460157</v>
      </c>
      <c r="Q67" s="39">
        <v>9.8928850948809099</v>
      </c>
      <c r="R67" s="39">
        <v>10.047503686272551</v>
      </c>
      <c r="S67" s="39"/>
      <c r="T67" s="39"/>
      <c r="U67" s="39"/>
      <c r="V67" s="40"/>
      <c r="W67" s="39"/>
      <c r="X67" s="39"/>
      <c r="Y67" s="39"/>
    </row>
    <row r="68" spans="1:25" x14ac:dyDescent="0.35">
      <c r="A68" s="14"/>
      <c r="B68" s="14"/>
      <c r="C68" s="14"/>
      <c r="D68" s="14"/>
      <c r="E68" s="14"/>
      <c r="F68" s="14"/>
      <c r="G68" s="14"/>
      <c r="H68" s="14"/>
      <c r="I68" s="14"/>
      <c r="J68" s="14"/>
      <c r="K68" s="14"/>
      <c r="L68" s="14"/>
      <c r="M68" s="14"/>
      <c r="N68" s="14"/>
      <c r="O68" s="14"/>
      <c r="P68" s="14"/>
      <c r="Q68" s="14"/>
      <c r="R68" s="14"/>
      <c r="S68" s="14"/>
      <c r="T68" s="14"/>
      <c r="U68" s="14"/>
      <c r="V68" s="1"/>
    </row>
    <row r="69" spans="1:25" s="48" customFormat="1" ht="13.5" x14ac:dyDescent="0.3">
      <c r="A69" s="47" t="s">
        <v>81</v>
      </c>
      <c r="B69" s="47"/>
      <c r="C69" s="47"/>
      <c r="D69" s="47"/>
      <c r="E69" s="47"/>
      <c r="F69" s="47"/>
      <c r="G69" s="47"/>
      <c r="H69" s="47"/>
      <c r="I69" s="47"/>
      <c r="J69" s="47"/>
      <c r="K69" s="47"/>
      <c r="L69" s="47"/>
      <c r="M69" s="47"/>
      <c r="N69" s="47"/>
      <c r="O69" s="47"/>
      <c r="P69" s="47"/>
      <c r="Q69" s="47"/>
      <c r="R69" s="47"/>
      <c r="S69" s="47"/>
      <c r="T69" s="47"/>
    </row>
    <row r="70" spans="1:25" s="48" customFormat="1" ht="13.5" x14ac:dyDescent="0.3">
      <c r="A70" s="47" t="s">
        <v>92</v>
      </c>
      <c r="B70" s="47"/>
      <c r="C70" s="47"/>
      <c r="D70" s="47"/>
      <c r="E70" s="47"/>
      <c r="F70" s="70"/>
      <c r="G70" s="70"/>
      <c r="H70" s="47"/>
      <c r="I70" s="47"/>
      <c r="J70" s="47"/>
      <c r="K70" s="47"/>
      <c r="L70" s="47"/>
      <c r="M70" s="47"/>
      <c r="N70" s="47"/>
      <c r="O70" s="47"/>
      <c r="P70" s="47"/>
      <c r="Q70" s="47"/>
      <c r="R70" s="47"/>
      <c r="S70" s="47"/>
      <c r="T70" s="47"/>
    </row>
    <row r="71" spans="1:25" s="48" customFormat="1" ht="13.5" x14ac:dyDescent="0.3">
      <c r="A71" s="47" t="s">
        <v>94</v>
      </c>
      <c r="B71" s="47"/>
      <c r="C71" s="47"/>
      <c r="D71" s="47"/>
      <c r="E71" s="47"/>
      <c r="F71" s="47"/>
      <c r="G71" s="47"/>
      <c r="H71" s="47"/>
      <c r="I71" s="47"/>
      <c r="J71" s="47"/>
      <c r="K71" s="47"/>
      <c r="L71" s="47"/>
      <c r="M71" s="47"/>
      <c r="N71" s="47"/>
      <c r="O71" s="47"/>
      <c r="P71" s="47"/>
      <c r="Q71" s="47"/>
      <c r="R71" s="47"/>
      <c r="S71" s="47"/>
      <c r="T71" s="47"/>
    </row>
    <row r="72" spans="1:25" s="48" customFormat="1" ht="13.5" x14ac:dyDescent="0.3">
      <c r="A72" s="47" t="s">
        <v>95</v>
      </c>
      <c r="B72" s="47"/>
      <c r="C72" s="47"/>
      <c r="D72" s="47"/>
      <c r="E72" s="47"/>
      <c r="F72" s="47"/>
      <c r="G72" s="47"/>
      <c r="H72" s="47"/>
      <c r="I72" s="47"/>
      <c r="J72" s="47"/>
      <c r="K72" s="47"/>
      <c r="L72" s="47"/>
      <c r="M72" s="47"/>
      <c r="N72" s="47"/>
      <c r="O72" s="47"/>
      <c r="P72" s="47"/>
      <c r="Q72" s="47"/>
      <c r="R72" s="47"/>
      <c r="S72" s="47"/>
      <c r="T72" s="47"/>
    </row>
    <row r="73" spans="1:25" s="48" customFormat="1" ht="13.5" x14ac:dyDescent="0.3">
      <c r="A73" s="47" t="s">
        <v>184</v>
      </c>
      <c r="B73" s="49"/>
      <c r="C73" s="49"/>
      <c r="D73" s="49"/>
      <c r="E73" s="49"/>
      <c r="F73" s="49"/>
      <c r="G73" s="49"/>
      <c r="H73" s="49"/>
      <c r="I73" s="49"/>
      <c r="J73" s="49"/>
      <c r="K73" s="49"/>
      <c r="L73" s="49"/>
      <c r="M73" s="49"/>
      <c r="N73" s="49"/>
      <c r="O73" s="49"/>
      <c r="P73" s="49"/>
      <c r="Q73" s="49"/>
      <c r="R73" s="49"/>
      <c r="S73" s="49"/>
      <c r="T73" s="49"/>
    </row>
    <row r="74" spans="1:25" s="48" customFormat="1" ht="13.5" x14ac:dyDescent="0.3">
      <c r="A74" s="50" t="s">
        <v>114</v>
      </c>
      <c r="B74" s="49"/>
      <c r="C74" s="49"/>
      <c r="D74" s="49"/>
      <c r="E74" s="49"/>
      <c r="F74" s="49"/>
      <c r="G74" s="49"/>
      <c r="H74" s="49"/>
      <c r="I74" s="49"/>
      <c r="J74" s="49"/>
      <c r="K74" s="49"/>
      <c r="L74" s="49"/>
      <c r="M74" s="49"/>
      <c r="N74" s="49"/>
      <c r="O74" s="49"/>
      <c r="P74" s="49"/>
      <c r="Q74" s="49"/>
      <c r="R74" s="49"/>
      <c r="S74" s="49"/>
      <c r="T74" s="49"/>
    </row>
    <row r="75" spans="1:25" s="48" customFormat="1" ht="13.5" x14ac:dyDescent="0.3">
      <c r="A75" s="49" t="s">
        <v>100</v>
      </c>
      <c r="B75" s="49"/>
      <c r="C75" s="49"/>
      <c r="D75" s="49"/>
      <c r="E75" s="49"/>
      <c r="F75" s="49"/>
      <c r="G75" s="49"/>
      <c r="H75" s="49"/>
      <c r="I75" s="49"/>
      <c r="J75" s="49"/>
      <c r="K75" s="49"/>
      <c r="L75" s="49"/>
      <c r="M75" s="49"/>
      <c r="N75" s="49"/>
      <c r="O75" s="49"/>
      <c r="P75" s="49"/>
      <c r="Q75" s="49"/>
      <c r="R75" s="49"/>
      <c r="S75" s="49"/>
      <c r="T75" s="49"/>
    </row>
    <row r="76" spans="1:25" s="48" customFormat="1" ht="13.5" x14ac:dyDescent="0.3">
      <c r="A76" s="49" t="s">
        <v>107</v>
      </c>
      <c r="B76" s="49"/>
      <c r="C76" s="49"/>
      <c r="D76" s="49"/>
      <c r="E76" s="49"/>
      <c r="F76" s="49"/>
      <c r="G76" s="49"/>
      <c r="H76" s="49"/>
      <c r="I76" s="49"/>
      <c r="J76" s="49"/>
      <c r="K76" s="49"/>
      <c r="L76" s="49"/>
      <c r="M76" s="49"/>
      <c r="N76" s="49"/>
      <c r="O76" s="49"/>
      <c r="P76" s="49"/>
      <c r="Q76" s="49"/>
      <c r="R76" s="49"/>
      <c r="S76" s="49"/>
      <c r="T76" s="49"/>
    </row>
    <row r="77" spans="1:25" x14ac:dyDescent="0.35">
      <c r="A77" s="47" t="s">
        <v>144</v>
      </c>
      <c r="D77" s="7"/>
      <c r="E77" s="7"/>
      <c r="F77" s="7"/>
      <c r="G77" s="7"/>
      <c r="H77" s="7"/>
      <c r="I77" s="7"/>
      <c r="J77" s="7"/>
      <c r="K77" s="7"/>
      <c r="L77" s="7"/>
      <c r="M77" s="7"/>
      <c r="N77" s="7"/>
      <c r="O77" s="7"/>
      <c r="P77" s="7"/>
      <c r="Q77" s="7"/>
      <c r="R77" s="7"/>
      <c r="S77" s="7"/>
      <c r="T77" s="7"/>
    </row>
    <row r="78" spans="1:25" x14ac:dyDescent="0.35">
      <c r="A78" s="47" t="s">
        <v>145</v>
      </c>
    </row>
    <row r="79" spans="1:25" x14ac:dyDescent="0.35">
      <c r="A79" s="47" t="s">
        <v>148</v>
      </c>
    </row>
    <row r="80" spans="1:25" x14ac:dyDescent="0.35">
      <c r="A80" s="47" t="s">
        <v>147</v>
      </c>
      <c r="E80" s="63"/>
      <c r="F80" s="63"/>
      <c r="G80" s="63"/>
    </row>
    <row r="81" spans="1:22" x14ac:dyDescent="0.35">
      <c r="A81" s="86" t="s">
        <v>168</v>
      </c>
      <c r="E81" s="63"/>
      <c r="F81" s="63"/>
      <c r="G81" s="63"/>
      <c r="I81" s="57"/>
      <c r="J81" s="57"/>
      <c r="K81" s="57"/>
      <c r="L81" s="57"/>
      <c r="M81" s="57"/>
      <c r="N81" s="57"/>
      <c r="O81" s="57"/>
      <c r="P81" s="57"/>
      <c r="Q81" s="57"/>
      <c r="R81" s="57"/>
      <c r="S81" s="57"/>
      <c r="T81" s="57"/>
      <c r="U81" s="57"/>
      <c r="V81" s="57"/>
    </row>
    <row r="82" spans="1:22" x14ac:dyDescent="0.35">
      <c r="A82" s="84"/>
      <c r="E82" s="5"/>
      <c r="F82" s="63"/>
      <c r="G82" s="58"/>
      <c r="I82" s="60"/>
      <c r="J82" s="60"/>
      <c r="K82" s="60"/>
      <c r="L82" s="60"/>
      <c r="M82" s="60"/>
      <c r="N82" s="59"/>
      <c r="O82" s="59"/>
      <c r="P82" s="59"/>
      <c r="Q82" s="59"/>
      <c r="R82" s="59"/>
      <c r="S82" s="57"/>
      <c r="T82" s="57"/>
      <c r="U82" s="57"/>
      <c r="V82" s="57"/>
    </row>
    <row r="83" spans="1:22" x14ac:dyDescent="0.35">
      <c r="A83" s="84"/>
      <c r="E83" s="46"/>
      <c r="F83" s="46"/>
      <c r="G83" s="46"/>
      <c r="K83" s="46"/>
      <c r="L83" s="46"/>
      <c r="M83" s="46"/>
      <c r="N83" s="79"/>
      <c r="O83" s="79"/>
      <c r="P83" s="79"/>
      <c r="Q83" s="79"/>
      <c r="R83" s="79"/>
    </row>
    <row r="84" spans="1:22" x14ac:dyDescent="0.35">
      <c r="A84" s="84"/>
      <c r="E84" s="5"/>
      <c r="F84" s="63"/>
      <c r="G84" s="58"/>
      <c r="I84" s="76"/>
      <c r="J84" s="76"/>
      <c r="K84" s="76"/>
      <c r="L84" s="76"/>
      <c r="M84" s="76"/>
      <c r="N84" s="81"/>
      <c r="O84" s="81"/>
      <c r="P84" s="79"/>
      <c r="Q84" s="79"/>
      <c r="R84" s="79"/>
      <c r="T84" s="75"/>
      <c r="U84" s="75"/>
    </row>
    <row r="85" spans="1:22" x14ac:dyDescent="0.35">
      <c r="A85" s="84"/>
      <c r="E85" s="46"/>
      <c r="F85" s="46"/>
      <c r="G85" s="46"/>
      <c r="I85" s="76"/>
      <c r="J85" s="76"/>
      <c r="K85" s="76"/>
      <c r="L85" s="76"/>
      <c r="M85" s="76"/>
      <c r="N85" s="76"/>
      <c r="O85" s="76"/>
      <c r="P85" s="76"/>
      <c r="Q85" s="76"/>
      <c r="R85" s="76"/>
      <c r="T85" s="76"/>
      <c r="U85" s="76"/>
    </row>
    <row r="86" spans="1:22" x14ac:dyDescent="0.35">
      <c r="A86" s="84"/>
      <c r="E86" s="5"/>
      <c r="F86" s="63"/>
      <c r="G86" s="58"/>
      <c r="I86" s="77"/>
      <c r="J86" s="77"/>
      <c r="K86" s="78"/>
      <c r="L86" s="78"/>
      <c r="M86" s="78"/>
      <c r="N86" s="74"/>
      <c r="O86" s="74"/>
      <c r="P86" s="76"/>
      <c r="Q86" s="76"/>
      <c r="R86" s="76"/>
      <c r="T86" s="76"/>
      <c r="U86" s="76"/>
    </row>
    <row r="87" spans="1:22" x14ac:dyDescent="0.35">
      <c r="A87" s="84"/>
      <c r="E87" s="80"/>
      <c r="F87" s="80"/>
      <c r="G87" s="80"/>
      <c r="I87" s="46"/>
      <c r="J87" s="46"/>
      <c r="K87" s="56"/>
      <c r="L87" s="56"/>
      <c r="M87" s="56"/>
      <c r="N87" s="59"/>
      <c r="O87" s="59"/>
    </row>
    <row r="88" spans="1:22" x14ac:dyDescent="0.35">
      <c r="A88" s="84"/>
      <c r="D88" s="73"/>
      <c r="E88" s="80"/>
      <c r="F88" s="80"/>
      <c r="G88" s="80"/>
    </row>
    <row r="89" spans="1:22" x14ac:dyDescent="0.35">
      <c r="A89" s="84"/>
      <c r="D89" s="73"/>
      <c r="E89" s="6"/>
      <c r="G89" s="56"/>
      <c r="H89" s="56"/>
      <c r="I89" s="56"/>
      <c r="J89" s="56"/>
    </row>
    <row r="90" spans="1:22" x14ac:dyDescent="0.35">
      <c r="G90" s="59"/>
      <c r="H90" s="72"/>
      <c r="I90" s="59"/>
      <c r="J90" s="59"/>
      <c r="K90" s="72"/>
      <c r="L90" s="72"/>
      <c r="M90" s="72"/>
    </row>
    <row r="92" spans="1:22" x14ac:dyDescent="0.35">
      <c r="F92" s="69"/>
    </row>
  </sheetData>
  <mergeCells count="15">
    <mergeCell ref="A3:C3"/>
    <mergeCell ref="W1:Y1"/>
    <mergeCell ref="D1:D2"/>
    <mergeCell ref="F1:F2"/>
    <mergeCell ref="G1:G2"/>
    <mergeCell ref="T1:U1"/>
    <mergeCell ref="I1:R1"/>
    <mergeCell ref="A45:C45"/>
    <mergeCell ref="A52:C52"/>
    <mergeCell ref="A59:C59"/>
    <mergeCell ref="A10:C10"/>
    <mergeCell ref="A17:C17"/>
    <mergeCell ref="A24:C24"/>
    <mergeCell ref="A31:C31"/>
    <mergeCell ref="A38:C38"/>
  </mergeCells>
  <phoneticPr fontId="33" type="noConversion"/>
  <conditionalFormatting sqref="I66:M66">
    <cfRule type="top10" dxfId="70" priority="1370" percent="1" rank="10"/>
  </conditionalFormatting>
  <conditionalFormatting sqref="I3:R65">
    <cfRule type="cellIs" dxfId="69" priority="225" operator="greaterThanOrEqual">
      <formula>0</formula>
    </cfRule>
    <cfRule type="cellIs" dxfId="68" priority="226" operator="lessThan">
      <formula>0</formula>
    </cfRule>
  </conditionalFormatting>
  <conditionalFormatting sqref="T3:U9">
    <cfRule type="cellIs" dxfId="67" priority="703" operator="greaterThanOrEqual">
      <formula>0</formula>
    </cfRule>
    <cfRule type="cellIs" dxfId="66" priority="704" operator="lessThan">
      <formula>0</formula>
    </cfRule>
  </conditionalFormatting>
  <conditionalFormatting sqref="T11:U16">
    <cfRule type="cellIs" dxfId="65" priority="15" operator="greaterThanOrEqual">
      <formula>0</formula>
    </cfRule>
    <cfRule type="cellIs" dxfId="64" priority="16" operator="lessThan">
      <formula>0</formula>
    </cfRule>
  </conditionalFormatting>
  <conditionalFormatting sqref="T18:U23">
    <cfRule type="cellIs" dxfId="63" priority="13" operator="greaterThanOrEqual">
      <formula>0</formula>
    </cfRule>
    <cfRule type="cellIs" dxfId="62" priority="14" operator="lessThan">
      <formula>0</formula>
    </cfRule>
  </conditionalFormatting>
  <conditionalFormatting sqref="T25:U30">
    <cfRule type="cellIs" dxfId="61" priority="11" operator="greaterThanOrEqual">
      <formula>0</formula>
    </cfRule>
    <cfRule type="cellIs" dxfId="60" priority="12" operator="lessThan">
      <formula>0</formula>
    </cfRule>
  </conditionalFormatting>
  <conditionalFormatting sqref="T32:U37">
    <cfRule type="cellIs" dxfId="59" priority="9" operator="greaterThanOrEqual">
      <formula>0</formula>
    </cfRule>
    <cfRule type="cellIs" dxfId="58" priority="10" operator="lessThan">
      <formula>0</formula>
    </cfRule>
  </conditionalFormatting>
  <conditionalFormatting sqref="T39:U44">
    <cfRule type="cellIs" dxfId="57" priority="7" operator="greaterThanOrEqual">
      <formula>0</formula>
    </cfRule>
    <cfRule type="cellIs" dxfId="56" priority="8" operator="lessThan">
      <formula>0</formula>
    </cfRule>
  </conditionalFormatting>
  <conditionalFormatting sqref="T46:U51">
    <cfRule type="cellIs" dxfId="55" priority="5" operator="greaterThanOrEqual">
      <formula>0</formula>
    </cfRule>
    <cfRule type="cellIs" dxfId="54" priority="6" operator="lessThan">
      <formula>0</formula>
    </cfRule>
  </conditionalFormatting>
  <conditionalFormatting sqref="T53:U58">
    <cfRule type="cellIs" dxfId="53" priority="3" operator="greaterThanOrEqual">
      <formula>0</formula>
    </cfRule>
    <cfRule type="cellIs" dxfId="52" priority="4" operator="lessThan">
      <formula>0</formula>
    </cfRule>
  </conditionalFormatting>
  <conditionalFormatting sqref="T60:U65">
    <cfRule type="cellIs" dxfId="51" priority="1" operator="greaterThanOrEqual">
      <formula>0</formula>
    </cfRule>
    <cfRule type="cellIs" dxfId="50"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1954-1960'!A1" display="Tikslinės pensijų fondų dalyvių grupės pensijų fondai, 1954-1960" xr:uid="{00000000-0004-0000-0000-000007000000}"/>
    <hyperlink ref="A59" location="TIF!A1" display="Pensijų turto išsaugojimo pensijų fondai" xr:uid="{00000000-0004-0000-0000-000008000000}"/>
    <hyperlink ref="A3" location="'1996-2002'!A1" display="Tikslinės pensijų fondų dalyvių grupės pensijų fondai, 1996-2002" xr:uid="{AC16E2C2-2DD8-499B-BBFE-86DC5BDC6CB7}"/>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0"/>
  <sheetViews>
    <sheetView showGridLines="0" zoomScale="60" zoomScaleNormal="60" workbookViewId="0">
      <selection activeCell="I3" sqref="I3:R3"/>
    </sheetView>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9" width="16.54296875" style="15" customWidth="1"/>
    <col min="10" max="10" width="17.6328125" style="15" customWidth="1"/>
    <col min="11" max="15" width="17.453125" style="15" customWidth="1"/>
    <col min="16" max="16" width="17.26953125" style="15" customWidth="1"/>
    <col min="17" max="17" width="17.453125" style="15" customWidth="1"/>
    <col min="18" max="18" width="18.1796875" style="15" customWidth="1"/>
    <col min="19" max="19" width="1.453125" style="15" customWidth="1"/>
    <col min="20" max="20" width="16.9062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9" t="s">
        <v>71</v>
      </c>
      <c r="J1" s="110"/>
      <c r="K1" s="110"/>
      <c r="L1" s="110"/>
      <c r="M1" s="110"/>
      <c r="N1" s="110"/>
      <c r="O1" s="110"/>
      <c r="P1" s="110"/>
      <c r="Q1" s="110"/>
      <c r="R1" s="110"/>
      <c r="S1" s="27"/>
      <c r="T1" s="106" t="s">
        <v>96</v>
      </c>
      <c r="U1" s="107">
        <v>0</v>
      </c>
      <c r="V1" s="27"/>
      <c r="W1" s="102" t="s">
        <v>171</v>
      </c>
      <c r="X1" s="108">
        <v>0</v>
      </c>
      <c r="Y1" s="108">
        <v>0</v>
      </c>
    </row>
    <row r="2" spans="1:27" ht="92.5" customHeight="1" x14ac:dyDescent="0.35">
      <c r="A2" s="23" t="s">
        <v>42</v>
      </c>
      <c r="B2" s="23" t="s">
        <v>43</v>
      </c>
      <c r="C2" s="23" t="s">
        <v>44</v>
      </c>
      <c r="D2" s="105">
        <v>0</v>
      </c>
      <c r="E2" s="23" t="s">
        <v>98</v>
      </c>
      <c r="F2" s="105">
        <v>0</v>
      </c>
      <c r="G2" s="105">
        <v>0</v>
      </c>
      <c r="H2" s="26"/>
      <c r="I2" s="88"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165</v>
      </c>
      <c r="B3" s="100"/>
      <c r="C3" s="100"/>
      <c r="D3" s="42"/>
      <c r="E3" s="42"/>
      <c r="F3" s="43"/>
      <c r="G3" s="68" t="s">
        <v>97</v>
      </c>
      <c r="H3" s="43"/>
      <c r="I3" s="65">
        <v>-4.7494990836732347</v>
      </c>
      <c r="J3" s="65" t="s">
        <v>151</v>
      </c>
      <c r="K3" s="65" t="s">
        <v>151</v>
      </c>
      <c r="L3" s="65" t="s">
        <v>151</v>
      </c>
      <c r="M3" s="65">
        <v>-4.7494990836732347</v>
      </c>
      <c r="N3" s="65">
        <v>-3.0543589970823075</v>
      </c>
      <c r="O3" s="65" t="s">
        <v>151</v>
      </c>
      <c r="P3" s="65" t="s">
        <v>151</v>
      </c>
      <c r="Q3" s="65" t="s">
        <v>151</v>
      </c>
      <c r="R3" s="65">
        <v>-3.0543589970823075</v>
      </c>
      <c r="S3" s="43"/>
      <c r="T3" s="43"/>
      <c r="U3" s="43"/>
      <c r="V3" s="43"/>
      <c r="W3" s="43"/>
      <c r="X3" s="43"/>
      <c r="Y3" s="43"/>
    </row>
    <row r="4" spans="1:27" customFormat="1" ht="14.5" customHeight="1" x14ac:dyDescent="0.35">
      <c r="A4" s="30" t="s">
        <v>36</v>
      </c>
      <c r="B4" s="30" t="s">
        <v>156</v>
      </c>
      <c r="C4" s="30" t="s">
        <v>158</v>
      </c>
      <c r="D4" s="90" t="s">
        <v>172</v>
      </c>
      <c r="E4" s="32">
        <v>90</v>
      </c>
      <c r="F4" s="31">
        <v>2.81838605</v>
      </c>
      <c r="G4" s="33">
        <v>4351</v>
      </c>
      <c r="H4" s="21"/>
      <c r="I4" s="34">
        <v>-4.9000000000000039</v>
      </c>
      <c r="J4" s="34" t="s">
        <v>151</v>
      </c>
      <c r="K4" s="34" t="s">
        <v>151</v>
      </c>
      <c r="L4" s="34" t="s">
        <v>151</v>
      </c>
      <c r="M4" s="34">
        <v>-4.9000000000000039</v>
      </c>
      <c r="N4" s="34">
        <v>-2.1063000000000054</v>
      </c>
      <c r="O4" s="34" t="s">
        <v>151</v>
      </c>
      <c r="P4" s="34" t="s">
        <v>151</v>
      </c>
      <c r="Q4" s="34" t="s">
        <v>151</v>
      </c>
      <c r="R4" s="34">
        <v>-2.1063000000000054</v>
      </c>
      <c r="S4" s="22"/>
      <c r="T4" s="34" t="s">
        <v>151</v>
      </c>
      <c r="U4" s="34" t="s">
        <v>151</v>
      </c>
      <c r="V4" s="22"/>
      <c r="W4" s="34" t="s">
        <v>90</v>
      </c>
      <c r="X4" s="34" t="s">
        <v>90</v>
      </c>
      <c r="Y4" s="34" t="s">
        <v>90</v>
      </c>
      <c r="Z4" s="56"/>
      <c r="AA4" s="56"/>
    </row>
    <row r="5" spans="1:27" customFormat="1" ht="14.5" customHeight="1" x14ac:dyDescent="0.35">
      <c r="A5" s="30" t="s">
        <v>175</v>
      </c>
      <c r="B5" s="30" t="s">
        <v>157</v>
      </c>
      <c r="C5" s="30" t="s">
        <v>176</v>
      </c>
      <c r="D5" s="90" t="s">
        <v>172</v>
      </c>
      <c r="E5" s="32">
        <v>97</v>
      </c>
      <c r="F5" s="31">
        <v>1.3450340035000001</v>
      </c>
      <c r="G5" s="33">
        <v>2346</v>
      </c>
      <c r="H5" s="21"/>
      <c r="I5" s="34">
        <v>-4.2200000000000015</v>
      </c>
      <c r="J5" s="34" t="s">
        <v>151</v>
      </c>
      <c r="K5" s="34" t="s">
        <v>151</v>
      </c>
      <c r="L5" s="34" t="s">
        <v>151</v>
      </c>
      <c r="M5" s="34">
        <v>-4.2200000000000015</v>
      </c>
      <c r="N5" s="34">
        <v>-2.8859999999999997</v>
      </c>
      <c r="O5" s="34" t="s">
        <v>151</v>
      </c>
      <c r="P5" s="34" t="s">
        <v>151</v>
      </c>
      <c r="Q5" s="34" t="s">
        <v>151</v>
      </c>
      <c r="R5" s="34">
        <v>-2.8859999999999997</v>
      </c>
      <c r="S5" s="22"/>
      <c r="T5" s="34" t="s">
        <v>151</v>
      </c>
      <c r="U5" s="34" t="s">
        <v>151</v>
      </c>
      <c r="V5" s="22"/>
      <c r="W5" s="34" t="s">
        <v>90</v>
      </c>
      <c r="X5" s="34" t="s">
        <v>90</v>
      </c>
      <c r="Y5" s="34" t="s">
        <v>90</v>
      </c>
      <c r="Z5" s="56"/>
      <c r="AA5" s="56"/>
    </row>
    <row r="6" spans="1:27" customFormat="1" ht="14.5" customHeight="1" x14ac:dyDescent="0.35">
      <c r="A6" s="30" t="s">
        <v>87</v>
      </c>
      <c r="B6" s="30" t="s">
        <v>152</v>
      </c>
      <c r="C6" s="30" t="s">
        <v>159</v>
      </c>
      <c r="D6" s="90" t="s">
        <v>172</v>
      </c>
      <c r="E6" s="32">
        <v>98</v>
      </c>
      <c r="F6" s="31">
        <v>1.4446057299999999</v>
      </c>
      <c r="G6" s="33">
        <v>1369</v>
      </c>
      <c r="H6" s="21"/>
      <c r="I6" s="34">
        <v>-5.8799999999999963</v>
      </c>
      <c r="J6" s="34" t="s">
        <v>151</v>
      </c>
      <c r="K6" s="34" t="s">
        <v>151</v>
      </c>
      <c r="L6" s="34" t="s">
        <v>151</v>
      </c>
      <c r="M6" s="34">
        <v>-5.8799999999999963</v>
      </c>
      <c r="N6" s="34">
        <v>-3.1557999999999975</v>
      </c>
      <c r="O6" s="34" t="s">
        <v>151</v>
      </c>
      <c r="P6" s="34" t="s">
        <v>151</v>
      </c>
      <c r="Q6" s="34" t="s">
        <v>151</v>
      </c>
      <c r="R6" s="34">
        <v>-3.1557999999999975</v>
      </c>
      <c r="S6" s="22"/>
      <c r="T6" s="34" t="s">
        <v>151</v>
      </c>
      <c r="U6" s="34" t="s">
        <v>151</v>
      </c>
      <c r="V6" s="22"/>
      <c r="W6" s="34" t="s">
        <v>90</v>
      </c>
      <c r="X6" s="34" t="s">
        <v>90</v>
      </c>
      <c r="Y6" s="34" t="s">
        <v>90</v>
      </c>
      <c r="Z6" s="56"/>
      <c r="AA6" s="56"/>
    </row>
    <row r="7" spans="1:27" customFormat="1" ht="14.5" customHeight="1" x14ac:dyDescent="0.35">
      <c r="A7" s="30" t="s">
        <v>88</v>
      </c>
      <c r="B7" s="30" t="s">
        <v>153</v>
      </c>
      <c r="C7" s="30" t="s">
        <v>161</v>
      </c>
      <c r="D7" s="90" t="s">
        <v>172</v>
      </c>
      <c r="E7" s="32">
        <v>97</v>
      </c>
      <c r="F7" s="31">
        <v>2.5623150899999998</v>
      </c>
      <c r="G7" s="33">
        <v>2027</v>
      </c>
      <c r="H7" s="21"/>
      <c r="I7" s="34">
        <v>-5.04</v>
      </c>
      <c r="J7" s="34" t="s">
        <v>151</v>
      </c>
      <c r="K7" s="34" t="s">
        <v>151</v>
      </c>
      <c r="L7" s="34" t="s">
        <v>151</v>
      </c>
      <c r="M7" s="34">
        <v>-5.04</v>
      </c>
      <c r="N7" s="34">
        <v>-3.4599000000000046</v>
      </c>
      <c r="O7" s="34" t="s">
        <v>151</v>
      </c>
      <c r="P7" s="34" t="s">
        <v>151</v>
      </c>
      <c r="Q7" s="34" t="s">
        <v>151</v>
      </c>
      <c r="R7" s="34">
        <v>-3.4599000000000046</v>
      </c>
      <c r="S7" s="22"/>
      <c r="T7" s="34" t="s">
        <v>151</v>
      </c>
      <c r="U7" s="34" t="s">
        <v>151</v>
      </c>
      <c r="V7" s="22"/>
      <c r="W7" s="34" t="s">
        <v>90</v>
      </c>
      <c r="X7" s="34" t="s">
        <v>90</v>
      </c>
      <c r="Y7" s="34" t="s">
        <v>90</v>
      </c>
      <c r="Z7" s="56"/>
      <c r="AA7" s="56"/>
    </row>
    <row r="8" spans="1:27" customFormat="1" ht="14.5" customHeight="1" x14ac:dyDescent="0.35">
      <c r="A8" s="30" t="s">
        <v>115</v>
      </c>
      <c r="B8" s="30" t="s">
        <v>155</v>
      </c>
      <c r="C8" s="30" t="s">
        <v>162</v>
      </c>
      <c r="D8" s="90" t="s">
        <v>172</v>
      </c>
      <c r="E8" s="32">
        <v>90</v>
      </c>
      <c r="F8" s="31">
        <v>1.22625136</v>
      </c>
      <c r="G8" s="33">
        <v>1320</v>
      </c>
      <c r="H8" s="21"/>
      <c r="I8" s="34">
        <v>-3.93</v>
      </c>
      <c r="J8" s="34" t="s">
        <v>151</v>
      </c>
      <c r="K8" s="34" t="s">
        <v>151</v>
      </c>
      <c r="L8" s="34" t="s">
        <v>151</v>
      </c>
      <c r="M8" s="34">
        <v>-3.93</v>
      </c>
      <c r="N8" s="34">
        <v>-2.8532000000000002</v>
      </c>
      <c r="O8" s="34" t="s">
        <v>151</v>
      </c>
      <c r="P8" s="34" t="s">
        <v>151</v>
      </c>
      <c r="Q8" s="34" t="s">
        <v>151</v>
      </c>
      <c r="R8" s="34">
        <v>-2.8532000000000002</v>
      </c>
      <c r="S8" s="22"/>
      <c r="T8" s="34" t="s">
        <v>151</v>
      </c>
      <c r="U8" s="34" t="s">
        <v>151</v>
      </c>
      <c r="V8" s="22"/>
      <c r="W8" s="34" t="s">
        <v>90</v>
      </c>
      <c r="X8" s="34" t="s">
        <v>90</v>
      </c>
      <c r="Y8" s="34" t="s">
        <v>90</v>
      </c>
      <c r="Z8" s="56"/>
      <c r="AA8" s="56"/>
    </row>
    <row r="9" spans="1:27" customFormat="1" ht="14.5" customHeight="1" x14ac:dyDescent="0.35">
      <c r="A9" s="30" t="s">
        <v>146</v>
      </c>
      <c r="B9" s="30" t="s">
        <v>154</v>
      </c>
      <c r="C9" s="30" t="s">
        <v>160</v>
      </c>
      <c r="D9" s="90" t="s">
        <v>172</v>
      </c>
      <c r="E9" s="32">
        <v>100</v>
      </c>
      <c r="F9" s="31">
        <v>2.8578370134999997</v>
      </c>
      <c r="G9" s="33">
        <v>2868</v>
      </c>
      <c r="H9" s="21"/>
      <c r="I9" s="34">
        <v>-4.3699999999999957</v>
      </c>
      <c r="J9" s="34" t="s">
        <v>151</v>
      </c>
      <c r="K9" s="34" t="s">
        <v>151</v>
      </c>
      <c r="L9" s="34" t="s">
        <v>151</v>
      </c>
      <c r="M9" s="34">
        <v>-4.3699999999999957</v>
      </c>
      <c r="N9" s="34">
        <v>-3.7399999999999989</v>
      </c>
      <c r="O9" s="34" t="s">
        <v>151</v>
      </c>
      <c r="P9" s="34" t="s">
        <v>151</v>
      </c>
      <c r="Q9" s="34" t="s">
        <v>151</v>
      </c>
      <c r="R9" s="34">
        <v>-3.7399999999999989</v>
      </c>
      <c r="S9" s="22"/>
      <c r="T9" s="34" t="s">
        <v>151</v>
      </c>
      <c r="U9" s="34" t="s">
        <v>151</v>
      </c>
      <c r="V9" s="22"/>
      <c r="W9" s="34" t="s">
        <v>90</v>
      </c>
      <c r="X9" s="34" t="s">
        <v>90</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156</v>
      </c>
      <c r="B36" s="31" t="s">
        <v>151</v>
      </c>
      <c r="C36" s="31" t="s">
        <v>151</v>
      </c>
    </row>
    <row r="37" spans="1:3" x14ac:dyDescent="0.35">
      <c r="A37" s="30" t="s">
        <v>157</v>
      </c>
      <c r="B37" s="31" t="s">
        <v>151</v>
      </c>
      <c r="C37" s="31" t="s">
        <v>151</v>
      </c>
    </row>
    <row r="38" spans="1:3" x14ac:dyDescent="0.35">
      <c r="A38" s="30" t="s">
        <v>152</v>
      </c>
      <c r="B38" s="31" t="s">
        <v>151</v>
      </c>
      <c r="C38" s="31" t="s">
        <v>151</v>
      </c>
    </row>
    <row r="39" spans="1:3" x14ac:dyDescent="0.35">
      <c r="A39" s="30" t="s">
        <v>153</v>
      </c>
      <c r="B39" s="31" t="s">
        <v>151</v>
      </c>
      <c r="C39" s="31" t="s">
        <v>151</v>
      </c>
    </row>
    <row r="40" spans="1:3" x14ac:dyDescent="0.35">
      <c r="A40" s="30" t="s">
        <v>155</v>
      </c>
      <c r="B40" s="31" t="s">
        <v>151</v>
      </c>
      <c r="C40" s="31" t="s">
        <v>151</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156</v>
      </c>
      <c r="B66" s="31">
        <v>4.351</v>
      </c>
      <c r="C66" s="31" t="s">
        <v>151</v>
      </c>
      <c r="D66" s="31">
        <v>2.81838605</v>
      </c>
    </row>
    <row r="67" spans="1:4" x14ac:dyDescent="0.35">
      <c r="A67" s="30" t="s">
        <v>157</v>
      </c>
      <c r="B67" s="31">
        <v>2.3460000000000001</v>
      </c>
      <c r="C67" s="31" t="s">
        <v>151</v>
      </c>
      <c r="D67" s="31">
        <v>1.3450340035000001</v>
      </c>
    </row>
    <row r="68" spans="1:4" x14ac:dyDescent="0.35">
      <c r="A68" s="30" t="s">
        <v>152</v>
      </c>
      <c r="B68" s="31">
        <v>1.369</v>
      </c>
      <c r="C68" s="31" t="s">
        <v>151</v>
      </c>
      <c r="D68" s="31">
        <v>1.4446057299999999</v>
      </c>
    </row>
    <row r="69" spans="1:4" x14ac:dyDescent="0.35">
      <c r="A69" s="30" t="s">
        <v>153</v>
      </c>
      <c r="B69" s="31">
        <v>2.0270000000000001</v>
      </c>
      <c r="C69" s="31" t="s">
        <v>151</v>
      </c>
      <c r="D69" s="31">
        <v>2.5623150899999998</v>
      </c>
    </row>
    <row r="70" spans="1:4" x14ac:dyDescent="0.35">
      <c r="A70" s="30" t="s">
        <v>155</v>
      </c>
      <c r="B70" s="31">
        <v>1.32</v>
      </c>
      <c r="C70" s="31" t="s">
        <v>151</v>
      </c>
      <c r="D70" s="31">
        <v>1.22625136</v>
      </c>
    </row>
  </sheetData>
  <mergeCells count="7">
    <mergeCell ref="T1:U1"/>
    <mergeCell ref="W1:Y1"/>
    <mergeCell ref="A3:C3"/>
    <mergeCell ref="D1:D2"/>
    <mergeCell ref="F1:F2"/>
    <mergeCell ref="G1:G2"/>
    <mergeCell ref="I1:R1"/>
  </mergeCells>
  <conditionalFormatting sqref="I3:R9">
    <cfRule type="cellIs" dxfId="49" priority="1" operator="greaterThanOrEqual">
      <formula>0</formula>
    </cfRule>
    <cfRule type="cellIs" dxfId="48" priority="2" operator="lessThan">
      <formula>0</formula>
    </cfRule>
  </conditionalFormatting>
  <conditionalFormatting sqref="T4:U9 W4:Y9">
    <cfRule type="cellIs" dxfId="47" priority="3" operator="greaterThanOrEqual">
      <formula>0</formula>
    </cfRule>
    <cfRule type="cellIs" dxfId="46" priority="4" operator="lessThan">
      <formula>0</formula>
    </cfRule>
  </conditionalFormatting>
  <hyperlinks>
    <hyperlink ref="C1" location="GCF_2025!A1" display="Grįžti į pagrindinį puslapį" xr:uid="{571F8C76-23A1-4DAC-8D16-4B38B80741F4}"/>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0"/>
  <sheetViews>
    <sheetView showGridLines="0" zoomScale="60" zoomScaleNormal="60" workbookViewId="0">
      <selection activeCell="A5" sqref="A5:C5"/>
    </sheetView>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10" width="16.54296875" style="15" customWidth="1"/>
    <col min="11" max="15" width="17.453125" style="15" customWidth="1"/>
    <col min="16" max="16" width="17.7265625" style="15" customWidth="1"/>
    <col min="17" max="17" width="17.26953125" style="15" customWidth="1"/>
    <col min="18" max="18" width="18.7265625" style="15" customWidth="1"/>
    <col min="19" max="19" width="1.453125" style="15" customWidth="1"/>
    <col min="20" max="20" width="17.0898437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2.5" customHeight="1" x14ac:dyDescent="0.35">
      <c r="A2" s="23" t="s">
        <v>42</v>
      </c>
      <c r="B2" s="23" t="s">
        <v>43</v>
      </c>
      <c r="C2" s="23" t="s">
        <v>44</v>
      </c>
      <c r="D2" s="105">
        <v>0</v>
      </c>
      <c r="E2" s="23" t="s">
        <v>98</v>
      </c>
      <c r="F2" s="105">
        <v>0</v>
      </c>
      <c r="G2" s="105">
        <v>0</v>
      </c>
      <c r="H2" s="26"/>
      <c r="I2" s="61"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45</v>
      </c>
      <c r="B3" s="100"/>
      <c r="C3" s="100"/>
      <c r="D3" s="42"/>
      <c r="E3" s="42"/>
      <c r="F3" s="43"/>
      <c r="G3" s="68" t="s">
        <v>97</v>
      </c>
      <c r="H3" s="43"/>
      <c r="I3" s="65">
        <v>-3.3759368093241147</v>
      </c>
      <c r="J3" s="65">
        <v>3.4301157161146114</v>
      </c>
      <c r="K3" s="65">
        <v>10.406500868141064</v>
      </c>
      <c r="L3" s="65">
        <v>10.208268266793363</v>
      </c>
      <c r="M3" s="65">
        <v>9.8698590524970324</v>
      </c>
      <c r="N3" s="65">
        <v>-2.6645971216508575</v>
      </c>
      <c r="O3" s="65">
        <v>5.9328468591490982</v>
      </c>
      <c r="P3" s="65">
        <v>12.317998998150442</v>
      </c>
      <c r="Q3" s="65">
        <v>11.69282772614411</v>
      </c>
      <c r="R3" s="65">
        <v>11.345703599836671</v>
      </c>
      <c r="S3" s="43"/>
      <c r="T3" s="43"/>
      <c r="U3" s="43"/>
      <c r="V3" s="43"/>
      <c r="W3" s="43"/>
      <c r="X3" s="43"/>
      <c r="Y3" s="43"/>
    </row>
    <row r="4" spans="1:27" customFormat="1" ht="14.5" x14ac:dyDescent="0.35">
      <c r="A4" s="30" t="s">
        <v>36</v>
      </c>
      <c r="B4" s="30" t="s">
        <v>4</v>
      </c>
      <c r="C4" s="30" t="s">
        <v>46</v>
      </c>
      <c r="D4" s="64" t="s">
        <v>173</v>
      </c>
      <c r="E4" s="32">
        <v>90</v>
      </c>
      <c r="F4" s="31">
        <v>31.34979775</v>
      </c>
      <c r="G4" s="33">
        <v>13518</v>
      </c>
      <c r="H4" s="21"/>
      <c r="I4" s="34">
        <v>-3.3703684014672164</v>
      </c>
      <c r="J4" s="34">
        <v>4.0052640613377655</v>
      </c>
      <c r="K4" s="34">
        <v>9.9910047539089284</v>
      </c>
      <c r="L4" s="34">
        <v>9.2224272273530481</v>
      </c>
      <c r="M4" s="34">
        <v>9.6271391318911945</v>
      </c>
      <c r="N4" s="34">
        <v>-1.7379078095590139</v>
      </c>
      <c r="O4" s="34">
        <v>6.6521201970206834</v>
      </c>
      <c r="P4" s="34">
        <v>11.494411062657806</v>
      </c>
      <c r="Q4" s="34">
        <v>10.772683713003484</v>
      </c>
      <c r="R4" s="34">
        <v>10.871767630124364</v>
      </c>
      <c r="S4" s="22"/>
      <c r="T4" s="34">
        <v>11.688245439439056</v>
      </c>
      <c r="U4" s="34">
        <v>12.576839997923251</v>
      </c>
      <c r="V4" s="22"/>
      <c r="W4" s="34">
        <v>0.49</v>
      </c>
      <c r="X4" s="34">
        <v>0.7</v>
      </c>
      <c r="Y4" s="34" t="s">
        <v>90</v>
      </c>
      <c r="Z4" s="56"/>
      <c r="AA4" s="56"/>
    </row>
    <row r="5" spans="1:27" customFormat="1" ht="14.5" x14ac:dyDescent="0.35">
      <c r="A5" s="30" t="s">
        <v>175</v>
      </c>
      <c r="B5" s="30" t="s">
        <v>2</v>
      </c>
      <c r="C5" s="30" t="s">
        <v>177</v>
      </c>
      <c r="D5" s="64" t="s">
        <v>173</v>
      </c>
      <c r="E5" s="32">
        <v>97</v>
      </c>
      <c r="F5" s="31">
        <v>50.371252598700003</v>
      </c>
      <c r="G5" s="33">
        <v>17979</v>
      </c>
      <c r="H5" s="21"/>
      <c r="I5" s="34">
        <v>-1.9903591976364488</v>
      </c>
      <c r="J5" s="34">
        <v>4.6083204248727583</v>
      </c>
      <c r="K5" s="34">
        <v>10.300017746242652</v>
      </c>
      <c r="L5" s="34">
        <v>10.769134236265089</v>
      </c>
      <c r="M5" s="34">
        <v>10.294898573360056</v>
      </c>
      <c r="N5" s="34">
        <v>-2.3230412685191659</v>
      </c>
      <c r="O5" s="34">
        <v>5.4035595821961602</v>
      </c>
      <c r="P5" s="34">
        <v>11.86908926772341</v>
      </c>
      <c r="Q5" s="34">
        <v>11.73812806854848</v>
      </c>
      <c r="R5" s="34">
        <v>11.475391806339763</v>
      </c>
      <c r="S5" s="22"/>
      <c r="T5" s="34">
        <v>11.248113932938461</v>
      </c>
      <c r="U5" s="34">
        <v>13.710454028349703</v>
      </c>
      <c r="V5" s="22"/>
      <c r="W5" s="34">
        <v>0.5</v>
      </c>
      <c r="X5" s="34">
        <v>1.06</v>
      </c>
      <c r="Y5" s="34">
        <v>1.06</v>
      </c>
      <c r="Z5" s="56"/>
      <c r="AA5" s="56"/>
    </row>
    <row r="6" spans="1:27" customFormat="1" ht="14.5" x14ac:dyDescent="0.35">
      <c r="A6" s="30" t="s">
        <v>87</v>
      </c>
      <c r="B6" s="30" t="s">
        <v>1</v>
      </c>
      <c r="C6" s="67" t="s">
        <v>47</v>
      </c>
      <c r="D6" s="64" t="s">
        <v>173</v>
      </c>
      <c r="E6" s="32">
        <v>98</v>
      </c>
      <c r="F6" s="31">
        <v>69.848672159999992</v>
      </c>
      <c r="G6" s="33">
        <v>21643</v>
      </c>
      <c r="H6" s="21"/>
      <c r="I6" s="34">
        <v>-3.5657968360547354</v>
      </c>
      <c r="J6" s="34">
        <v>3.8509997261024331</v>
      </c>
      <c r="K6" s="34">
        <v>10.683978435813945</v>
      </c>
      <c r="L6" s="34">
        <v>10.237817188215237</v>
      </c>
      <c r="M6" s="34">
        <v>10.338812514275908</v>
      </c>
      <c r="N6" s="34">
        <v>-2.5556197780668644</v>
      </c>
      <c r="O6" s="34">
        <v>6.6510283046122387</v>
      </c>
      <c r="P6" s="34">
        <v>13.411113412132858</v>
      </c>
      <c r="Q6" s="34">
        <v>12.727405550243409</v>
      </c>
      <c r="R6" s="34">
        <v>12.572326872414564</v>
      </c>
      <c r="S6" s="22"/>
      <c r="T6" s="34">
        <v>12.351569230382275</v>
      </c>
      <c r="U6" s="34">
        <v>14.10050863050985</v>
      </c>
      <c r="V6" s="22"/>
      <c r="W6" s="34">
        <v>0.5</v>
      </c>
      <c r="X6" s="34" t="s">
        <v>90</v>
      </c>
      <c r="Y6" s="34">
        <v>0.78</v>
      </c>
      <c r="Z6" s="56"/>
      <c r="AA6" s="56"/>
    </row>
    <row r="7" spans="1:27" customFormat="1" ht="14.5" x14ac:dyDescent="0.35">
      <c r="A7" s="30" t="s">
        <v>88</v>
      </c>
      <c r="B7" s="30" t="s">
        <v>3</v>
      </c>
      <c r="C7" s="30" t="s">
        <v>101</v>
      </c>
      <c r="D7" s="64" t="s">
        <v>173</v>
      </c>
      <c r="E7" s="32">
        <v>97</v>
      </c>
      <c r="F7" s="31">
        <v>156.57458291</v>
      </c>
      <c r="G7" s="33">
        <v>49635</v>
      </c>
      <c r="H7" s="21"/>
      <c r="I7" s="34">
        <v>-4.0518983303201139</v>
      </c>
      <c r="J7" s="34">
        <v>2.4237951978202776</v>
      </c>
      <c r="K7" s="34">
        <v>9.9938455494525513</v>
      </c>
      <c r="L7" s="34">
        <v>10.096280949969859</v>
      </c>
      <c r="M7" s="34">
        <v>9.880431560531866</v>
      </c>
      <c r="N7" s="34">
        <v>-2.9587583732118006</v>
      </c>
      <c r="O7" s="34">
        <v>6.0355568877574983</v>
      </c>
      <c r="P7" s="34">
        <v>12.448288404914987</v>
      </c>
      <c r="Q7" s="34">
        <v>11.682917902380652</v>
      </c>
      <c r="R7" s="34">
        <v>11.563633428218779</v>
      </c>
      <c r="S7" s="22"/>
      <c r="T7" s="34">
        <v>13.051542051188896</v>
      </c>
      <c r="U7" s="34">
        <v>13.860172101882073</v>
      </c>
      <c r="V7" s="22"/>
      <c r="W7" s="34">
        <v>0.41000000000000003</v>
      </c>
      <c r="X7" s="34" t="s">
        <v>90</v>
      </c>
      <c r="Y7" s="34">
        <v>0.66990000000000005</v>
      </c>
      <c r="Z7" s="56"/>
      <c r="AA7" s="56"/>
    </row>
    <row r="8" spans="1:27" customFormat="1" ht="14.5" x14ac:dyDescent="0.35">
      <c r="A8" s="30" t="s">
        <v>115</v>
      </c>
      <c r="B8" s="30" t="s">
        <v>5</v>
      </c>
      <c r="C8" s="30" t="s">
        <v>116</v>
      </c>
      <c r="D8" s="64" t="s">
        <v>173</v>
      </c>
      <c r="E8" s="32">
        <v>90</v>
      </c>
      <c r="F8" s="31">
        <v>56.437351490000005</v>
      </c>
      <c r="G8" s="33">
        <v>19825</v>
      </c>
      <c r="H8" s="21"/>
      <c r="I8" s="34">
        <v>-2.6734330856963417</v>
      </c>
      <c r="J8" s="34">
        <v>3.7014326328111968</v>
      </c>
      <c r="K8" s="34">
        <v>11.533756142374019</v>
      </c>
      <c r="L8" s="34">
        <v>10.529417466695357</v>
      </c>
      <c r="M8" s="34">
        <v>10.018461318122895</v>
      </c>
      <c r="N8" s="34">
        <v>-2.5143864455631215</v>
      </c>
      <c r="O8" s="34">
        <v>4.9603809988645331</v>
      </c>
      <c r="P8" s="34">
        <v>11.461808231764969</v>
      </c>
      <c r="Q8" s="34">
        <v>10.910583948774599</v>
      </c>
      <c r="R8" s="34">
        <v>10.990982251795888</v>
      </c>
      <c r="S8" s="22"/>
      <c r="T8" s="34">
        <v>12.964062011195407</v>
      </c>
      <c r="U8" s="34">
        <v>13.465644590971998</v>
      </c>
      <c r="V8" s="22"/>
      <c r="W8" s="34">
        <v>0.5</v>
      </c>
      <c r="X8" s="34">
        <v>1.1100000000000001</v>
      </c>
      <c r="Y8" s="34" t="s">
        <v>90</v>
      </c>
      <c r="Z8" s="56"/>
      <c r="AA8" s="56"/>
    </row>
    <row r="9" spans="1:27" customFormat="1" ht="13" customHeight="1" x14ac:dyDescent="0.35">
      <c r="A9" s="30" t="s">
        <v>123</v>
      </c>
      <c r="B9" s="30" t="s">
        <v>124</v>
      </c>
      <c r="C9" s="30" t="s">
        <v>138</v>
      </c>
      <c r="D9" s="64" t="s">
        <v>174</v>
      </c>
      <c r="E9" s="32">
        <v>100</v>
      </c>
      <c r="F9" s="31">
        <v>33.723070931800002</v>
      </c>
      <c r="G9" s="33">
        <v>10689</v>
      </c>
      <c r="H9" s="21"/>
      <c r="I9" s="34">
        <v>-3.0946882217090077</v>
      </c>
      <c r="J9" s="34">
        <v>4.4820717131474064</v>
      </c>
      <c r="K9" s="34" t="s">
        <v>151</v>
      </c>
      <c r="L9" s="34" t="s">
        <v>151</v>
      </c>
      <c r="M9" s="34">
        <v>8.1915292910500916</v>
      </c>
      <c r="N9" s="34">
        <v>-3.1475708963734417</v>
      </c>
      <c r="O9" s="34">
        <v>5.7178423236514453</v>
      </c>
      <c r="P9" s="34" t="s">
        <v>151</v>
      </c>
      <c r="Q9" s="34" t="s">
        <v>151</v>
      </c>
      <c r="R9" s="34">
        <v>8.633746963112344</v>
      </c>
      <c r="S9" s="22"/>
      <c r="T9" s="34" t="s">
        <v>151</v>
      </c>
      <c r="U9" s="34" t="s">
        <v>151</v>
      </c>
      <c r="V9" s="22"/>
      <c r="W9" s="34">
        <v>0.44690000000000002</v>
      </c>
      <c r="X9" s="34">
        <v>0.57340000000000002</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4</v>
      </c>
      <c r="B36" s="31">
        <v>11.688245439439056</v>
      </c>
      <c r="C36" s="31">
        <v>9.9910047539089284</v>
      </c>
    </row>
    <row r="37" spans="1:3" x14ac:dyDescent="0.35">
      <c r="A37" s="30" t="s">
        <v>2</v>
      </c>
      <c r="B37" s="31">
        <v>11.248113932938461</v>
      </c>
      <c r="C37" s="31">
        <v>10.300017746242652</v>
      </c>
    </row>
    <row r="38" spans="1:3" x14ac:dyDescent="0.35">
      <c r="A38" s="30" t="s">
        <v>1</v>
      </c>
      <c r="B38" s="31">
        <v>12.351569230382275</v>
      </c>
      <c r="C38" s="31">
        <v>10.683978435813945</v>
      </c>
    </row>
    <row r="39" spans="1:3" x14ac:dyDescent="0.35">
      <c r="A39" s="30" t="s">
        <v>3</v>
      </c>
      <c r="B39" s="31">
        <v>13.051542051188896</v>
      </c>
      <c r="C39" s="31">
        <v>9.9938455494525513</v>
      </c>
    </row>
    <row r="40" spans="1:3" x14ac:dyDescent="0.35">
      <c r="A40" s="30" t="s">
        <v>5</v>
      </c>
      <c r="B40" s="31">
        <v>12.964062011195407</v>
      </c>
      <c r="C40" s="31">
        <v>11.533756142374019</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4</v>
      </c>
      <c r="B66" s="31">
        <v>13.518000000000001</v>
      </c>
      <c r="C66" s="31">
        <v>9.9910047539089284</v>
      </c>
      <c r="D66" s="31">
        <v>31.34979775</v>
      </c>
    </row>
    <row r="67" spans="1:4" x14ac:dyDescent="0.35">
      <c r="A67" s="30" t="s">
        <v>2</v>
      </c>
      <c r="B67" s="31">
        <v>17.978999999999999</v>
      </c>
      <c r="C67" s="31">
        <v>10.300017746242652</v>
      </c>
      <c r="D67" s="31">
        <v>50.371252598700003</v>
      </c>
    </row>
    <row r="68" spans="1:4" x14ac:dyDescent="0.35">
      <c r="A68" s="30" t="s">
        <v>1</v>
      </c>
      <c r="B68" s="31">
        <v>21.643000000000001</v>
      </c>
      <c r="C68" s="31">
        <v>10.683978435813945</v>
      </c>
      <c r="D68" s="31">
        <v>69.848672159999992</v>
      </c>
    </row>
    <row r="69" spans="1:4" x14ac:dyDescent="0.35">
      <c r="A69" s="30" t="s">
        <v>3</v>
      </c>
      <c r="B69" s="31">
        <v>49.634999999999998</v>
      </c>
      <c r="C69" s="31">
        <v>9.9938455494525513</v>
      </c>
      <c r="D69" s="31">
        <v>156.57458291</v>
      </c>
    </row>
    <row r="70" spans="1:4" x14ac:dyDescent="0.35">
      <c r="A70" s="30" t="s">
        <v>5</v>
      </c>
      <c r="B70" s="31">
        <v>19.824999999999999</v>
      </c>
      <c r="C70" s="31">
        <v>11.533756142374019</v>
      </c>
      <c r="D70" s="31">
        <v>56.437351490000005</v>
      </c>
    </row>
  </sheetData>
  <mergeCells count="7">
    <mergeCell ref="W1:Y1"/>
    <mergeCell ref="T1:U1"/>
    <mergeCell ref="A3:C3"/>
    <mergeCell ref="D1:D2"/>
    <mergeCell ref="F1:F2"/>
    <mergeCell ref="G1:G2"/>
    <mergeCell ref="I1:P1"/>
  </mergeCells>
  <conditionalFormatting sqref="I3:R9">
    <cfRule type="cellIs" dxfId="45" priority="7" operator="greaterThanOrEqual">
      <formula>0</formula>
    </cfRule>
    <cfRule type="cellIs" dxfId="44" priority="8" operator="lessThan">
      <formula>0</formula>
    </cfRule>
  </conditionalFormatting>
  <conditionalFormatting sqref="T4:U9 W4:Y9">
    <cfRule type="cellIs" dxfId="43" priority="11" operator="greaterThanOrEqual">
      <formula>0</formula>
    </cfRule>
    <cfRule type="cellIs" dxfId="42" priority="12" operator="lessThan">
      <formula>0</formula>
    </cfRule>
  </conditionalFormatting>
  <hyperlinks>
    <hyperlink ref="C1" location="GCF_2025!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0"/>
  <sheetViews>
    <sheetView showGridLines="0" zoomScale="60" zoomScaleNormal="60" workbookViewId="0">
      <selection activeCell="A5" sqref="A5:C5"/>
    </sheetView>
  </sheetViews>
  <sheetFormatPr defaultColWidth="8.81640625" defaultRowHeight="15.5" x14ac:dyDescent="0.35"/>
  <cols>
    <col min="1" max="1" width="45.54296875" style="15" customWidth="1"/>
    <col min="2" max="2" width="14.81640625" style="15" bestFit="1" customWidth="1"/>
    <col min="3" max="3" width="78.1796875" style="15" customWidth="1"/>
    <col min="4" max="4" width="13.1796875" style="15" customWidth="1"/>
    <col min="5" max="5" width="16.1796875" style="15" bestFit="1" customWidth="1"/>
    <col min="6" max="6" width="19.453125" style="15" customWidth="1"/>
    <col min="7" max="7" width="13.54296875" style="15" customWidth="1"/>
    <col min="8" max="8" width="1.54296875" style="15" customWidth="1"/>
    <col min="9" max="10" width="16.81640625" style="15" customWidth="1"/>
    <col min="11" max="13" width="15.54296875" style="15" customWidth="1"/>
    <col min="14" max="15" width="13.54296875" style="15" customWidth="1"/>
    <col min="16" max="18" width="15.54296875" style="15" customWidth="1"/>
    <col min="19" max="19" width="1.54296875" style="15" customWidth="1"/>
    <col min="20" max="20" width="19.453125" style="15" customWidth="1"/>
    <col min="21" max="21" width="15.54296875" style="15" customWidth="1"/>
    <col min="22" max="22" width="1.54296875" style="15" customWidth="1"/>
    <col min="23" max="23" width="9.1796875" style="15" customWidth="1"/>
    <col min="24" max="24" width="12.54296875" style="15" customWidth="1"/>
    <col min="25" max="25" width="13"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100" customHeight="1"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48</v>
      </c>
      <c r="B3" s="100">
        <v>0</v>
      </c>
      <c r="C3" s="100">
        <v>0</v>
      </c>
      <c r="D3" s="42"/>
      <c r="E3" s="42"/>
      <c r="F3" s="43"/>
      <c r="G3" s="68" t="s">
        <v>97</v>
      </c>
      <c r="H3" s="43"/>
      <c r="I3" s="65">
        <v>-3.0586919883723889</v>
      </c>
      <c r="J3" s="65">
        <v>3.6715736322998187</v>
      </c>
      <c r="K3" s="65">
        <v>10.341494977400947</v>
      </c>
      <c r="L3" s="65">
        <v>10.339802323945861</v>
      </c>
      <c r="M3" s="65">
        <v>10.056110117874413</v>
      </c>
      <c r="N3" s="65">
        <v>-2.6434959425412581</v>
      </c>
      <c r="O3" s="65">
        <v>5.9638328823026683</v>
      </c>
      <c r="P3" s="65">
        <v>12.35574523336901</v>
      </c>
      <c r="Q3" s="65">
        <v>11.736507543576373</v>
      </c>
      <c r="R3" s="65">
        <v>11.490353689154521</v>
      </c>
      <c r="S3" s="43"/>
      <c r="T3" s="43"/>
      <c r="U3" s="43"/>
      <c r="V3" s="43"/>
      <c r="W3" s="43"/>
      <c r="X3" s="43"/>
      <c r="Y3" s="43"/>
    </row>
    <row r="4" spans="1:27" customFormat="1" ht="14.5" x14ac:dyDescent="0.35">
      <c r="A4" s="30" t="s">
        <v>36</v>
      </c>
      <c r="B4" s="30" t="s">
        <v>9</v>
      </c>
      <c r="C4" s="30" t="s">
        <v>49</v>
      </c>
      <c r="D4" s="64" t="s">
        <v>173</v>
      </c>
      <c r="E4" s="32">
        <v>90</v>
      </c>
      <c r="F4" s="31">
        <v>89.861743790000006</v>
      </c>
      <c r="G4" s="33">
        <v>21213</v>
      </c>
      <c r="H4" s="21"/>
      <c r="I4" s="34">
        <v>-3.3487728264920524</v>
      </c>
      <c r="J4" s="34">
        <v>4.2314979617614989</v>
      </c>
      <c r="K4" s="34">
        <v>10.057505999433713</v>
      </c>
      <c r="L4" s="34">
        <v>9.2790062890186764</v>
      </c>
      <c r="M4" s="34">
        <v>9.6057914139369149</v>
      </c>
      <c r="N4" s="34">
        <v>-1.7379078095590139</v>
      </c>
      <c r="O4" s="34">
        <v>6.6521201970206834</v>
      </c>
      <c r="P4" s="34">
        <v>11.494411062657806</v>
      </c>
      <c r="Q4" s="34">
        <v>10.772683713003484</v>
      </c>
      <c r="R4" s="34">
        <v>10.871767630124364</v>
      </c>
      <c r="S4" s="21"/>
      <c r="T4" s="34">
        <v>11.673789032259938</v>
      </c>
      <c r="U4" s="34">
        <v>12.576839997923251</v>
      </c>
      <c r="V4" s="22"/>
      <c r="W4" s="34">
        <v>0.49</v>
      </c>
      <c r="X4" s="34">
        <v>0.71</v>
      </c>
      <c r="Y4" s="34" t="s">
        <v>90</v>
      </c>
      <c r="Z4" s="56"/>
      <c r="AA4" s="56"/>
    </row>
    <row r="5" spans="1:27" customFormat="1" ht="14.5" x14ac:dyDescent="0.35">
      <c r="A5" s="30" t="s">
        <v>175</v>
      </c>
      <c r="B5" s="30" t="s">
        <v>7</v>
      </c>
      <c r="C5" s="30" t="s">
        <v>178</v>
      </c>
      <c r="D5" s="64" t="s">
        <v>173</v>
      </c>
      <c r="E5" s="32">
        <v>97</v>
      </c>
      <c r="F5" s="31">
        <v>169.79920417509999</v>
      </c>
      <c r="G5" s="33">
        <v>34277</v>
      </c>
      <c r="H5" s="21"/>
      <c r="I5" s="34">
        <v>-1.6706443914081159</v>
      </c>
      <c r="J5" s="34">
        <v>4.74190339339009</v>
      </c>
      <c r="K5" s="34">
        <v>10.216950654940749</v>
      </c>
      <c r="L5" s="34">
        <v>10.82142213334536</v>
      </c>
      <c r="M5" s="34">
        <v>10.333440460830246</v>
      </c>
      <c r="N5" s="34">
        <v>-2.3230412685191659</v>
      </c>
      <c r="O5" s="34">
        <v>5.4035595821961602</v>
      </c>
      <c r="P5" s="34">
        <v>11.86908926772341</v>
      </c>
      <c r="Q5" s="34">
        <v>11.73812806854848</v>
      </c>
      <c r="R5" s="34">
        <v>11.475391806339763</v>
      </c>
      <c r="S5" s="21"/>
      <c r="T5" s="34">
        <v>10.802716556581428</v>
      </c>
      <c r="U5" s="34">
        <v>13.710454028349703</v>
      </c>
      <c r="V5" s="22"/>
      <c r="W5" s="34">
        <v>0.5</v>
      </c>
      <c r="X5" s="34">
        <v>1.27</v>
      </c>
      <c r="Y5" s="34">
        <v>1.27</v>
      </c>
      <c r="Z5" s="56"/>
      <c r="AA5" s="56"/>
    </row>
    <row r="6" spans="1:27" customFormat="1" ht="14.5" x14ac:dyDescent="0.35">
      <c r="A6" s="30" t="s">
        <v>87</v>
      </c>
      <c r="B6" s="30" t="s">
        <v>6</v>
      </c>
      <c r="C6" s="30" t="s">
        <v>50</v>
      </c>
      <c r="D6" s="64" t="s">
        <v>173</v>
      </c>
      <c r="E6" s="32">
        <v>98</v>
      </c>
      <c r="F6" s="31">
        <v>236.54528553999998</v>
      </c>
      <c r="G6" s="33">
        <v>45929</v>
      </c>
      <c r="H6" s="21"/>
      <c r="I6" s="34">
        <v>-3.5220640933756542</v>
      </c>
      <c r="J6" s="34">
        <v>3.9549892437531042</v>
      </c>
      <c r="K6" s="34">
        <v>10.534143065971801</v>
      </c>
      <c r="L6" s="34">
        <v>10.211560118588658</v>
      </c>
      <c r="M6" s="34">
        <v>10.238296079879738</v>
      </c>
      <c r="N6" s="34">
        <v>-2.5556197780668644</v>
      </c>
      <c r="O6" s="34">
        <v>6.6510283046122387</v>
      </c>
      <c r="P6" s="34">
        <v>13.411113412132858</v>
      </c>
      <c r="Q6" s="34">
        <v>12.727405550243409</v>
      </c>
      <c r="R6" s="34">
        <v>12.572326872414564</v>
      </c>
      <c r="S6" s="21"/>
      <c r="T6" s="34">
        <v>12.237609439420233</v>
      </c>
      <c r="U6" s="34">
        <v>14.10050863050985</v>
      </c>
      <c r="V6" s="22"/>
      <c r="W6" s="34">
        <v>0.5</v>
      </c>
      <c r="X6" s="34" t="s">
        <v>90</v>
      </c>
      <c r="Y6" s="34">
        <v>0.81</v>
      </c>
      <c r="Z6" s="56"/>
      <c r="AA6" s="56"/>
    </row>
    <row r="7" spans="1:27" customFormat="1" ht="14.5" x14ac:dyDescent="0.35">
      <c r="A7" s="30" t="s">
        <v>88</v>
      </c>
      <c r="B7" s="30" t="s">
        <v>8</v>
      </c>
      <c r="C7" s="30" t="s">
        <v>102</v>
      </c>
      <c r="D7" s="64" t="s">
        <v>173</v>
      </c>
      <c r="E7" s="32">
        <v>97</v>
      </c>
      <c r="F7" s="31">
        <v>469.23351498</v>
      </c>
      <c r="G7" s="33">
        <v>95327</v>
      </c>
      <c r="H7" s="21"/>
      <c r="I7" s="34">
        <v>-3.3992681762740506</v>
      </c>
      <c r="J7" s="34">
        <v>2.5733430936426549</v>
      </c>
      <c r="K7" s="34">
        <v>9.7757363966547004</v>
      </c>
      <c r="L7" s="34">
        <v>10.267840687802066</v>
      </c>
      <c r="M7" s="34">
        <v>10.183510302184363</v>
      </c>
      <c r="N7" s="34">
        <v>-2.9587583732118006</v>
      </c>
      <c r="O7" s="34">
        <v>6.0355568877574983</v>
      </c>
      <c r="P7" s="34">
        <v>12.448288404914987</v>
      </c>
      <c r="Q7" s="34">
        <v>11.682917902380652</v>
      </c>
      <c r="R7" s="34">
        <v>11.563633428218779</v>
      </c>
      <c r="S7" s="21"/>
      <c r="T7" s="34">
        <v>12.619902059949558</v>
      </c>
      <c r="U7" s="34">
        <v>13.860172101882073</v>
      </c>
      <c r="V7" s="22"/>
      <c r="W7" s="34">
        <v>0.41000000000000003</v>
      </c>
      <c r="X7" s="34" t="s">
        <v>90</v>
      </c>
      <c r="Y7" s="34">
        <v>0.68300000000000005</v>
      </c>
      <c r="Z7" s="56"/>
      <c r="AA7" s="56"/>
    </row>
    <row r="8" spans="1:27" customFormat="1" ht="14.5" x14ac:dyDescent="0.35">
      <c r="A8" s="30" t="s">
        <v>115</v>
      </c>
      <c r="B8" s="30" t="s">
        <v>10</v>
      </c>
      <c r="C8" s="30" t="s">
        <v>117</v>
      </c>
      <c r="D8" s="64" t="s">
        <v>173</v>
      </c>
      <c r="E8" s="32">
        <v>90</v>
      </c>
      <c r="F8" s="31">
        <v>148.81578722999998</v>
      </c>
      <c r="G8" s="33">
        <v>34209</v>
      </c>
      <c r="H8" s="21"/>
      <c r="I8" s="34">
        <v>-2.6801107570137317</v>
      </c>
      <c r="J8" s="34">
        <v>4.7811902351220681</v>
      </c>
      <c r="K8" s="34">
        <v>12.132771070692595</v>
      </c>
      <c r="L8" s="34">
        <v>10.861576412262398</v>
      </c>
      <c r="M8" s="34">
        <v>10.04118982559441</v>
      </c>
      <c r="N8" s="34">
        <v>-2.5143864455631215</v>
      </c>
      <c r="O8" s="34">
        <v>4.9603809988645331</v>
      </c>
      <c r="P8" s="34">
        <v>11.461808231764969</v>
      </c>
      <c r="Q8" s="34">
        <v>10.910583948774599</v>
      </c>
      <c r="R8" s="34">
        <v>10.990982251795888</v>
      </c>
      <c r="S8" s="21"/>
      <c r="T8" s="34">
        <v>12.414916179355473</v>
      </c>
      <c r="U8" s="34">
        <v>13.465644590971998</v>
      </c>
      <c r="V8" s="22"/>
      <c r="W8" s="34">
        <v>0.5</v>
      </c>
      <c r="X8" s="34">
        <v>0.93</v>
      </c>
      <c r="Y8" s="34" t="s">
        <v>90</v>
      </c>
      <c r="Z8" s="56"/>
      <c r="AA8" s="56"/>
    </row>
    <row r="9" spans="1:27" customFormat="1" ht="13.5" customHeight="1" x14ac:dyDescent="0.35">
      <c r="A9" s="30" t="s">
        <v>123</v>
      </c>
      <c r="B9" s="30" t="s">
        <v>125</v>
      </c>
      <c r="C9" s="30" t="s">
        <v>137</v>
      </c>
      <c r="D9" s="64" t="s">
        <v>174</v>
      </c>
      <c r="E9" s="32">
        <v>100</v>
      </c>
      <c r="F9" s="31">
        <v>55.267976640000001</v>
      </c>
      <c r="G9" s="33">
        <v>11599</v>
      </c>
      <c r="H9" s="21"/>
      <c r="I9" s="34">
        <v>-2.9961389961389973</v>
      </c>
      <c r="J9" s="34">
        <v>4.5961698584512822</v>
      </c>
      <c r="K9" s="34" t="s">
        <v>151</v>
      </c>
      <c r="L9" s="34" t="s">
        <v>151</v>
      </c>
      <c r="M9" s="34">
        <v>8.1150341873287068</v>
      </c>
      <c r="N9" s="34">
        <v>-3.1475708963734417</v>
      </c>
      <c r="O9" s="34">
        <v>5.7178423236514453</v>
      </c>
      <c r="P9" s="34" t="s">
        <v>151</v>
      </c>
      <c r="Q9" s="34" t="s">
        <v>151</v>
      </c>
      <c r="R9" s="34">
        <v>8.633746963112344</v>
      </c>
      <c r="S9" s="21"/>
      <c r="T9" s="34" t="s">
        <v>151</v>
      </c>
      <c r="U9" s="34" t="s">
        <v>151</v>
      </c>
      <c r="V9" s="22"/>
      <c r="W9" s="34">
        <v>0.4466</v>
      </c>
      <c r="X9" s="34">
        <v>0.5766</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9</v>
      </c>
      <c r="B36" s="31">
        <v>11.673789032259938</v>
      </c>
      <c r="C36" s="31">
        <v>10.057505999433713</v>
      </c>
    </row>
    <row r="37" spans="1:3" x14ac:dyDescent="0.35">
      <c r="A37" s="30" t="s">
        <v>7</v>
      </c>
      <c r="B37" s="31">
        <v>10.802716556581428</v>
      </c>
      <c r="C37" s="31">
        <v>10.216950654940749</v>
      </c>
    </row>
    <row r="38" spans="1:3" x14ac:dyDescent="0.35">
      <c r="A38" s="30" t="s">
        <v>6</v>
      </c>
      <c r="B38" s="31">
        <v>12.237609439420233</v>
      </c>
      <c r="C38" s="31">
        <v>10.534143065971801</v>
      </c>
    </row>
    <row r="39" spans="1:3" x14ac:dyDescent="0.35">
      <c r="A39" s="30" t="s">
        <v>8</v>
      </c>
      <c r="B39" s="31">
        <v>12.619902059949558</v>
      </c>
      <c r="C39" s="31">
        <v>9.7757363966547004</v>
      </c>
    </row>
    <row r="40" spans="1:3" x14ac:dyDescent="0.35">
      <c r="A40" s="30" t="s">
        <v>10</v>
      </c>
      <c r="B40" s="31">
        <v>12.414916179355473</v>
      </c>
      <c r="C40" s="31">
        <v>12.132771070692595</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9</v>
      </c>
      <c r="B66" s="31">
        <v>21.213000000000001</v>
      </c>
      <c r="C66" s="31">
        <v>10.057505999433713</v>
      </c>
      <c r="D66" s="31">
        <v>89.861743790000006</v>
      </c>
    </row>
    <row r="67" spans="1:4" x14ac:dyDescent="0.35">
      <c r="A67" s="30" t="s">
        <v>7</v>
      </c>
      <c r="B67" s="31">
        <v>34.277000000000001</v>
      </c>
      <c r="C67" s="31">
        <v>10.216950654940749</v>
      </c>
      <c r="D67" s="31">
        <v>169.79920417509999</v>
      </c>
    </row>
    <row r="68" spans="1:4" x14ac:dyDescent="0.35">
      <c r="A68" s="30" t="s">
        <v>6</v>
      </c>
      <c r="B68" s="31">
        <v>45.929000000000002</v>
      </c>
      <c r="C68" s="31">
        <v>10.534143065971801</v>
      </c>
      <c r="D68" s="31">
        <v>236.54528553999998</v>
      </c>
    </row>
    <row r="69" spans="1:4" x14ac:dyDescent="0.35">
      <c r="A69" s="30" t="s">
        <v>8</v>
      </c>
      <c r="B69" s="31">
        <v>95.326999999999998</v>
      </c>
      <c r="C69" s="31">
        <v>9.7757363966547004</v>
      </c>
      <c r="D69" s="31">
        <v>469.23351498</v>
      </c>
    </row>
    <row r="70" spans="1:4" x14ac:dyDescent="0.35">
      <c r="A70" s="30" t="s">
        <v>10</v>
      </c>
      <c r="B70" s="31">
        <v>34.209000000000003</v>
      </c>
      <c r="C70" s="31">
        <v>12.132771070692595</v>
      </c>
      <c r="D70" s="31">
        <v>148.81578722999998</v>
      </c>
    </row>
  </sheetData>
  <mergeCells count="7">
    <mergeCell ref="W1:Y1"/>
    <mergeCell ref="T1:U1"/>
    <mergeCell ref="A3:C3"/>
    <mergeCell ref="D1:D2"/>
    <mergeCell ref="F1:F2"/>
    <mergeCell ref="G1:G2"/>
    <mergeCell ref="I1:P1"/>
  </mergeCells>
  <conditionalFormatting sqref="I3:R9">
    <cfRule type="cellIs" dxfId="41" priority="9" operator="greaterThanOrEqual">
      <formula>0</formula>
    </cfRule>
    <cfRule type="cellIs" dxfId="40" priority="10" operator="lessThan">
      <formula>0</formula>
    </cfRule>
  </conditionalFormatting>
  <conditionalFormatting sqref="T4:U9">
    <cfRule type="cellIs" dxfId="39" priority="13" operator="greaterThanOrEqual">
      <formula>0</formula>
    </cfRule>
    <cfRule type="cellIs" dxfId="38" priority="14" operator="lessThan">
      <formula>0</formula>
    </cfRule>
  </conditionalFormatting>
  <conditionalFormatting sqref="W4:Y9">
    <cfRule type="cellIs" dxfId="37" priority="7" operator="greaterThanOrEqual">
      <formula>0</formula>
    </cfRule>
    <cfRule type="cellIs" dxfId="36" priority="8" operator="lessThan">
      <formula>0</formula>
    </cfRule>
  </conditionalFormatting>
  <hyperlinks>
    <hyperlink ref="C1" location="GCF_2025!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0"/>
  <sheetViews>
    <sheetView showGridLines="0" zoomScale="60" zoomScaleNormal="60" workbookViewId="0">
      <selection activeCell="I3" sqref="I3:R3"/>
    </sheetView>
  </sheetViews>
  <sheetFormatPr defaultColWidth="8.81640625" defaultRowHeight="15.5" x14ac:dyDescent="0.35"/>
  <cols>
    <col min="1" max="1" width="43.453125" style="15" customWidth="1"/>
    <col min="2" max="2" width="14.81640625" style="15" bestFit="1" customWidth="1"/>
    <col min="3" max="3" width="69.54296875" style="15" customWidth="1"/>
    <col min="4" max="4" width="13.54296875" style="15" customWidth="1"/>
    <col min="5" max="5" width="16.1796875" style="15" bestFit="1" customWidth="1"/>
    <col min="6" max="6" width="19.453125" style="15" customWidth="1"/>
    <col min="7" max="7" width="15.1796875" style="15" customWidth="1"/>
    <col min="8" max="8" width="1.453125" style="15" customWidth="1"/>
    <col min="9" max="10" width="16" style="15" customWidth="1"/>
    <col min="11" max="13" width="18.453125" style="15" customWidth="1"/>
    <col min="14" max="15" width="17.453125" style="15" customWidth="1"/>
    <col min="16" max="16" width="16.81640625" style="15" customWidth="1"/>
    <col min="17" max="18" width="17.453125" style="15" customWidth="1"/>
    <col min="19" max="19" width="1.453125" style="15" customWidth="1"/>
    <col min="20" max="20" width="19.54296875" style="15" customWidth="1"/>
    <col min="21" max="21" width="22.453125" style="15" customWidth="1"/>
    <col min="22" max="22" width="1.453125" style="15" customWidth="1"/>
    <col min="23" max="24" width="8.81640625" style="15"/>
    <col min="25" max="25" width="14.5429687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4.5"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51</v>
      </c>
      <c r="B3" s="100"/>
      <c r="C3" s="100"/>
      <c r="D3" s="42"/>
      <c r="E3" s="42"/>
      <c r="F3" s="43"/>
      <c r="G3" s="68" t="s">
        <v>97</v>
      </c>
      <c r="H3" s="43"/>
      <c r="I3" s="65">
        <v>-3.0290633881187037</v>
      </c>
      <c r="J3" s="65">
        <v>3.7575805005121152</v>
      </c>
      <c r="K3" s="65">
        <v>10.384743630374079</v>
      </c>
      <c r="L3" s="65">
        <v>10.402822199986606</v>
      </c>
      <c r="M3" s="65">
        <v>10.158696678463638</v>
      </c>
      <c r="N3" s="65">
        <v>-2.6013329464732937</v>
      </c>
      <c r="O3" s="65">
        <v>6.0039299148000493</v>
      </c>
      <c r="P3" s="65">
        <v>12.40397656915099</v>
      </c>
      <c r="Q3" s="65">
        <v>11.792871822708957</v>
      </c>
      <c r="R3" s="65">
        <v>11.595008777522505</v>
      </c>
      <c r="S3" s="43"/>
      <c r="T3" s="43"/>
      <c r="U3" s="43"/>
      <c r="V3" s="43"/>
      <c r="W3" s="43"/>
      <c r="X3" s="43"/>
      <c r="Y3" s="43"/>
    </row>
    <row r="4" spans="1:27" customFormat="1" ht="14.5" x14ac:dyDescent="0.35">
      <c r="A4" s="30" t="s">
        <v>36</v>
      </c>
      <c r="B4" s="30" t="s">
        <v>14</v>
      </c>
      <c r="C4" s="30" t="s">
        <v>52</v>
      </c>
      <c r="D4" s="64" t="s">
        <v>173</v>
      </c>
      <c r="E4" s="32">
        <v>90</v>
      </c>
      <c r="F4" s="31">
        <v>158.96977634999999</v>
      </c>
      <c r="G4" s="33">
        <v>28008</v>
      </c>
      <c r="H4" s="21"/>
      <c r="I4" s="34">
        <v>-3.3463201152799216</v>
      </c>
      <c r="J4" s="34">
        <v>4.3503313166234348</v>
      </c>
      <c r="K4" s="34">
        <v>10.111552025049008</v>
      </c>
      <c r="L4" s="34">
        <v>9.3181043731804802</v>
      </c>
      <c r="M4" s="34">
        <v>9.5648884518566568</v>
      </c>
      <c r="N4" s="34">
        <v>-1.7379078095590139</v>
      </c>
      <c r="O4" s="34">
        <v>6.6521201970206834</v>
      </c>
      <c r="P4" s="34">
        <v>11.494411062657806</v>
      </c>
      <c r="Q4" s="34">
        <v>10.772683713003484</v>
      </c>
      <c r="R4" s="34">
        <v>10.871767630124364</v>
      </c>
      <c r="S4" s="21"/>
      <c r="T4" s="34">
        <v>11.61102235306978</v>
      </c>
      <c r="U4" s="34">
        <v>12.576839997923251</v>
      </c>
      <c r="V4" s="22"/>
      <c r="W4" s="34">
        <v>0.49</v>
      </c>
      <c r="X4" s="34">
        <v>0.72</v>
      </c>
      <c r="Y4" s="34" t="s">
        <v>90</v>
      </c>
      <c r="Z4" s="56"/>
      <c r="AA4" s="56"/>
    </row>
    <row r="5" spans="1:27" customFormat="1" ht="14.5" x14ac:dyDescent="0.35">
      <c r="A5" s="30" t="s">
        <v>175</v>
      </c>
      <c r="B5" s="30" t="s">
        <v>12</v>
      </c>
      <c r="C5" s="30" t="s">
        <v>179</v>
      </c>
      <c r="D5" s="64" t="s">
        <v>173</v>
      </c>
      <c r="E5" s="32">
        <v>97</v>
      </c>
      <c r="F5" s="31">
        <v>288.5697114084</v>
      </c>
      <c r="G5" s="33">
        <v>42074</v>
      </c>
      <c r="H5" s="21"/>
      <c r="I5" s="34">
        <v>-1.5950537746142301</v>
      </c>
      <c r="J5" s="34">
        <v>4.7682265737360341</v>
      </c>
      <c r="K5" s="34">
        <v>10.256032204938492</v>
      </c>
      <c r="L5" s="34">
        <v>10.881809903958173</v>
      </c>
      <c r="M5" s="34">
        <v>10.322692035104231</v>
      </c>
      <c r="N5" s="34">
        <v>-2.3230412685191659</v>
      </c>
      <c r="O5" s="34">
        <v>5.4035595821961602</v>
      </c>
      <c r="P5" s="34">
        <v>11.86908926772341</v>
      </c>
      <c r="Q5" s="34">
        <v>11.73812806854848</v>
      </c>
      <c r="R5" s="34">
        <v>11.475391806339763</v>
      </c>
      <c r="S5" s="21"/>
      <c r="T5" s="34">
        <v>10.748348151987869</v>
      </c>
      <c r="U5" s="34">
        <v>13.710454028349703</v>
      </c>
      <c r="V5" s="22"/>
      <c r="W5" s="34">
        <v>0.5</v>
      </c>
      <c r="X5" s="34">
        <v>1.26</v>
      </c>
      <c r="Y5" s="34">
        <v>1.26</v>
      </c>
      <c r="Z5" s="56"/>
      <c r="AA5" s="56"/>
    </row>
    <row r="6" spans="1:27" customFormat="1" ht="14.5" x14ac:dyDescent="0.35">
      <c r="A6" s="30" t="s">
        <v>87</v>
      </c>
      <c r="B6" s="30" t="s">
        <v>11</v>
      </c>
      <c r="C6" s="30" t="s">
        <v>53</v>
      </c>
      <c r="D6" s="64" t="s">
        <v>173</v>
      </c>
      <c r="E6" s="32">
        <v>98</v>
      </c>
      <c r="F6" s="31">
        <v>498.15549736999998</v>
      </c>
      <c r="G6" s="33">
        <v>74059</v>
      </c>
      <c r="H6" s="21"/>
      <c r="I6" s="34">
        <v>-3.5173824130879328</v>
      </c>
      <c r="J6" s="34">
        <v>3.9951507136165798</v>
      </c>
      <c r="K6" s="34">
        <v>10.468970016561441</v>
      </c>
      <c r="L6" s="34">
        <v>10.219138804387695</v>
      </c>
      <c r="M6" s="34">
        <v>10.261675214002919</v>
      </c>
      <c r="N6" s="34">
        <v>-2.5556197780668644</v>
      </c>
      <c r="O6" s="34">
        <v>6.6510283046122387</v>
      </c>
      <c r="P6" s="34">
        <v>13.411113412132858</v>
      </c>
      <c r="Q6" s="34">
        <v>12.727405550243409</v>
      </c>
      <c r="R6" s="34">
        <v>12.572326872414564</v>
      </c>
      <c r="S6" s="21"/>
      <c r="T6" s="34">
        <v>12.184202690834853</v>
      </c>
      <c r="U6" s="34">
        <v>14.10050863050985</v>
      </c>
      <c r="V6" s="22"/>
      <c r="W6" s="34">
        <v>0.5</v>
      </c>
      <c r="X6" s="34" t="s">
        <v>90</v>
      </c>
      <c r="Y6" s="34">
        <v>0.82</v>
      </c>
      <c r="Z6" s="56"/>
      <c r="AA6" s="56"/>
    </row>
    <row r="7" spans="1:27" customFormat="1" ht="14.5" x14ac:dyDescent="0.35">
      <c r="A7" s="30" t="s">
        <v>88</v>
      </c>
      <c r="B7" s="30" t="s">
        <v>13</v>
      </c>
      <c r="C7" s="30" t="s">
        <v>103</v>
      </c>
      <c r="D7" s="64" t="s">
        <v>173</v>
      </c>
      <c r="E7" s="32">
        <v>97</v>
      </c>
      <c r="F7" s="31">
        <v>645.02391646000001</v>
      </c>
      <c r="G7" s="33">
        <v>113528</v>
      </c>
      <c r="H7" s="21"/>
      <c r="I7" s="34">
        <v>-3.4118389233519064</v>
      </c>
      <c r="J7" s="34">
        <v>2.4878674624867481</v>
      </c>
      <c r="K7" s="34">
        <v>9.7669929148118904</v>
      </c>
      <c r="L7" s="34">
        <v>10.441454452775933</v>
      </c>
      <c r="M7" s="34">
        <v>10.350065033525823</v>
      </c>
      <c r="N7" s="34">
        <v>-2.9587583732118006</v>
      </c>
      <c r="O7" s="34">
        <v>6.0355568877574983</v>
      </c>
      <c r="P7" s="34">
        <v>12.448288404914987</v>
      </c>
      <c r="Q7" s="34">
        <v>11.682917902380652</v>
      </c>
      <c r="R7" s="34">
        <v>11.563633428218779</v>
      </c>
      <c r="S7" s="21"/>
      <c r="T7" s="34">
        <v>12.584836515534334</v>
      </c>
      <c r="U7" s="34">
        <v>13.860172101882073</v>
      </c>
      <c r="V7" s="22"/>
      <c r="W7" s="34">
        <v>0.41000000000000003</v>
      </c>
      <c r="X7" s="34" t="s">
        <v>90</v>
      </c>
      <c r="Y7" s="34">
        <v>0.68959999999999999</v>
      </c>
      <c r="Z7" s="56"/>
      <c r="AA7" s="56"/>
    </row>
    <row r="8" spans="1:27" customFormat="1" ht="14.5" x14ac:dyDescent="0.35">
      <c r="A8" s="30" t="s">
        <v>115</v>
      </c>
      <c r="B8" s="30" t="s">
        <v>15</v>
      </c>
      <c r="C8" s="30" t="s">
        <v>118</v>
      </c>
      <c r="D8" s="64" t="s">
        <v>173</v>
      </c>
      <c r="E8" s="32">
        <v>90</v>
      </c>
      <c r="F8" s="31">
        <v>245.54768002</v>
      </c>
      <c r="G8" s="33">
        <v>47990</v>
      </c>
      <c r="H8" s="21"/>
      <c r="I8" s="34">
        <v>-2.5192076517012496</v>
      </c>
      <c r="J8" s="34">
        <v>4.8574801821555047</v>
      </c>
      <c r="K8" s="34">
        <v>12.1647546486072</v>
      </c>
      <c r="L8" s="34">
        <v>10.813333808632674</v>
      </c>
      <c r="M8" s="34">
        <v>10.062077267312318</v>
      </c>
      <c r="N8" s="34">
        <v>-2.5143864455631215</v>
      </c>
      <c r="O8" s="34">
        <v>4.9603809988645331</v>
      </c>
      <c r="P8" s="34">
        <v>11.461808231764969</v>
      </c>
      <c r="Q8" s="34">
        <v>10.910583948774599</v>
      </c>
      <c r="R8" s="34">
        <v>10.990982251795888</v>
      </c>
      <c r="S8" s="21"/>
      <c r="T8" s="34">
        <v>12.424366528542377</v>
      </c>
      <c r="U8" s="34">
        <v>13.465644590971998</v>
      </c>
      <c r="V8" s="22"/>
      <c r="W8" s="34">
        <v>0.5</v>
      </c>
      <c r="X8" s="34">
        <v>0.97</v>
      </c>
      <c r="Y8" s="34" t="s">
        <v>90</v>
      </c>
      <c r="Z8" s="56"/>
      <c r="AA8" s="56"/>
    </row>
    <row r="9" spans="1:27" customFormat="1" ht="14.5" x14ac:dyDescent="0.35">
      <c r="A9" s="30" t="s">
        <v>123</v>
      </c>
      <c r="B9" s="30" t="s">
        <v>126</v>
      </c>
      <c r="C9" s="30" t="s">
        <v>136</v>
      </c>
      <c r="D9" s="64" t="s">
        <v>174</v>
      </c>
      <c r="E9" s="32">
        <v>100</v>
      </c>
      <c r="F9" s="31">
        <v>57.0060707819</v>
      </c>
      <c r="G9" s="33">
        <v>8537</v>
      </c>
      <c r="H9" s="21"/>
      <c r="I9" s="34">
        <v>-3.0012281240405225</v>
      </c>
      <c r="J9" s="34">
        <v>4.5416942422236817</v>
      </c>
      <c r="K9" s="34" t="s">
        <v>151</v>
      </c>
      <c r="L9" s="34" t="s">
        <v>151</v>
      </c>
      <c r="M9" s="34">
        <v>8.3354110609920049</v>
      </c>
      <c r="N9" s="34">
        <v>-3.1475708963734417</v>
      </c>
      <c r="O9" s="34">
        <v>5.7178423236514453</v>
      </c>
      <c r="P9" s="34" t="s">
        <v>151</v>
      </c>
      <c r="Q9" s="34" t="s">
        <v>151</v>
      </c>
      <c r="R9" s="34">
        <v>8.633746963112344</v>
      </c>
      <c r="S9" s="21"/>
      <c r="T9" s="34" t="s">
        <v>151</v>
      </c>
      <c r="U9" s="34" t="s">
        <v>151</v>
      </c>
      <c r="V9" s="22"/>
      <c r="W9" s="34">
        <v>0.4466</v>
      </c>
      <c r="X9" s="34">
        <v>0.57699999999999996</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c r="B23" s="95"/>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14</v>
      </c>
      <c r="B36" s="31">
        <v>11.61102235306978</v>
      </c>
      <c r="C36" s="31">
        <v>10.111552025049008</v>
      </c>
    </row>
    <row r="37" spans="1:3" x14ac:dyDescent="0.35">
      <c r="A37" s="30" t="s">
        <v>12</v>
      </c>
      <c r="B37" s="31">
        <v>10.748348151987869</v>
      </c>
      <c r="C37" s="31">
        <v>10.256032204938492</v>
      </c>
    </row>
    <row r="38" spans="1:3" x14ac:dyDescent="0.35">
      <c r="A38" s="30" t="s">
        <v>11</v>
      </c>
      <c r="B38" s="31">
        <v>12.184202690834853</v>
      </c>
      <c r="C38" s="31">
        <v>10.468970016561441</v>
      </c>
    </row>
    <row r="39" spans="1:3" x14ac:dyDescent="0.35">
      <c r="A39" s="30" t="s">
        <v>13</v>
      </c>
      <c r="B39" s="31">
        <v>12.584836515534334</v>
      </c>
      <c r="C39" s="31">
        <v>9.7669929148118904</v>
      </c>
    </row>
    <row r="40" spans="1:3" x14ac:dyDescent="0.35">
      <c r="A40" s="30" t="s">
        <v>15</v>
      </c>
      <c r="B40" s="31">
        <v>12.424366528542377</v>
      </c>
      <c r="C40" s="31">
        <v>12.1647546486072</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14</v>
      </c>
      <c r="B66" s="31">
        <v>28.007999999999999</v>
      </c>
      <c r="C66" s="31">
        <v>10.111552025049008</v>
      </c>
      <c r="D66" s="31">
        <v>158.96977634999999</v>
      </c>
    </row>
    <row r="67" spans="1:4" x14ac:dyDescent="0.35">
      <c r="A67" s="30" t="s">
        <v>12</v>
      </c>
      <c r="B67" s="31">
        <v>42.073999999999998</v>
      </c>
      <c r="C67" s="31">
        <v>10.256032204938492</v>
      </c>
      <c r="D67" s="31">
        <v>288.5697114084</v>
      </c>
    </row>
    <row r="68" spans="1:4" x14ac:dyDescent="0.35">
      <c r="A68" s="30" t="s">
        <v>11</v>
      </c>
      <c r="B68" s="31">
        <v>74.058999999999997</v>
      </c>
      <c r="C68" s="31">
        <v>10.468970016561441</v>
      </c>
      <c r="D68" s="31">
        <v>498.15549736999998</v>
      </c>
    </row>
    <row r="69" spans="1:4" x14ac:dyDescent="0.35">
      <c r="A69" s="30" t="s">
        <v>13</v>
      </c>
      <c r="B69" s="31">
        <v>113.52800000000001</v>
      </c>
      <c r="C69" s="31">
        <v>9.7669929148118904</v>
      </c>
      <c r="D69" s="31">
        <v>645.02391646000001</v>
      </c>
    </row>
    <row r="70" spans="1:4" x14ac:dyDescent="0.35">
      <c r="A70" s="30" t="s">
        <v>15</v>
      </c>
      <c r="B70" s="31">
        <v>47.99</v>
      </c>
      <c r="C70" s="31">
        <v>12.1647546486072</v>
      </c>
      <c r="D70" s="31">
        <v>245.54768002</v>
      </c>
    </row>
  </sheetData>
  <mergeCells count="7">
    <mergeCell ref="W1:Y1"/>
    <mergeCell ref="T1:U1"/>
    <mergeCell ref="A3:C3"/>
    <mergeCell ref="D1:D2"/>
    <mergeCell ref="F1:F2"/>
    <mergeCell ref="G1:G2"/>
    <mergeCell ref="I1:P1"/>
  </mergeCells>
  <conditionalFormatting sqref="I3:R9">
    <cfRule type="cellIs" dxfId="35" priority="1" operator="greaterThanOrEqual">
      <formula>0</formula>
    </cfRule>
    <cfRule type="cellIs" dxfId="34" priority="2" operator="lessThan">
      <formula>0</formula>
    </cfRule>
  </conditionalFormatting>
  <conditionalFormatting sqref="T4:U9">
    <cfRule type="cellIs" dxfId="33" priority="9" operator="greaterThanOrEqual">
      <formula>0</formula>
    </cfRule>
    <cfRule type="cellIs" dxfId="32" priority="10"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5!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0"/>
  <sheetViews>
    <sheetView showGridLines="0" topLeftCell="B1" zoomScale="60" zoomScaleNormal="60" workbookViewId="0">
      <selection activeCell="I3" sqref="I3:R3"/>
    </sheetView>
  </sheetViews>
  <sheetFormatPr defaultColWidth="8.81640625" defaultRowHeight="15.5" x14ac:dyDescent="0.35"/>
  <cols>
    <col min="1" max="1" width="42.453125" style="15" customWidth="1"/>
    <col min="2" max="2" width="14.81640625" style="15" bestFit="1" customWidth="1"/>
    <col min="3" max="3" width="67.1796875" style="15" customWidth="1"/>
    <col min="4" max="4" width="13.453125" style="15" customWidth="1"/>
    <col min="5" max="5" width="15.1796875" style="15" customWidth="1"/>
    <col min="6" max="6" width="13" style="15" customWidth="1"/>
    <col min="7" max="7" width="14.453125" style="15" customWidth="1"/>
    <col min="8" max="8" width="1.1796875" style="15" customWidth="1"/>
    <col min="9" max="10" width="18.453125" style="15" customWidth="1"/>
    <col min="11" max="13" width="17.453125" style="15" customWidth="1"/>
    <col min="14" max="15" width="18.453125" style="15" customWidth="1"/>
    <col min="16" max="18" width="17.453125" style="15" customWidth="1"/>
    <col min="19" max="19" width="1.1796875" style="15" customWidth="1"/>
    <col min="20" max="21" width="18.453125" style="15" customWidth="1"/>
    <col min="22" max="22" width="1.1796875" style="15" customWidth="1"/>
    <col min="23" max="24" width="8.81640625" style="15"/>
    <col min="25" max="25" width="12.45312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4.5"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54</v>
      </c>
      <c r="B3" s="100"/>
      <c r="C3" s="100"/>
      <c r="D3" s="42"/>
      <c r="E3" s="42"/>
      <c r="F3" s="43"/>
      <c r="G3" s="68" t="s">
        <v>97</v>
      </c>
      <c r="H3" s="43"/>
      <c r="I3" s="65">
        <v>-3.0471945428249181</v>
      </c>
      <c r="J3" s="65">
        <v>3.7469390198159216</v>
      </c>
      <c r="K3" s="65">
        <v>10.352037562439559</v>
      </c>
      <c r="L3" s="65">
        <v>10.359482390153721</v>
      </c>
      <c r="M3" s="65">
        <v>10.24710416348489</v>
      </c>
      <c r="N3" s="65">
        <v>-2.6045035770585763</v>
      </c>
      <c r="O3" s="65">
        <v>6.0242000402820004</v>
      </c>
      <c r="P3" s="65">
        <v>12.434865006457233</v>
      </c>
      <c r="Q3" s="65">
        <v>11.811566539951034</v>
      </c>
      <c r="R3" s="65">
        <v>11.777905927160639</v>
      </c>
      <c r="S3" s="43"/>
      <c r="T3" s="43"/>
      <c r="U3" s="43"/>
      <c r="V3" s="43"/>
      <c r="W3" s="43"/>
      <c r="X3" s="43"/>
      <c r="Y3" s="43"/>
    </row>
    <row r="4" spans="1:27" customFormat="1" ht="14.5" x14ac:dyDescent="0.35">
      <c r="A4" s="30" t="s">
        <v>36</v>
      </c>
      <c r="B4" s="30" t="s">
        <v>19</v>
      </c>
      <c r="C4" s="30" t="s">
        <v>55</v>
      </c>
      <c r="D4" s="64" t="s">
        <v>173</v>
      </c>
      <c r="E4" s="32">
        <v>90</v>
      </c>
      <c r="F4" s="31">
        <v>166.15439949</v>
      </c>
      <c r="G4" s="33">
        <v>20042</v>
      </c>
      <c r="H4" s="21"/>
      <c r="I4" s="34">
        <v>-3.4589186888037471</v>
      </c>
      <c r="J4" s="34">
        <v>4.3003334483155076</v>
      </c>
      <c r="K4" s="34">
        <v>10.152013271453253</v>
      </c>
      <c r="L4" s="34">
        <v>9.4095791569036571</v>
      </c>
      <c r="M4" s="34">
        <v>9.5946443874075129</v>
      </c>
      <c r="N4" s="34">
        <v>-1.7379078095590139</v>
      </c>
      <c r="O4" s="34">
        <v>6.6521201970206834</v>
      </c>
      <c r="P4" s="34">
        <v>11.494411062657806</v>
      </c>
      <c r="Q4" s="34">
        <v>10.772683713003484</v>
      </c>
      <c r="R4" s="34">
        <v>10.871767630124364</v>
      </c>
      <c r="S4" s="22"/>
      <c r="T4" s="34">
        <v>11.624721033589907</v>
      </c>
      <c r="U4" s="34">
        <v>12.576839997923251</v>
      </c>
      <c r="V4" s="22"/>
      <c r="W4" s="34">
        <v>0.49</v>
      </c>
      <c r="X4" s="34">
        <v>0.72</v>
      </c>
      <c r="Y4" s="34" t="s">
        <v>90</v>
      </c>
      <c r="Z4" s="56"/>
      <c r="AA4" s="56"/>
    </row>
    <row r="5" spans="1:27" customFormat="1" ht="14.5" x14ac:dyDescent="0.35">
      <c r="A5" s="30" t="s">
        <v>175</v>
      </c>
      <c r="B5" s="30" t="s">
        <v>17</v>
      </c>
      <c r="C5" s="30" t="s">
        <v>180</v>
      </c>
      <c r="D5" s="64" t="s">
        <v>173</v>
      </c>
      <c r="E5" s="32">
        <v>97</v>
      </c>
      <c r="F5" s="31">
        <v>282.81150132130006</v>
      </c>
      <c r="G5" s="33">
        <v>26365</v>
      </c>
      <c r="H5" s="21"/>
      <c r="I5" s="34">
        <v>-1.4825566326266082</v>
      </c>
      <c r="J5" s="34">
        <v>4.7684674751929501</v>
      </c>
      <c r="K5" s="34">
        <v>10.17708181714343</v>
      </c>
      <c r="L5" s="34">
        <v>10.850114763342521</v>
      </c>
      <c r="M5" s="34">
        <v>10.380843897957192</v>
      </c>
      <c r="N5" s="34">
        <v>-2.2880949075680834</v>
      </c>
      <c r="O5" s="34">
        <v>5.4412703267414875</v>
      </c>
      <c r="P5" s="34">
        <v>11.882428993167293</v>
      </c>
      <c r="Q5" s="34">
        <v>11.746122343359101</v>
      </c>
      <c r="R5" s="34">
        <v>11.48152544563359</v>
      </c>
      <c r="S5" s="22"/>
      <c r="T5" s="34">
        <v>10.651994037771505</v>
      </c>
      <c r="U5" s="34">
        <v>13.686085424880922</v>
      </c>
      <c r="V5" s="22"/>
      <c r="W5" s="34">
        <v>0.5</v>
      </c>
      <c r="X5" s="34">
        <v>1.28</v>
      </c>
      <c r="Y5" s="34">
        <v>1.28</v>
      </c>
      <c r="Z5" s="56"/>
      <c r="AA5" s="56"/>
    </row>
    <row r="6" spans="1:27" customFormat="1" ht="14.5" x14ac:dyDescent="0.35">
      <c r="A6" s="30" t="s">
        <v>87</v>
      </c>
      <c r="B6" s="30" t="s">
        <v>16</v>
      </c>
      <c r="C6" s="30" t="s">
        <v>56</v>
      </c>
      <c r="D6" s="64" t="s">
        <v>173</v>
      </c>
      <c r="E6" s="32">
        <v>98</v>
      </c>
      <c r="F6" s="31">
        <v>601.19621687000006</v>
      </c>
      <c r="G6" s="33">
        <v>62365</v>
      </c>
      <c r="H6" s="21"/>
      <c r="I6" s="34">
        <v>-3.4932090412469363</v>
      </c>
      <c r="J6" s="34">
        <v>4.0583626047014265</v>
      </c>
      <c r="K6" s="34">
        <v>10.432506160843126</v>
      </c>
      <c r="L6" s="34">
        <v>10.196942636994377</v>
      </c>
      <c r="M6" s="34">
        <v>10.60383152796247</v>
      </c>
      <c r="N6" s="34">
        <v>-2.5554049232338394</v>
      </c>
      <c r="O6" s="34">
        <v>6.6509979330913405</v>
      </c>
      <c r="P6" s="34">
        <v>13.411023228539465</v>
      </c>
      <c r="Q6" s="34">
        <v>12.727413819995981</v>
      </c>
      <c r="R6" s="34">
        <v>13.053336378356706</v>
      </c>
      <c r="S6" s="22"/>
      <c r="T6" s="34">
        <v>12.136671335670888</v>
      </c>
      <c r="U6" s="34">
        <v>14.100560791461008</v>
      </c>
      <c r="V6" s="22"/>
      <c r="W6" s="34">
        <v>0.5</v>
      </c>
      <c r="X6" s="34" t="s">
        <v>90</v>
      </c>
      <c r="Y6" s="34">
        <v>0.82</v>
      </c>
      <c r="Z6" s="56"/>
      <c r="AA6" s="56"/>
    </row>
    <row r="7" spans="1:27" customFormat="1" ht="14.5" x14ac:dyDescent="0.35">
      <c r="A7" s="30" t="s">
        <v>88</v>
      </c>
      <c r="B7" s="30" t="s">
        <v>18</v>
      </c>
      <c r="C7" s="30" t="s">
        <v>104</v>
      </c>
      <c r="D7" s="64" t="s">
        <v>173</v>
      </c>
      <c r="E7" s="32">
        <v>97</v>
      </c>
      <c r="F7" s="31">
        <v>747.36154163000003</v>
      </c>
      <c r="G7" s="33">
        <v>96960</v>
      </c>
      <c r="H7" s="21"/>
      <c r="I7" s="34">
        <v>-3.3690093319976855</v>
      </c>
      <c r="J7" s="34">
        <v>2.5457393834275033</v>
      </c>
      <c r="K7" s="34">
        <v>9.7431748772119917</v>
      </c>
      <c r="L7" s="34">
        <v>10.436727405829771</v>
      </c>
      <c r="M7" s="34">
        <v>10.35231229730722</v>
      </c>
      <c r="N7" s="34">
        <v>-2.9587583732118006</v>
      </c>
      <c r="O7" s="34">
        <v>6.0355568877574983</v>
      </c>
      <c r="P7" s="34">
        <v>12.448288404914987</v>
      </c>
      <c r="Q7" s="34">
        <v>11.682917902380652</v>
      </c>
      <c r="R7" s="34">
        <v>11.563633428218779</v>
      </c>
      <c r="S7" s="22"/>
      <c r="T7" s="34">
        <v>12.477451816150523</v>
      </c>
      <c r="U7" s="34">
        <v>13.860172101882073</v>
      </c>
      <c r="V7" s="22"/>
      <c r="W7" s="34">
        <v>0.41000000000000003</v>
      </c>
      <c r="X7" s="34" t="s">
        <v>90</v>
      </c>
      <c r="Y7" s="34">
        <v>0.69630000000000003</v>
      </c>
      <c r="Z7" s="56"/>
      <c r="AA7" s="56"/>
    </row>
    <row r="8" spans="1:27" customFormat="1" ht="14.5" x14ac:dyDescent="0.35">
      <c r="A8" s="30" t="s">
        <v>115</v>
      </c>
      <c r="B8" s="30" t="s">
        <v>20</v>
      </c>
      <c r="C8" s="30" t="s">
        <v>119</v>
      </c>
      <c r="D8" s="64" t="s">
        <v>173</v>
      </c>
      <c r="E8" s="32">
        <v>90</v>
      </c>
      <c r="F8" s="31">
        <v>292.27374061</v>
      </c>
      <c r="G8" s="33">
        <v>40122</v>
      </c>
      <c r="H8" s="21"/>
      <c r="I8" s="34">
        <v>-2.5975402883799958</v>
      </c>
      <c r="J8" s="34">
        <v>4.7429027476912466</v>
      </c>
      <c r="K8" s="34">
        <v>12.026418401643424</v>
      </c>
      <c r="L8" s="34">
        <v>10.561561625202831</v>
      </c>
      <c r="M8" s="34">
        <v>9.8090566240871535</v>
      </c>
      <c r="N8" s="34">
        <v>-2.5143864455631215</v>
      </c>
      <c r="O8" s="34">
        <v>4.9603809988645331</v>
      </c>
      <c r="P8" s="34">
        <v>11.461808231764969</v>
      </c>
      <c r="Q8" s="34">
        <v>10.910583948774599</v>
      </c>
      <c r="R8" s="34">
        <v>10.990982251795888</v>
      </c>
      <c r="S8" s="22"/>
      <c r="T8" s="34">
        <v>12.448054067532411</v>
      </c>
      <c r="U8" s="34">
        <v>13.465644590971998</v>
      </c>
      <c r="V8" s="22"/>
      <c r="W8" s="34">
        <v>0.5</v>
      </c>
      <c r="X8" s="34">
        <v>0.98</v>
      </c>
      <c r="Y8" s="34" t="s">
        <v>90</v>
      </c>
      <c r="Z8" s="56"/>
      <c r="AA8" s="56"/>
    </row>
    <row r="9" spans="1:27" customFormat="1" ht="14.5" x14ac:dyDescent="0.35">
      <c r="A9" s="30" t="s">
        <v>123</v>
      </c>
      <c r="B9" s="30" t="s">
        <v>127</v>
      </c>
      <c r="C9" s="30" t="s">
        <v>135</v>
      </c>
      <c r="D9" s="64" t="s">
        <v>174</v>
      </c>
      <c r="E9" s="32">
        <v>100</v>
      </c>
      <c r="F9" s="31">
        <v>45.248710040799999</v>
      </c>
      <c r="G9" s="33">
        <v>4025</v>
      </c>
      <c r="H9" s="21"/>
      <c r="I9" s="34">
        <v>-2.9777057779834859</v>
      </c>
      <c r="J9" s="34">
        <v>4.5991350632069272</v>
      </c>
      <c r="K9" s="34" t="s">
        <v>151</v>
      </c>
      <c r="L9" s="34" t="s">
        <v>151</v>
      </c>
      <c r="M9" s="34">
        <v>8.1591786760989216</v>
      </c>
      <c r="N9" s="34">
        <v>-3.1475708963734417</v>
      </c>
      <c r="O9" s="34">
        <v>5.7178423236514453</v>
      </c>
      <c r="P9" s="34" t="s">
        <v>151</v>
      </c>
      <c r="Q9" s="34" t="s">
        <v>151</v>
      </c>
      <c r="R9" s="34">
        <v>8.633746963112344</v>
      </c>
      <c r="S9" s="22"/>
      <c r="T9" s="34" t="s">
        <v>151</v>
      </c>
      <c r="U9" s="34" t="s">
        <v>151</v>
      </c>
      <c r="V9" s="22"/>
      <c r="W9" s="34">
        <v>0.44690000000000002</v>
      </c>
      <c r="X9" s="34">
        <v>0.57820000000000005</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19</v>
      </c>
      <c r="B36" s="31">
        <v>11.624721033589907</v>
      </c>
      <c r="C36" s="31">
        <v>10.152013271453253</v>
      </c>
    </row>
    <row r="37" spans="1:3" x14ac:dyDescent="0.35">
      <c r="A37" s="30" t="s">
        <v>17</v>
      </c>
      <c r="B37" s="31">
        <v>10.651994037771505</v>
      </c>
      <c r="C37" s="31">
        <v>10.17708181714343</v>
      </c>
    </row>
    <row r="38" spans="1:3" x14ac:dyDescent="0.35">
      <c r="A38" s="30" t="s">
        <v>16</v>
      </c>
      <c r="B38" s="31">
        <v>12.136671335670888</v>
      </c>
      <c r="C38" s="31">
        <v>10.432506160843126</v>
      </c>
    </row>
    <row r="39" spans="1:3" x14ac:dyDescent="0.35">
      <c r="A39" s="30" t="s">
        <v>18</v>
      </c>
      <c r="B39" s="31">
        <v>12.477451816150523</v>
      </c>
      <c r="C39" s="31">
        <v>9.7431748772119917</v>
      </c>
    </row>
    <row r="40" spans="1:3" x14ac:dyDescent="0.35">
      <c r="A40" s="30" t="s">
        <v>20</v>
      </c>
      <c r="B40" s="31">
        <v>12.448054067532411</v>
      </c>
      <c r="C40" s="31">
        <v>12.026418401643424</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17</v>
      </c>
      <c r="B66" s="31">
        <v>26.364999999999998</v>
      </c>
      <c r="C66" s="31">
        <v>10.17708181714343</v>
      </c>
      <c r="D66" s="31">
        <v>282.81150132130006</v>
      </c>
    </row>
    <row r="67" spans="1:4" x14ac:dyDescent="0.35">
      <c r="A67" s="30" t="s">
        <v>19</v>
      </c>
      <c r="B67" s="31">
        <v>20.042000000000002</v>
      </c>
      <c r="C67" s="31">
        <v>10.152013271453253</v>
      </c>
      <c r="D67" s="31">
        <v>166.15439949</v>
      </c>
    </row>
    <row r="68" spans="1:4" x14ac:dyDescent="0.35">
      <c r="A68" s="30" t="s">
        <v>16</v>
      </c>
      <c r="B68" s="31">
        <v>62.365000000000002</v>
      </c>
      <c r="C68" s="31">
        <v>10.432506160843126</v>
      </c>
      <c r="D68" s="31">
        <v>601.19621687000006</v>
      </c>
    </row>
    <row r="69" spans="1:4" x14ac:dyDescent="0.35">
      <c r="A69" s="30" t="s">
        <v>18</v>
      </c>
      <c r="B69" s="31">
        <v>96.96</v>
      </c>
      <c r="C69" s="31">
        <v>9.7431748772119917</v>
      </c>
      <c r="D69" s="31">
        <v>747.36154163000003</v>
      </c>
    </row>
    <row r="70" spans="1:4" x14ac:dyDescent="0.35">
      <c r="A70" s="30" t="s">
        <v>20</v>
      </c>
      <c r="B70" s="31">
        <v>40.122</v>
      </c>
      <c r="C70" s="31">
        <v>12.026418401643424</v>
      </c>
      <c r="D70" s="31">
        <v>292.27374061</v>
      </c>
    </row>
  </sheetData>
  <mergeCells count="7">
    <mergeCell ref="W1:Y1"/>
    <mergeCell ref="T1:U1"/>
    <mergeCell ref="A3:C3"/>
    <mergeCell ref="D1:D2"/>
    <mergeCell ref="F1:F2"/>
    <mergeCell ref="G1:G2"/>
    <mergeCell ref="I1:P1"/>
  </mergeCells>
  <conditionalFormatting sqref="I3:R9">
    <cfRule type="cellIs" dxfId="29" priority="5" operator="greaterThanOrEqual">
      <formula>0</formula>
    </cfRule>
    <cfRule type="cellIs" dxfId="28" priority="6" operator="lessThan">
      <formula>0</formula>
    </cfRule>
  </conditionalFormatting>
  <conditionalFormatting sqref="T4:U9">
    <cfRule type="cellIs" dxfId="27" priority="3" operator="greaterThanOrEqual">
      <formula>0</formula>
    </cfRule>
    <cfRule type="cellIs" dxfId="26" priority="4" operator="lessThan">
      <formula>0</formula>
    </cfRule>
  </conditionalFormatting>
  <conditionalFormatting sqref="W4:Y9">
    <cfRule type="cellIs" dxfId="25" priority="1" operator="greaterThanOrEqual">
      <formula>0</formula>
    </cfRule>
    <cfRule type="cellIs" dxfId="24" priority="2" operator="lessThan">
      <formula>0</formula>
    </cfRule>
  </conditionalFormatting>
  <hyperlinks>
    <hyperlink ref="C1" location="GCF_2025!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0"/>
  <sheetViews>
    <sheetView showGridLines="0" topLeftCell="B1" zoomScale="60" zoomScaleNormal="60" workbookViewId="0">
      <selection activeCell="I3" sqref="I3:R3"/>
    </sheetView>
  </sheetViews>
  <sheetFormatPr defaultColWidth="8.81640625" defaultRowHeight="15.5" x14ac:dyDescent="0.35"/>
  <cols>
    <col min="1" max="1" width="44.81640625" style="15" customWidth="1"/>
    <col min="2" max="2" width="14.81640625" style="15" bestFit="1" customWidth="1"/>
    <col min="3" max="3" width="68.453125" style="15" customWidth="1"/>
    <col min="4" max="4" width="13.453125" style="15" customWidth="1"/>
    <col min="5" max="5" width="17.54296875" style="15" customWidth="1"/>
    <col min="6" max="6" width="17" style="15" customWidth="1"/>
    <col min="7" max="7" width="13.453125" style="15" customWidth="1"/>
    <col min="8" max="8" width="1.81640625" style="15" customWidth="1"/>
    <col min="9" max="10" width="16.54296875" style="15" customWidth="1"/>
    <col min="11" max="13" width="17" style="15" customWidth="1"/>
    <col min="14" max="15" width="18.54296875" style="15" customWidth="1"/>
    <col min="16" max="16" width="17.54296875" style="15" customWidth="1"/>
    <col min="17" max="18" width="18.1796875" style="15" customWidth="1"/>
    <col min="19" max="19" width="1.81640625" style="15" customWidth="1"/>
    <col min="20" max="20" width="17.81640625" style="15" customWidth="1"/>
    <col min="21" max="21" width="16.453125" style="15" customWidth="1"/>
    <col min="22" max="22" width="1.81640625" style="15" customWidth="1"/>
    <col min="23" max="23" width="8.81640625" style="15"/>
    <col min="24" max="24" width="10.54296875" style="15" customWidth="1"/>
    <col min="25" max="25" width="12.5429687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4.5"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57</v>
      </c>
      <c r="B3" s="100"/>
      <c r="C3" s="100"/>
      <c r="D3" s="42"/>
      <c r="E3" s="42"/>
      <c r="F3" s="43"/>
      <c r="G3" s="68" t="s">
        <v>97</v>
      </c>
      <c r="H3" s="43"/>
      <c r="I3" s="65">
        <v>-1.5046875105570847</v>
      </c>
      <c r="J3" s="65">
        <v>4.6017875883507031</v>
      </c>
      <c r="K3" s="65">
        <v>9.0341267202763067</v>
      </c>
      <c r="L3" s="65">
        <v>9.0236331257472866</v>
      </c>
      <c r="M3" s="65">
        <v>9.1045350506344285</v>
      </c>
      <c r="N3" s="65">
        <v>-1.1534935870336542</v>
      </c>
      <c r="O3" s="65">
        <v>6.324317595392257</v>
      </c>
      <c r="P3" s="65">
        <v>10.361983408195316</v>
      </c>
      <c r="Q3" s="65">
        <v>9.719759031582079</v>
      </c>
      <c r="R3" s="65">
        <v>10.076071303634135</v>
      </c>
      <c r="S3" s="43"/>
      <c r="T3" s="43"/>
      <c r="U3" s="43"/>
      <c r="V3" s="43"/>
      <c r="W3" s="43"/>
      <c r="X3" s="43"/>
      <c r="Y3" s="43"/>
    </row>
    <row r="4" spans="1:27" customFormat="1" ht="14.5" x14ac:dyDescent="0.35">
      <c r="A4" s="30" t="s">
        <v>36</v>
      </c>
      <c r="B4" s="30" t="s">
        <v>24</v>
      </c>
      <c r="C4" s="30" t="s">
        <v>58</v>
      </c>
      <c r="D4" s="64" t="s">
        <v>173</v>
      </c>
      <c r="E4" s="32">
        <v>65</v>
      </c>
      <c r="F4" s="31">
        <v>154.82931497999999</v>
      </c>
      <c r="G4" s="33">
        <v>18327</v>
      </c>
      <c r="H4" s="21"/>
      <c r="I4" s="34">
        <v>-1.5920008937548857</v>
      </c>
      <c r="J4" s="34">
        <v>5.4910179640718537</v>
      </c>
      <c r="K4" s="34">
        <v>9.0228625363435242</v>
      </c>
      <c r="L4" s="34">
        <v>8.6882379491241437</v>
      </c>
      <c r="M4" s="34">
        <v>9.1007442367092573</v>
      </c>
      <c r="N4" s="34">
        <v>-1.0181307883007307</v>
      </c>
      <c r="O4" s="34">
        <v>6.4948339035051594</v>
      </c>
      <c r="P4" s="34">
        <v>9.8618686958473525</v>
      </c>
      <c r="Q4" s="34">
        <v>9.5366242414200997</v>
      </c>
      <c r="R4" s="34">
        <v>9.9190711466201407</v>
      </c>
      <c r="S4" s="22"/>
      <c r="T4" s="34">
        <v>10.013093142613316</v>
      </c>
      <c r="U4" s="34">
        <v>11.12094943059263</v>
      </c>
      <c r="V4" s="22"/>
      <c r="W4" s="34">
        <v>0.49</v>
      </c>
      <c r="X4" s="34">
        <v>0.73</v>
      </c>
      <c r="Y4" s="34" t="s">
        <v>90</v>
      </c>
      <c r="Z4" s="56"/>
      <c r="AA4" s="56"/>
    </row>
    <row r="5" spans="1:27" customFormat="1" ht="14.5" x14ac:dyDescent="0.35">
      <c r="A5" s="30" t="s">
        <v>175</v>
      </c>
      <c r="B5" s="30" t="s">
        <v>22</v>
      </c>
      <c r="C5" s="30" t="s">
        <v>181</v>
      </c>
      <c r="D5" s="64" t="s">
        <v>173</v>
      </c>
      <c r="E5" s="32">
        <v>61.18</v>
      </c>
      <c r="F5" s="31">
        <v>230.1633383974</v>
      </c>
      <c r="G5" s="33">
        <v>22344</v>
      </c>
      <c r="H5" s="21"/>
      <c r="I5" s="34">
        <v>0.73546311192829172</v>
      </c>
      <c r="J5" s="34">
        <v>6.3125341095142895</v>
      </c>
      <c r="K5" s="34">
        <v>9.2180462023540457</v>
      </c>
      <c r="L5" s="34">
        <v>9.05863241832472</v>
      </c>
      <c r="M5" s="34">
        <v>9.0196111308793459</v>
      </c>
      <c r="N5" s="34">
        <v>-0.29856328940601751</v>
      </c>
      <c r="O5" s="34">
        <v>6.3845961965624198</v>
      </c>
      <c r="P5" s="34">
        <v>10.187573040307218</v>
      </c>
      <c r="Q5" s="34">
        <v>8.9405331985674898</v>
      </c>
      <c r="R5" s="34">
        <v>9.3801536197066326</v>
      </c>
      <c r="S5" s="22"/>
      <c r="T5" s="34">
        <v>8.2354620596417956</v>
      </c>
      <c r="U5" s="34">
        <v>10.999502675443622</v>
      </c>
      <c r="V5" s="22"/>
      <c r="W5" s="34">
        <v>0.5</v>
      </c>
      <c r="X5" s="34">
        <v>1.1000000000000001</v>
      </c>
      <c r="Y5" s="34">
        <v>1.1000000000000001</v>
      </c>
      <c r="Z5" s="56"/>
      <c r="AA5" s="56"/>
    </row>
    <row r="6" spans="1:27" customFormat="1" ht="14.5" x14ac:dyDescent="0.35">
      <c r="A6" s="30" t="s">
        <v>87</v>
      </c>
      <c r="B6" s="30" t="s">
        <v>21</v>
      </c>
      <c r="C6" s="30" t="s">
        <v>59</v>
      </c>
      <c r="D6" s="64" t="s">
        <v>173</v>
      </c>
      <c r="E6" s="32">
        <v>63.3</v>
      </c>
      <c r="F6" s="31">
        <v>521.42866243000003</v>
      </c>
      <c r="G6" s="33">
        <v>53066</v>
      </c>
      <c r="H6" s="21"/>
      <c r="I6" s="34">
        <v>-1.6556475359742251</v>
      </c>
      <c r="J6" s="34">
        <v>4.9756849721266816</v>
      </c>
      <c r="K6" s="34">
        <v>9.0596614141697618</v>
      </c>
      <c r="L6" s="34">
        <v>8.80293184338543</v>
      </c>
      <c r="M6" s="34">
        <v>9.1805980620188965</v>
      </c>
      <c r="N6" s="34">
        <v>-0.94644881112461166</v>
      </c>
      <c r="O6" s="34">
        <v>6.8885664373217637</v>
      </c>
      <c r="P6" s="34">
        <v>11.129883972021503</v>
      </c>
      <c r="Q6" s="34">
        <v>10.427663728409531</v>
      </c>
      <c r="R6" s="34">
        <v>10.823656456952136</v>
      </c>
      <c r="S6" s="22"/>
      <c r="T6" s="34">
        <v>9.7733901559058634</v>
      </c>
      <c r="U6" s="34">
        <v>11.574156813500888</v>
      </c>
      <c r="V6" s="22"/>
      <c r="W6" s="34">
        <v>0.5</v>
      </c>
      <c r="X6" s="34" t="s">
        <v>90</v>
      </c>
      <c r="Y6" s="34">
        <v>0.77</v>
      </c>
      <c r="Z6" s="56"/>
      <c r="AA6" s="56"/>
    </row>
    <row r="7" spans="1:27" customFormat="1" ht="14.5" x14ac:dyDescent="0.35">
      <c r="A7" s="30" t="s">
        <v>88</v>
      </c>
      <c r="B7" s="30" t="s">
        <v>23</v>
      </c>
      <c r="C7" s="30" t="s">
        <v>105</v>
      </c>
      <c r="D7" s="64" t="s">
        <v>173</v>
      </c>
      <c r="E7" s="32">
        <v>65</v>
      </c>
      <c r="F7" s="31">
        <v>738.19649703999994</v>
      </c>
      <c r="G7" s="33">
        <v>93951</v>
      </c>
      <c r="H7" s="21"/>
      <c r="I7" s="34">
        <v>-2.2335423197492155</v>
      </c>
      <c r="J7" s="34">
        <v>3.208840562581261</v>
      </c>
      <c r="K7" s="34">
        <v>8.3930611891960716</v>
      </c>
      <c r="L7" s="34">
        <v>9.2963416013582822</v>
      </c>
      <c r="M7" s="34">
        <v>9.4809761292587105</v>
      </c>
      <c r="N7" s="34">
        <v>-1.512485450949197</v>
      </c>
      <c r="O7" s="34">
        <v>6.2313065333005513</v>
      </c>
      <c r="P7" s="34">
        <v>10.167075739886599</v>
      </c>
      <c r="Q7" s="34">
        <v>9.7764824561761277</v>
      </c>
      <c r="R7" s="34">
        <v>10.096112413802881</v>
      </c>
      <c r="S7" s="22"/>
      <c r="T7" s="34">
        <v>10.142256444272295</v>
      </c>
      <c r="U7" s="34">
        <v>11.70034588754265</v>
      </c>
      <c r="V7" s="22"/>
      <c r="W7" s="34">
        <v>0.41000000000000003</v>
      </c>
      <c r="X7" s="34" t="s">
        <v>90</v>
      </c>
      <c r="Y7" s="34">
        <v>0.64700000000000002</v>
      </c>
      <c r="Z7" s="56"/>
      <c r="AA7" s="56"/>
    </row>
    <row r="8" spans="1:27" customFormat="1" ht="14.5" x14ac:dyDescent="0.35">
      <c r="A8" s="30" t="s">
        <v>115</v>
      </c>
      <c r="B8" s="30" t="s">
        <v>25</v>
      </c>
      <c r="C8" s="30" t="s">
        <v>120</v>
      </c>
      <c r="D8" s="64" t="s">
        <v>173</v>
      </c>
      <c r="E8" s="32">
        <v>65</v>
      </c>
      <c r="F8" s="31">
        <v>294.72977043999998</v>
      </c>
      <c r="G8" s="33">
        <v>38784</v>
      </c>
      <c r="H8" s="21"/>
      <c r="I8" s="34">
        <v>-0.96142433234421842</v>
      </c>
      <c r="J8" s="34">
        <v>5.6269384138236678</v>
      </c>
      <c r="K8" s="34">
        <v>10.45688870118806</v>
      </c>
      <c r="L8" s="34">
        <v>8.8799115890175315</v>
      </c>
      <c r="M8" s="34">
        <v>8.195409589251712</v>
      </c>
      <c r="N8" s="34">
        <v>-1.1529812322349731</v>
      </c>
      <c r="O8" s="34">
        <v>5.4851503002257607</v>
      </c>
      <c r="P8" s="34">
        <v>9.8905348849346097</v>
      </c>
      <c r="Q8" s="34">
        <v>9.0300052309236545</v>
      </c>
      <c r="R8" s="34">
        <v>9.4785028174161781</v>
      </c>
      <c r="S8" s="22"/>
      <c r="T8" s="34">
        <v>10.405027846648442</v>
      </c>
      <c r="U8" s="34">
        <v>11.367177362481032</v>
      </c>
      <c r="V8" s="22"/>
      <c r="W8" s="34">
        <v>0.5</v>
      </c>
      <c r="X8" s="34">
        <v>0.89</v>
      </c>
      <c r="Y8" s="34" t="s">
        <v>90</v>
      </c>
      <c r="Z8" s="56"/>
      <c r="AA8" s="56"/>
    </row>
    <row r="9" spans="1:27" customFormat="1" ht="14.5" x14ac:dyDescent="0.35">
      <c r="A9" s="30" t="s">
        <v>123</v>
      </c>
      <c r="B9" s="30" t="s">
        <v>128</v>
      </c>
      <c r="C9" s="30" t="s">
        <v>134</v>
      </c>
      <c r="D9" s="64" t="s">
        <v>174</v>
      </c>
      <c r="E9" s="32">
        <v>100</v>
      </c>
      <c r="F9" s="31">
        <v>30.5079902795</v>
      </c>
      <c r="G9" s="33">
        <v>2789</v>
      </c>
      <c r="H9" s="21"/>
      <c r="I9" s="34">
        <v>-2.9942892421670142</v>
      </c>
      <c r="J9" s="34">
        <v>4.5931103344982516</v>
      </c>
      <c r="K9" s="34" t="s">
        <v>151</v>
      </c>
      <c r="L9" s="34" t="s">
        <v>151</v>
      </c>
      <c r="M9" s="34">
        <v>8.1385822277619813</v>
      </c>
      <c r="N9" s="34">
        <v>-3.1475708963734417</v>
      </c>
      <c r="O9" s="34">
        <v>5.7178423236514453</v>
      </c>
      <c r="P9" s="34" t="s">
        <v>151</v>
      </c>
      <c r="Q9" s="34" t="s">
        <v>151</v>
      </c>
      <c r="R9" s="34">
        <v>8.633746963112344</v>
      </c>
      <c r="S9" s="22"/>
      <c r="T9" s="34" t="s">
        <v>151</v>
      </c>
      <c r="U9" s="34" t="s">
        <v>151</v>
      </c>
      <c r="V9" s="22"/>
      <c r="W9" s="34">
        <v>0.44640000000000002</v>
      </c>
      <c r="X9" s="34">
        <v>0.57769999999999999</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24</v>
      </c>
      <c r="B36" s="31">
        <v>10.013093142613316</v>
      </c>
      <c r="C36" s="31">
        <v>9.0228625363435242</v>
      </c>
    </row>
    <row r="37" spans="1:3" x14ac:dyDescent="0.35">
      <c r="A37" s="30" t="s">
        <v>22</v>
      </c>
      <c r="B37" s="31">
        <v>8.2354620596417956</v>
      </c>
      <c r="C37" s="31">
        <v>9.2180462023540457</v>
      </c>
    </row>
    <row r="38" spans="1:3" x14ac:dyDescent="0.35">
      <c r="A38" s="30" t="s">
        <v>21</v>
      </c>
      <c r="B38" s="31">
        <v>9.7733901559058634</v>
      </c>
      <c r="C38" s="31">
        <v>9.0596614141697618</v>
      </c>
    </row>
    <row r="39" spans="1:3" x14ac:dyDescent="0.35">
      <c r="A39" s="30" t="s">
        <v>23</v>
      </c>
      <c r="B39" s="31">
        <v>10.142256444272295</v>
      </c>
      <c r="C39" s="31">
        <v>8.3930611891960716</v>
      </c>
    </row>
    <row r="40" spans="1:3" x14ac:dyDescent="0.35">
      <c r="A40" s="30" t="s">
        <v>25</v>
      </c>
      <c r="B40" s="31">
        <v>10.405027846648442</v>
      </c>
      <c r="C40" s="31">
        <v>10.45688870118806</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22</v>
      </c>
      <c r="B66" s="31">
        <v>22.344000000000001</v>
      </c>
      <c r="C66" s="31">
        <v>9.2180462023540457</v>
      </c>
      <c r="D66" s="31">
        <v>230.1633383974</v>
      </c>
    </row>
    <row r="67" spans="1:4" x14ac:dyDescent="0.35">
      <c r="A67" s="30" t="s">
        <v>24</v>
      </c>
      <c r="B67" s="31">
        <v>18.327000000000002</v>
      </c>
      <c r="C67" s="31">
        <v>9.0228625363435242</v>
      </c>
      <c r="D67" s="31">
        <v>154.82931497999999</v>
      </c>
    </row>
    <row r="68" spans="1:4" x14ac:dyDescent="0.35">
      <c r="A68" s="30" t="s">
        <v>21</v>
      </c>
      <c r="B68" s="31">
        <v>53.066000000000003</v>
      </c>
      <c r="C68" s="31">
        <v>9.0596614141697618</v>
      </c>
      <c r="D68" s="31">
        <v>521.42866243000003</v>
      </c>
    </row>
    <row r="69" spans="1:4" x14ac:dyDescent="0.35">
      <c r="A69" s="30" t="s">
        <v>23</v>
      </c>
      <c r="B69" s="31">
        <v>93.950999999999993</v>
      </c>
      <c r="C69" s="31">
        <v>8.3930611891960716</v>
      </c>
      <c r="D69" s="31">
        <v>738.19649703999994</v>
      </c>
    </row>
    <row r="70" spans="1:4" x14ac:dyDescent="0.35">
      <c r="A70" s="30" t="s">
        <v>25</v>
      </c>
      <c r="B70" s="31">
        <v>38.783999999999999</v>
      </c>
      <c r="C70" s="31">
        <v>10.45688870118806</v>
      </c>
      <c r="D70" s="31">
        <v>294.72977043999998</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5!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0"/>
  <sheetViews>
    <sheetView showGridLines="0" topLeftCell="B1" zoomScale="60" zoomScaleNormal="60" workbookViewId="0">
      <selection activeCell="I3" sqref="I3:R3"/>
    </sheetView>
  </sheetViews>
  <sheetFormatPr defaultColWidth="8.81640625" defaultRowHeight="15.5" x14ac:dyDescent="0.35"/>
  <cols>
    <col min="1" max="1" width="43.5429687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453125" style="15" customWidth="1"/>
    <col min="9" max="10" width="17.453125" style="15" customWidth="1"/>
    <col min="11" max="13" width="17" style="15" customWidth="1"/>
    <col min="14" max="15" width="18.453125" style="15" customWidth="1"/>
    <col min="16" max="18" width="17.1796875" style="15" customWidth="1"/>
    <col min="19" max="19" width="1.453125" style="15" customWidth="1"/>
    <col min="20" max="20" width="16" style="15" customWidth="1"/>
    <col min="21" max="21" width="18.81640625" style="15" customWidth="1"/>
    <col min="22" max="22" width="1.453125" style="15" customWidth="1"/>
    <col min="23" max="23" width="8.81640625" style="15"/>
    <col min="24" max="24" width="11" style="15" customWidth="1"/>
    <col min="25" max="25" width="13.45312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2.5" customHeight="1"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60</v>
      </c>
      <c r="B3" s="100"/>
      <c r="C3" s="100"/>
      <c r="D3" s="42"/>
      <c r="E3" s="42"/>
      <c r="F3" s="43"/>
      <c r="G3" s="68" t="s">
        <v>97</v>
      </c>
      <c r="H3" s="43"/>
      <c r="I3" s="65">
        <v>0.30031142108304432</v>
      </c>
      <c r="J3" s="65">
        <v>5.3115654167353297</v>
      </c>
      <c r="K3" s="65">
        <v>6.6506003728699383</v>
      </c>
      <c r="L3" s="65">
        <v>5.386548119297891</v>
      </c>
      <c r="M3" s="65">
        <v>5.7450638845250275</v>
      </c>
      <c r="N3" s="65">
        <v>0.28193675768879178</v>
      </c>
      <c r="O3" s="65">
        <v>5.9341585718677736</v>
      </c>
      <c r="P3" s="65">
        <v>6.8384284371228805</v>
      </c>
      <c r="Q3" s="65">
        <v>5.0759246282555894</v>
      </c>
      <c r="R3" s="65">
        <v>5.912523329517108</v>
      </c>
      <c r="S3" s="43"/>
      <c r="T3" s="43"/>
      <c r="U3" s="43"/>
      <c r="V3" s="43"/>
      <c r="W3" s="43"/>
      <c r="X3" s="43"/>
      <c r="Y3" s="43"/>
    </row>
    <row r="4" spans="1:27" customFormat="1" x14ac:dyDescent="0.35">
      <c r="A4" s="30" t="s">
        <v>36</v>
      </c>
      <c r="B4" s="30" t="s">
        <v>27</v>
      </c>
      <c r="C4" s="30" t="s">
        <v>61</v>
      </c>
      <c r="D4" s="64" t="s">
        <v>173</v>
      </c>
      <c r="E4" s="32">
        <v>30</v>
      </c>
      <c r="F4" s="31">
        <v>120.39529890999999</v>
      </c>
      <c r="G4" s="33">
        <v>16517</v>
      </c>
      <c r="H4" s="21"/>
      <c r="I4" s="34">
        <v>0.36797889328612499</v>
      </c>
      <c r="J4" s="34">
        <v>6.1536202085475278</v>
      </c>
      <c r="K4" s="34">
        <v>6.5843388991897012</v>
      </c>
      <c r="L4" s="34">
        <v>4.991944709935936</v>
      </c>
      <c r="M4" s="34">
        <v>5.8321460025415606</v>
      </c>
      <c r="N4" s="34">
        <v>0.66667653239411706</v>
      </c>
      <c r="O4" s="34">
        <v>6.5661251743715399</v>
      </c>
      <c r="P4" s="34">
        <v>6.893023704900525</v>
      </c>
      <c r="Q4" s="34">
        <v>5.4610588242536284</v>
      </c>
      <c r="R4" s="34">
        <v>6.3973829442826036</v>
      </c>
      <c r="S4" s="22"/>
      <c r="T4" s="34">
        <v>7.7937351825963619</v>
      </c>
      <c r="U4" s="34">
        <v>8.4503432076234368</v>
      </c>
      <c r="V4" s="22"/>
      <c r="W4" s="34">
        <v>0.49</v>
      </c>
      <c r="X4" s="34">
        <v>0.71</v>
      </c>
      <c r="Y4" s="34" t="s">
        <v>90</v>
      </c>
      <c r="Z4" s="15"/>
      <c r="AA4" s="56"/>
    </row>
    <row r="5" spans="1:27" customFormat="1" x14ac:dyDescent="0.35">
      <c r="A5" s="30" t="s">
        <v>175</v>
      </c>
      <c r="B5" s="30" t="s">
        <v>29</v>
      </c>
      <c r="C5" s="30" t="s">
        <v>187</v>
      </c>
      <c r="D5" s="64" t="s">
        <v>173</v>
      </c>
      <c r="E5" s="32">
        <v>25.35</v>
      </c>
      <c r="F5" s="31">
        <v>146.18132719260001</v>
      </c>
      <c r="G5" s="33">
        <v>17086</v>
      </c>
      <c r="H5" s="21"/>
      <c r="I5" s="34">
        <v>2.054890921885999</v>
      </c>
      <c r="J5" s="34">
        <v>6.9469026548672375</v>
      </c>
      <c r="K5" s="34">
        <v>7.6370640882359675</v>
      </c>
      <c r="L5" s="34">
        <v>5.7508466249466483</v>
      </c>
      <c r="M5" s="34">
        <v>5.8838755257017761</v>
      </c>
      <c r="N5" s="34">
        <v>1.2835057507440073</v>
      </c>
      <c r="O5" s="34">
        <v>6.539693098449173</v>
      </c>
      <c r="P5" s="34">
        <v>7.5025609990718056</v>
      </c>
      <c r="Q5" s="34">
        <v>4.1665345870566917</v>
      </c>
      <c r="R5" s="34">
        <v>5.1232371415493638</v>
      </c>
      <c r="S5" s="22"/>
      <c r="T5" s="34">
        <v>6.1002115698348209</v>
      </c>
      <c r="U5" s="34">
        <v>7.620265507053821</v>
      </c>
      <c r="V5" s="22"/>
      <c r="W5" s="34">
        <v>0.5</v>
      </c>
      <c r="X5" s="34">
        <v>0.83</v>
      </c>
      <c r="Y5" s="34">
        <v>0.83</v>
      </c>
      <c r="Z5" s="15"/>
      <c r="AA5" s="56"/>
    </row>
    <row r="6" spans="1:27" customFormat="1" x14ac:dyDescent="0.35">
      <c r="A6" s="30" t="s">
        <v>87</v>
      </c>
      <c r="B6" s="30" t="s">
        <v>28</v>
      </c>
      <c r="C6" s="30" t="s">
        <v>62</v>
      </c>
      <c r="D6" s="64" t="s">
        <v>173</v>
      </c>
      <c r="E6" s="32">
        <v>30.8</v>
      </c>
      <c r="F6" s="31">
        <v>388.46813732999999</v>
      </c>
      <c r="G6" s="33">
        <v>46382</v>
      </c>
      <c r="H6" s="21"/>
      <c r="I6" s="34">
        <v>-6.9449267310217611E-2</v>
      </c>
      <c r="J6" s="34">
        <v>5.2827979805370573</v>
      </c>
      <c r="K6" s="34">
        <v>6.7633183634255856</v>
      </c>
      <c r="L6" s="34">
        <v>5.319849999502746</v>
      </c>
      <c r="M6" s="34">
        <v>5.7565510824158395</v>
      </c>
      <c r="N6" s="34">
        <v>0.20045768446195211</v>
      </c>
      <c r="O6" s="34">
        <v>5.9116477746031793</v>
      </c>
      <c r="P6" s="34">
        <v>7.3486597379255114</v>
      </c>
      <c r="Q6" s="34">
        <v>5.9459155641245376</v>
      </c>
      <c r="R6" s="34">
        <v>6.7820418248055736</v>
      </c>
      <c r="S6" s="22"/>
      <c r="T6" s="34">
        <v>6.8321220344025146</v>
      </c>
      <c r="U6" s="34">
        <v>8.3850118306401633</v>
      </c>
      <c r="V6" s="22"/>
      <c r="W6" s="34">
        <v>0.5</v>
      </c>
      <c r="X6" s="34" t="s">
        <v>90</v>
      </c>
      <c r="Y6" s="34">
        <v>0.67</v>
      </c>
      <c r="Z6" s="15"/>
      <c r="AA6" s="56"/>
    </row>
    <row r="7" spans="1:27" customFormat="1" x14ac:dyDescent="0.35">
      <c r="A7" s="30" t="s">
        <v>88</v>
      </c>
      <c r="B7" s="30" t="s">
        <v>26</v>
      </c>
      <c r="C7" s="30" t="s">
        <v>106</v>
      </c>
      <c r="D7" s="64" t="s">
        <v>173</v>
      </c>
      <c r="E7" s="32">
        <v>30</v>
      </c>
      <c r="F7" s="31">
        <v>557.01475972000003</v>
      </c>
      <c r="G7" s="33">
        <v>81516</v>
      </c>
      <c r="H7" s="21"/>
      <c r="I7" s="34">
        <v>-0.22021884247471757</v>
      </c>
      <c r="J7" s="34">
        <v>4.4295592048400945</v>
      </c>
      <c r="K7" s="34">
        <v>6.2204547935116761</v>
      </c>
      <c r="L7" s="34">
        <v>5.7986256547793102</v>
      </c>
      <c r="M7" s="34">
        <v>6.2100366264496998</v>
      </c>
      <c r="N7" s="34">
        <v>-0.10663882811674519</v>
      </c>
      <c r="O7" s="34">
        <v>5.8449956582706131</v>
      </c>
      <c r="P7" s="34">
        <v>6.5885288863009706</v>
      </c>
      <c r="Q7" s="34">
        <v>4.7911219022803708</v>
      </c>
      <c r="R7" s="34">
        <v>5.7544873571026001</v>
      </c>
      <c r="S7" s="22"/>
      <c r="T7" s="34">
        <v>7.0438020542744839</v>
      </c>
      <c r="U7" s="34">
        <v>8.876527388434182</v>
      </c>
      <c r="V7" s="22"/>
      <c r="W7" s="34">
        <v>0.41000000000000003</v>
      </c>
      <c r="X7" s="34" t="s">
        <v>90</v>
      </c>
      <c r="Y7" s="34">
        <v>0.4874</v>
      </c>
      <c r="Z7" s="15"/>
      <c r="AA7" s="56"/>
    </row>
    <row r="8" spans="1:27" customFormat="1" x14ac:dyDescent="0.35">
      <c r="A8" s="30" t="s">
        <v>115</v>
      </c>
      <c r="B8" s="30" t="s">
        <v>30</v>
      </c>
      <c r="C8" s="30" t="s">
        <v>121</v>
      </c>
      <c r="D8" s="64" t="s">
        <v>173</v>
      </c>
      <c r="E8" s="32">
        <v>30</v>
      </c>
      <c r="F8" s="31">
        <v>248.03188988999997</v>
      </c>
      <c r="G8" s="33">
        <v>35785</v>
      </c>
      <c r="H8" s="21"/>
      <c r="I8" s="34">
        <v>0.98335854765505548</v>
      </c>
      <c r="J8" s="34">
        <v>5.9692014605492894</v>
      </c>
      <c r="K8" s="34">
        <v>6.8908319153258457</v>
      </c>
      <c r="L8" s="34">
        <v>4.5424291684089901</v>
      </c>
      <c r="M8" s="34">
        <v>4.5443923084761861</v>
      </c>
      <c r="N8" s="34">
        <v>0.51237556671237527</v>
      </c>
      <c r="O8" s="34">
        <v>5.5065640782334668</v>
      </c>
      <c r="P8" s="34">
        <v>6.1825947950542082</v>
      </c>
      <c r="Q8" s="34">
        <v>4.7019527978393372</v>
      </c>
      <c r="R8" s="34">
        <v>5.1161782003560363</v>
      </c>
      <c r="S8" s="22"/>
      <c r="T8" s="34">
        <v>6.3918141702494173</v>
      </c>
      <c r="U8" s="34">
        <v>6.8991446043173337</v>
      </c>
      <c r="V8" s="22"/>
      <c r="W8" s="34">
        <v>0.5</v>
      </c>
      <c r="X8" s="34">
        <v>0.78</v>
      </c>
      <c r="Y8" s="34" t="s">
        <v>90</v>
      </c>
      <c r="Z8" s="15"/>
      <c r="AA8" s="56"/>
    </row>
    <row r="9" spans="1:27" customFormat="1" ht="27" x14ac:dyDescent="0.35">
      <c r="A9" s="30" t="s">
        <v>123</v>
      </c>
      <c r="B9" s="30" t="s">
        <v>129</v>
      </c>
      <c r="C9" s="30" t="s">
        <v>133</v>
      </c>
      <c r="D9" s="64" t="s">
        <v>174</v>
      </c>
      <c r="E9" s="32">
        <v>30</v>
      </c>
      <c r="F9" s="31">
        <v>9.8683631589999994</v>
      </c>
      <c r="G9" s="33">
        <v>1068</v>
      </c>
      <c r="H9" s="21"/>
      <c r="I9" s="34">
        <v>0.25290844714214167</v>
      </c>
      <c r="J9" s="34">
        <v>5.2016985138004124</v>
      </c>
      <c r="K9" s="34" t="s">
        <v>151</v>
      </c>
      <c r="L9" s="34" t="s">
        <v>151</v>
      </c>
      <c r="M9" s="34">
        <v>6.1068059520248852</v>
      </c>
      <c r="N9" s="34">
        <v>0.10020876826724034</v>
      </c>
      <c r="O9" s="34">
        <v>5.9202968984713333</v>
      </c>
      <c r="P9" s="34" t="s">
        <v>151</v>
      </c>
      <c r="Q9" s="34" t="s">
        <v>151</v>
      </c>
      <c r="R9" s="34">
        <v>6.3960088396634696</v>
      </c>
      <c r="S9" s="22"/>
      <c r="T9" s="34" t="s">
        <v>151</v>
      </c>
      <c r="U9" s="34" t="s">
        <v>151</v>
      </c>
      <c r="V9" s="22"/>
      <c r="W9" s="34">
        <v>0.44669999999999999</v>
      </c>
      <c r="X9" s="34">
        <v>0.59330000000000005</v>
      </c>
      <c r="Y9" s="34" t="s">
        <v>90</v>
      </c>
      <c r="Z9" s="15"/>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27</v>
      </c>
      <c r="B36" s="31">
        <v>7.7937351825963619</v>
      </c>
      <c r="C36" s="31">
        <v>6.5843388991897012</v>
      </c>
    </row>
    <row r="37" spans="1:3" x14ac:dyDescent="0.35">
      <c r="A37" s="30" t="s">
        <v>29</v>
      </c>
      <c r="B37" s="31">
        <v>6.1002115698348209</v>
      </c>
      <c r="C37" s="31">
        <v>7.6370640882359675</v>
      </c>
    </row>
    <row r="38" spans="1:3" x14ac:dyDescent="0.35">
      <c r="A38" s="30" t="s">
        <v>28</v>
      </c>
      <c r="B38" s="31">
        <v>6.8321220344025146</v>
      </c>
      <c r="C38" s="31">
        <v>6.7633183634255856</v>
      </c>
    </row>
    <row r="39" spans="1:3" x14ac:dyDescent="0.35">
      <c r="A39" s="30" t="s">
        <v>26</v>
      </c>
      <c r="B39" s="31">
        <v>7.0438020542744839</v>
      </c>
      <c r="C39" s="31">
        <v>6.2204547935116761</v>
      </c>
    </row>
    <row r="40" spans="1:3" x14ac:dyDescent="0.35">
      <c r="A40" s="30" t="s">
        <v>30</v>
      </c>
      <c r="B40" s="31">
        <v>6.3918141702494173</v>
      </c>
      <c r="C40" s="31">
        <v>6.8908319153258457</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27</v>
      </c>
      <c r="B66" s="31">
        <v>16.516999999999999</v>
      </c>
      <c r="C66" s="31">
        <v>6.5843388991897012</v>
      </c>
      <c r="D66" s="31">
        <v>120.39529890999999</v>
      </c>
    </row>
    <row r="67" spans="1:4" x14ac:dyDescent="0.35">
      <c r="A67" s="30" t="s">
        <v>29</v>
      </c>
      <c r="B67" s="31">
        <v>17.085999999999999</v>
      </c>
      <c r="C67" s="31">
        <v>7.6370640882359675</v>
      </c>
      <c r="D67" s="31">
        <v>146.18132719260001</v>
      </c>
    </row>
    <row r="68" spans="1:4" x14ac:dyDescent="0.35">
      <c r="A68" s="30" t="s">
        <v>28</v>
      </c>
      <c r="B68" s="31">
        <v>46.381999999999998</v>
      </c>
      <c r="C68" s="31">
        <v>6.7633183634255856</v>
      </c>
      <c r="D68" s="31">
        <v>388.46813732999999</v>
      </c>
    </row>
    <row r="69" spans="1:4" x14ac:dyDescent="0.35">
      <c r="A69" s="30" t="s">
        <v>26</v>
      </c>
      <c r="B69" s="31">
        <v>81.516000000000005</v>
      </c>
      <c r="C69" s="31">
        <v>6.2204547935116761</v>
      </c>
      <c r="D69" s="31">
        <v>557.01475972000003</v>
      </c>
    </row>
    <row r="70" spans="1:4" x14ac:dyDescent="0.35">
      <c r="A70" s="30" t="s">
        <v>30</v>
      </c>
      <c r="B70" s="31">
        <v>35.784999999999997</v>
      </c>
      <c r="C70" s="31">
        <v>6.8908319153258457</v>
      </c>
      <c r="D70" s="31">
        <v>248.03188988999997</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5!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70"/>
  <sheetViews>
    <sheetView showGridLines="0" zoomScale="60" zoomScaleNormal="60" workbookViewId="0">
      <selection activeCell="I3" sqref="I3:R3"/>
    </sheetView>
  </sheetViews>
  <sheetFormatPr defaultColWidth="8.81640625" defaultRowHeight="15.5" x14ac:dyDescent="0.35"/>
  <cols>
    <col min="1" max="1" width="41.8164062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54296875" style="15" customWidth="1"/>
    <col min="9" max="10" width="18.453125" style="15" customWidth="1"/>
    <col min="11" max="13" width="17.54296875" style="15" customWidth="1"/>
    <col min="14" max="15" width="18" style="15" customWidth="1"/>
    <col min="16" max="18" width="19.1796875" style="15" customWidth="1"/>
    <col min="19" max="19" width="1.54296875" style="15" customWidth="1"/>
    <col min="20" max="20" width="23.453125" style="15" customWidth="1"/>
    <col min="21" max="21" width="21" style="15" customWidth="1"/>
    <col min="22" max="22" width="1.54296875" style="15" customWidth="1"/>
    <col min="23" max="23" width="8.81640625" style="15"/>
    <col min="24" max="25" width="11.453125" style="15" customWidth="1"/>
    <col min="26" max="16384" width="8.81640625" style="15"/>
  </cols>
  <sheetData>
    <row r="1" spans="1:27"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7" ht="92.5" customHeight="1"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7" ht="29.15" customHeight="1" x14ac:dyDescent="0.35">
      <c r="A3" s="100" t="s">
        <v>63</v>
      </c>
      <c r="B3" s="100"/>
      <c r="C3" s="100"/>
      <c r="D3" s="42"/>
      <c r="E3" s="42"/>
      <c r="F3" s="43"/>
      <c r="G3" s="68" t="s">
        <v>97</v>
      </c>
      <c r="H3" s="43"/>
      <c r="I3" s="65">
        <v>0.9446802224953047</v>
      </c>
      <c r="J3" s="65">
        <v>4.9474357832940425</v>
      </c>
      <c r="K3" s="65">
        <v>4.5189103698866075</v>
      </c>
      <c r="L3" s="65">
        <v>2.104038462348699</v>
      </c>
      <c r="M3" s="65">
        <v>2.4984491380586049</v>
      </c>
      <c r="N3" s="65">
        <v>0.88157391700730037</v>
      </c>
      <c r="O3" s="65">
        <v>5.4171736039310803</v>
      </c>
      <c r="P3" s="65">
        <v>4.3453768374755475</v>
      </c>
      <c r="Q3" s="65">
        <v>1.4210171985298687</v>
      </c>
      <c r="R3" s="65">
        <v>2.3868084486470997</v>
      </c>
      <c r="S3" s="43"/>
      <c r="T3" s="43"/>
      <c r="U3" s="43"/>
      <c r="V3" s="43"/>
      <c r="W3" s="43"/>
      <c r="X3" s="43"/>
      <c r="Y3" s="43"/>
    </row>
    <row r="4" spans="1:27" customFormat="1" ht="14.5" x14ac:dyDescent="0.35">
      <c r="A4" s="30" t="s">
        <v>36</v>
      </c>
      <c r="B4" s="30" t="s">
        <v>32</v>
      </c>
      <c r="C4" s="30" t="s">
        <v>64</v>
      </c>
      <c r="D4" s="64" t="s">
        <v>173</v>
      </c>
      <c r="E4" s="32">
        <v>10</v>
      </c>
      <c r="F4" s="31">
        <v>11.595625050000001</v>
      </c>
      <c r="G4" s="33">
        <v>1736</v>
      </c>
      <c r="H4" s="21"/>
      <c r="I4" s="34">
        <v>1.101206082852646</v>
      </c>
      <c r="J4" s="34">
        <v>5.6824410743650633</v>
      </c>
      <c r="K4" s="34">
        <v>4.4416458259277869</v>
      </c>
      <c r="L4" s="34">
        <v>1.4643370859116489</v>
      </c>
      <c r="M4" s="34">
        <v>2.2656993133103764</v>
      </c>
      <c r="N4" s="34">
        <v>1.6345834716229746</v>
      </c>
      <c r="O4" s="34">
        <v>6.281716211881383</v>
      </c>
      <c r="P4" s="34">
        <v>4.3494489247098089</v>
      </c>
      <c r="Q4" s="34">
        <v>1.6579875562935387</v>
      </c>
      <c r="R4" s="34">
        <v>3.0100791546050942</v>
      </c>
      <c r="S4" s="22"/>
      <c r="T4" s="34">
        <v>6.0686053393735282</v>
      </c>
      <c r="U4" s="34">
        <v>6.5907309263365228</v>
      </c>
      <c r="V4" s="22"/>
      <c r="W4" s="34">
        <v>0.49</v>
      </c>
      <c r="X4" s="34">
        <v>0.7</v>
      </c>
      <c r="Y4" s="34" t="s">
        <v>90</v>
      </c>
      <c r="Z4" s="56"/>
      <c r="AA4" s="56"/>
    </row>
    <row r="5" spans="1:27" customFormat="1" ht="14.5" x14ac:dyDescent="0.35">
      <c r="A5" s="30" t="s">
        <v>175</v>
      </c>
      <c r="B5" s="30" t="s">
        <v>35</v>
      </c>
      <c r="C5" s="30" t="s">
        <v>182</v>
      </c>
      <c r="D5" s="64" t="s">
        <v>173</v>
      </c>
      <c r="E5" s="32">
        <v>10</v>
      </c>
      <c r="F5" s="31">
        <v>9.9865371580999991</v>
      </c>
      <c r="G5" s="33">
        <v>1295</v>
      </c>
      <c r="H5" s="21"/>
      <c r="I5" s="34">
        <v>1.7947184001367411</v>
      </c>
      <c r="J5" s="34">
        <v>6.0263485846537401</v>
      </c>
      <c r="K5" s="34">
        <v>5.9213477436298456</v>
      </c>
      <c r="L5" s="34">
        <v>2.5245305861369083</v>
      </c>
      <c r="M5" s="34">
        <v>2.7263554342358054</v>
      </c>
      <c r="N5" s="34">
        <v>1.8801722441216473</v>
      </c>
      <c r="O5" s="34">
        <v>6.099995210957343</v>
      </c>
      <c r="P5" s="34">
        <v>5.4897865366269505</v>
      </c>
      <c r="Q5" s="34">
        <v>0.80034866962330753</v>
      </c>
      <c r="R5" s="34">
        <v>1.5862594037937328</v>
      </c>
      <c r="S5" s="22"/>
      <c r="T5" s="34">
        <v>4.6604853641950283</v>
      </c>
      <c r="U5" s="34">
        <v>4.9018960514021801</v>
      </c>
      <c r="V5" s="22"/>
      <c r="W5" s="34">
        <v>0.5</v>
      </c>
      <c r="X5" s="34">
        <v>0.56000000000000005</v>
      </c>
      <c r="Y5" s="34">
        <v>0.56000000000000005</v>
      </c>
      <c r="Z5" s="56"/>
      <c r="AA5" s="56"/>
    </row>
    <row r="6" spans="1:27" customFormat="1" ht="14.5" x14ac:dyDescent="0.35">
      <c r="A6" s="30" t="s">
        <v>87</v>
      </c>
      <c r="B6" s="30" t="s">
        <v>33</v>
      </c>
      <c r="C6" s="67" t="s">
        <v>65</v>
      </c>
      <c r="D6" s="64" t="s">
        <v>173</v>
      </c>
      <c r="E6" s="32">
        <v>18.5</v>
      </c>
      <c r="F6" s="31">
        <v>26.006702000000001</v>
      </c>
      <c r="G6" s="33">
        <v>3372</v>
      </c>
      <c r="H6" s="21"/>
      <c r="I6" s="34">
        <v>0.6516036219006649</v>
      </c>
      <c r="J6" s="34">
        <v>5.2659527391804684</v>
      </c>
      <c r="K6" s="34">
        <v>5.0972117368924152</v>
      </c>
      <c r="L6" s="34">
        <v>2.1478968016187983</v>
      </c>
      <c r="M6" s="34">
        <v>2.7037901863937064</v>
      </c>
      <c r="N6" s="34">
        <v>0.61225105391151668</v>
      </c>
      <c r="O6" s="34">
        <v>5.2399497562427344</v>
      </c>
      <c r="P6" s="34">
        <v>5.0355056373573293</v>
      </c>
      <c r="Q6" s="34">
        <v>2.3266463373259993</v>
      </c>
      <c r="R6" s="34">
        <v>3.2886537960600926</v>
      </c>
      <c r="S6" s="22"/>
      <c r="T6" s="34">
        <v>5.1563641658260613</v>
      </c>
      <c r="U6" s="34">
        <v>6.5602543129364257</v>
      </c>
      <c r="V6" s="22"/>
      <c r="W6" s="34">
        <v>0.5</v>
      </c>
      <c r="X6" s="34">
        <v>0.65</v>
      </c>
      <c r="Y6" s="34" t="s">
        <v>90</v>
      </c>
      <c r="Z6" s="56"/>
      <c r="AA6" s="56"/>
    </row>
    <row r="7" spans="1:27" customFormat="1" ht="14.5" x14ac:dyDescent="0.35">
      <c r="A7" s="30" t="s">
        <v>88</v>
      </c>
      <c r="B7" s="30" t="s">
        <v>31</v>
      </c>
      <c r="C7" s="30" t="s">
        <v>66</v>
      </c>
      <c r="D7" s="64" t="s">
        <v>173</v>
      </c>
      <c r="E7" s="32">
        <v>15</v>
      </c>
      <c r="F7" s="31">
        <v>39.939362810000006</v>
      </c>
      <c r="G7" s="33">
        <v>3261</v>
      </c>
      <c r="H7" s="21"/>
      <c r="I7" s="34">
        <v>0.14702066937644087</v>
      </c>
      <c r="J7" s="34">
        <v>3.5592917188338236</v>
      </c>
      <c r="K7" s="34">
        <v>3.7672685521201954</v>
      </c>
      <c r="L7" s="34">
        <v>1.9288891039122236</v>
      </c>
      <c r="M7" s="34">
        <v>2.2820094483088527</v>
      </c>
      <c r="N7" s="34">
        <v>0.43781372002231755</v>
      </c>
      <c r="O7" s="34">
        <v>5.2891302564315401</v>
      </c>
      <c r="P7" s="34">
        <v>4.1034606173913968</v>
      </c>
      <c r="Q7" s="34">
        <v>0.43796509986802068</v>
      </c>
      <c r="R7" s="34">
        <v>1.7098339171593313</v>
      </c>
      <c r="S7" s="22"/>
      <c r="T7" s="34">
        <v>4.729904572181546</v>
      </c>
      <c r="U7" s="34">
        <v>7.2875959734616567</v>
      </c>
      <c r="V7" s="22"/>
      <c r="W7" s="34">
        <v>0.41000000000000003</v>
      </c>
      <c r="X7" s="34" t="s">
        <v>90</v>
      </c>
      <c r="Y7" s="34">
        <v>0.43020000000000003</v>
      </c>
      <c r="Z7" s="56"/>
      <c r="AA7" s="56"/>
    </row>
    <row r="8" spans="1:27" customFormat="1" ht="14.5" x14ac:dyDescent="0.35">
      <c r="A8" s="30" t="s">
        <v>115</v>
      </c>
      <c r="B8" s="30" t="s">
        <v>34</v>
      </c>
      <c r="C8" s="30" t="s">
        <v>122</v>
      </c>
      <c r="D8" s="64" t="s">
        <v>173</v>
      </c>
      <c r="E8" s="32">
        <v>15</v>
      </c>
      <c r="F8" s="31">
        <v>23.097378510000002</v>
      </c>
      <c r="G8" s="33">
        <v>3170</v>
      </c>
      <c r="H8" s="21"/>
      <c r="I8" s="34">
        <v>2.2059457130547022</v>
      </c>
      <c r="J8" s="34">
        <v>6.1577016020764264</v>
      </c>
      <c r="K8" s="34">
        <v>4.5999075133861922</v>
      </c>
      <c r="L8" s="34">
        <v>2.4968631326993229</v>
      </c>
      <c r="M8" s="34">
        <v>2.6599090381975277</v>
      </c>
      <c r="N8" s="34">
        <v>1.1377863760629214</v>
      </c>
      <c r="O8" s="34">
        <v>5.1088749602296479</v>
      </c>
      <c r="P8" s="34">
        <v>3.4897861162416444</v>
      </c>
      <c r="Q8" s="34">
        <v>2.2505726909984647</v>
      </c>
      <c r="R8" s="34">
        <v>2.5703912560507636</v>
      </c>
      <c r="S8" s="22"/>
      <c r="T8" s="34">
        <v>3.9007366908096017</v>
      </c>
      <c r="U8" s="34">
        <v>4.0348179742867192</v>
      </c>
      <c r="V8" s="22"/>
      <c r="W8" s="34">
        <v>0.5</v>
      </c>
      <c r="X8" s="34">
        <v>0.7</v>
      </c>
      <c r="Y8" s="34" t="s">
        <v>90</v>
      </c>
      <c r="Z8" s="56"/>
      <c r="AA8" s="56"/>
    </row>
    <row r="9" spans="1:27" customFormat="1" ht="14.5" x14ac:dyDescent="0.35">
      <c r="A9" s="30" t="s">
        <v>123</v>
      </c>
      <c r="B9" s="30" t="s">
        <v>130</v>
      </c>
      <c r="C9" s="30" t="s">
        <v>132</v>
      </c>
      <c r="D9" s="64" t="s">
        <v>174</v>
      </c>
      <c r="E9" s="32">
        <v>0</v>
      </c>
      <c r="F9" s="31">
        <v>9.5425633499999996E-2</v>
      </c>
      <c r="G9" s="33">
        <v>16</v>
      </c>
      <c r="H9" s="21"/>
      <c r="I9" s="34">
        <v>1.4067220543806824</v>
      </c>
      <c r="J9" s="34">
        <v>3.9686380795663778</v>
      </c>
      <c r="K9" s="34" t="s">
        <v>151</v>
      </c>
      <c r="L9" s="34" t="s">
        <v>151</v>
      </c>
      <c r="M9" s="34">
        <v>2.4754408357896329</v>
      </c>
      <c r="N9" s="34">
        <v>1.9893166328973866</v>
      </c>
      <c r="O9" s="34">
        <v>5.4164683484055232</v>
      </c>
      <c r="P9" s="34" t="s">
        <v>151</v>
      </c>
      <c r="Q9" s="34" t="s">
        <v>151</v>
      </c>
      <c r="R9" s="34">
        <v>3.5513383944150378</v>
      </c>
      <c r="S9" s="22"/>
      <c r="T9" s="34" t="s">
        <v>151</v>
      </c>
      <c r="U9" s="34" t="s">
        <v>151</v>
      </c>
      <c r="V9" s="22"/>
      <c r="W9" s="34">
        <v>0.44850000000000001</v>
      </c>
      <c r="X9" s="34">
        <v>0.59950000000000003</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185</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184</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186</v>
      </c>
    </row>
    <row r="19" spans="1:4" s="53" customFormat="1" ht="13.5" x14ac:dyDescent="0.3">
      <c r="A19" s="54" t="s">
        <v>144</v>
      </c>
    </row>
    <row r="20" spans="1:4" s="53" customFormat="1" ht="13.5" x14ac:dyDescent="0.3">
      <c r="A20" s="54" t="s">
        <v>145</v>
      </c>
    </row>
    <row r="21" spans="1:4" s="53" customFormat="1" ht="13.5" x14ac:dyDescent="0.3">
      <c r="A21" s="54" t="s">
        <v>148</v>
      </c>
    </row>
    <row r="22" spans="1:4" s="53" customFormat="1" ht="13.5" x14ac:dyDescent="0.3">
      <c r="A22" s="54" t="s">
        <v>147</v>
      </c>
    </row>
    <row r="23" spans="1:4" s="53" customFormat="1" ht="13.5" x14ac:dyDescent="0.3">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32</v>
      </c>
      <c r="B36" s="31">
        <v>6.0686053393735282</v>
      </c>
      <c r="C36" s="31">
        <v>4.4416458259277869</v>
      </c>
    </row>
    <row r="37" spans="1:3" x14ac:dyDescent="0.35">
      <c r="A37" s="30" t="s">
        <v>35</v>
      </c>
      <c r="B37" s="31">
        <v>4.6604853641950283</v>
      </c>
      <c r="C37" s="31">
        <v>5.9213477436298456</v>
      </c>
    </row>
    <row r="38" spans="1:3" x14ac:dyDescent="0.35">
      <c r="A38" s="30" t="s">
        <v>33</v>
      </c>
      <c r="B38" s="31">
        <v>5.1563641658260613</v>
      </c>
      <c r="C38" s="31">
        <v>5.0972117368924152</v>
      </c>
    </row>
    <row r="39" spans="1:3" x14ac:dyDescent="0.35">
      <c r="A39" s="30" t="s">
        <v>31</v>
      </c>
      <c r="B39" s="31">
        <v>4.729904572181546</v>
      </c>
      <c r="C39" s="31">
        <v>3.7672685521201954</v>
      </c>
    </row>
    <row r="40" spans="1:3" x14ac:dyDescent="0.35">
      <c r="A40" s="30" t="s">
        <v>34</v>
      </c>
      <c r="B40" s="31">
        <v>3.9007366908096017</v>
      </c>
      <c r="C40" s="31">
        <v>4.5999075133861922</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32</v>
      </c>
      <c r="B66" s="31">
        <v>1.736</v>
      </c>
      <c r="C66" s="31">
        <v>4.4416458259277869</v>
      </c>
      <c r="D66" s="31">
        <v>11.595625050000001</v>
      </c>
    </row>
    <row r="67" spans="1:4" x14ac:dyDescent="0.35">
      <c r="A67" s="30" t="s">
        <v>35</v>
      </c>
      <c r="B67" s="31">
        <v>1.2949999999999999</v>
      </c>
      <c r="C67" s="31">
        <v>5.9213477436298456</v>
      </c>
      <c r="D67" s="31">
        <v>9.9865371580999991</v>
      </c>
    </row>
    <row r="68" spans="1:4" x14ac:dyDescent="0.35">
      <c r="A68" s="30" t="s">
        <v>33</v>
      </c>
      <c r="B68" s="31">
        <v>3.3719999999999999</v>
      </c>
      <c r="C68" s="31">
        <v>5.0972117368924152</v>
      </c>
      <c r="D68" s="31">
        <v>26.006702000000001</v>
      </c>
    </row>
    <row r="69" spans="1:4" x14ac:dyDescent="0.35">
      <c r="A69" s="30" t="s">
        <v>31</v>
      </c>
      <c r="B69" s="31">
        <v>3.2610000000000001</v>
      </c>
      <c r="C69" s="31">
        <v>3.7672685521201954</v>
      </c>
      <c r="D69" s="31">
        <v>39.939362810000006</v>
      </c>
    </row>
    <row r="70" spans="1:4" x14ac:dyDescent="0.35">
      <c r="A70" s="30" t="s">
        <v>34</v>
      </c>
      <c r="B70" s="31">
        <v>3.17</v>
      </c>
      <c r="C70" s="31">
        <v>4.5999075133861922</v>
      </c>
      <c r="D70" s="31">
        <v>23.097378510000002</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5!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0"/>
  <sheetViews>
    <sheetView showGridLines="0" topLeftCell="B1" zoomScale="60" zoomScaleNormal="60" workbookViewId="0">
      <selection activeCell="I3" sqref="I3:R3"/>
    </sheetView>
  </sheetViews>
  <sheetFormatPr defaultColWidth="8.81640625" defaultRowHeight="15.5" x14ac:dyDescent="0.35"/>
  <cols>
    <col min="1" max="1" width="43.54296875" style="15" customWidth="1"/>
    <col min="2" max="2" width="14.81640625" style="15" bestFit="1" customWidth="1"/>
    <col min="3" max="3" width="50" style="15" customWidth="1"/>
    <col min="4" max="4" width="16" style="15" customWidth="1"/>
    <col min="5" max="5" width="16.1796875" style="15" bestFit="1" customWidth="1"/>
    <col min="6" max="6" width="19.453125" style="15" customWidth="1"/>
    <col min="7" max="7" width="12.453125" style="15" customWidth="1"/>
    <col min="8" max="8" width="3.453125" style="15" customWidth="1"/>
    <col min="9" max="10" width="17.54296875" style="15" customWidth="1"/>
    <col min="11" max="11" width="18.1796875" style="15" customWidth="1"/>
    <col min="12" max="13" width="17.81640625" style="15" customWidth="1"/>
    <col min="14" max="14" width="15.90625" style="15" customWidth="1"/>
    <col min="15" max="15" width="16.6328125" style="15" customWidth="1"/>
    <col min="16" max="16" width="18.1796875" style="15" customWidth="1"/>
    <col min="17" max="18" width="18.54296875" style="15" customWidth="1"/>
    <col min="19" max="19" width="3.453125" style="15" customWidth="1"/>
    <col min="20" max="20" width="17.54296875" style="15" customWidth="1"/>
    <col min="21" max="21" width="17.1796875" style="15" customWidth="1"/>
    <col min="22" max="22" width="3.453125" style="15" customWidth="1"/>
    <col min="23" max="23" width="11" style="15" customWidth="1"/>
    <col min="24" max="24" width="11.1796875" style="15" customWidth="1"/>
    <col min="25" max="25" width="12.453125" style="15" customWidth="1"/>
    <col min="26" max="16384" width="8.81640625" style="15"/>
  </cols>
  <sheetData>
    <row r="1" spans="1:25" ht="22.4" customHeight="1" x14ac:dyDescent="0.35">
      <c r="A1" s="96">
        <v>45838</v>
      </c>
      <c r="B1" s="24"/>
      <c r="C1" s="99" t="s">
        <v>75</v>
      </c>
      <c r="D1" s="104" t="s">
        <v>89</v>
      </c>
      <c r="E1" s="29" t="s">
        <v>74</v>
      </c>
      <c r="F1" s="104" t="s">
        <v>99</v>
      </c>
      <c r="G1" s="104" t="s">
        <v>70</v>
      </c>
      <c r="H1" s="26"/>
      <c r="I1" s="102" t="s">
        <v>71</v>
      </c>
      <c r="J1" s="108"/>
      <c r="K1" s="108">
        <v>0</v>
      </c>
      <c r="L1" s="108"/>
      <c r="M1" s="108"/>
      <c r="N1" s="108">
        <v>0</v>
      </c>
      <c r="O1" s="108"/>
      <c r="P1" s="108">
        <v>0</v>
      </c>
      <c r="Q1" s="85"/>
      <c r="R1" s="94"/>
      <c r="S1" s="27"/>
      <c r="T1" s="106" t="s">
        <v>96</v>
      </c>
      <c r="U1" s="107">
        <v>0</v>
      </c>
      <c r="V1" s="27"/>
      <c r="W1" s="102" t="s">
        <v>171</v>
      </c>
      <c r="X1" s="108">
        <v>0</v>
      </c>
      <c r="Y1" s="108">
        <v>0</v>
      </c>
    </row>
    <row r="2" spans="1:25" ht="92.5" customHeight="1" x14ac:dyDescent="0.35">
      <c r="A2" s="23" t="s">
        <v>42</v>
      </c>
      <c r="B2" s="23" t="s">
        <v>43</v>
      </c>
      <c r="C2" s="23" t="s">
        <v>44</v>
      </c>
      <c r="D2" s="105">
        <v>0</v>
      </c>
      <c r="E2" s="23" t="s">
        <v>98</v>
      </c>
      <c r="F2" s="105">
        <v>0</v>
      </c>
      <c r="G2" s="105">
        <v>0</v>
      </c>
      <c r="H2" s="26"/>
      <c r="I2" s="62" t="s">
        <v>91</v>
      </c>
      <c r="J2" s="93" t="s">
        <v>166</v>
      </c>
      <c r="K2" s="23" t="s">
        <v>149</v>
      </c>
      <c r="L2" s="23" t="s">
        <v>163</v>
      </c>
      <c r="M2" s="23" t="s">
        <v>170</v>
      </c>
      <c r="N2" s="23" t="s">
        <v>93</v>
      </c>
      <c r="O2" s="23" t="s">
        <v>167</v>
      </c>
      <c r="P2" s="23" t="s">
        <v>150</v>
      </c>
      <c r="Q2" s="23" t="s">
        <v>164</v>
      </c>
      <c r="R2" s="23" t="s">
        <v>169</v>
      </c>
      <c r="S2" s="28"/>
      <c r="T2" s="23" t="s">
        <v>110</v>
      </c>
      <c r="U2" s="23" t="s">
        <v>111</v>
      </c>
      <c r="V2" s="28"/>
      <c r="W2" s="23" t="s">
        <v>141</v>
      </c>
      <c r="X2" s="23" t="s">
        <v>142</v>
      </c>
      <c r="Y2" s="23" t="s">
        <v>143</v>
      </c>
    </row>
    <row r="3" spans="1:25" ht="29.15" customHeight="1" x14ac:dyDescent="0.35">
      <c r="A3" s="100" t="s">
        <v>67</v>
      </c>
      <c r="B3" s="100"/>
      <c r="C3" s="100"/>
      <c r="D3" s="42"/>
      <c r="E3" s="42"/>
      <c r="F3" s="43"/>
      <c r="G3" s="68" t="s">
        <v>97</v>
      </c>
      <c r="H3" s="43"/>
      <c r="I3" s="65">
        <v>0.80964867139409091</v>
      </c>
      <c r="J3" s="65">
        <v>5.1613734806125509</v>
      </c>
      <c r="K3" s="65">
        <v>4.4019796445292005</v>
      </c>
      <c r="L3" s="65">
        <v>1.8786592565535711</v>
      </c>
      <c r="M3" s="65">
        <v>2.1570702241280379</v>
      </c>
      <c r="N3" s="65">
        <v>0.78098449921188229</v>
      </c>
      <c r="O3" s="65">
        <v>5.0900644344888129</v>
      </c>
      <c r="P3" s="65">
        <v>3.7731049488346864</v>
      </c>
      <c r="Q3" s="65">
        <v>1.0496429526258912</v>
      </c>
      <c r="R3" s="65">
        <v>1.7258736186123902</v>
      </c>
      <c r="S3" s="43"/>
      <c r="T3" s="43"/>
      <c r="U3" s="43"/>
      <c r="V3" s="43"/>
      <c r="W3" s="43"/>
      <c r="X3" s="43"/>
      <c r="Y3" s="43"/>
    </row>
    <row r="4" spans="1:25" customFormat="1" ht="14.5" x14ac:dyDescent="0.35">
      <c r="A4" s="30" t="s">
        <v>36</v>
      </c>
      <c r="B4" s="30" t="s">
        <v>40</v>
      </c>
      <c r="C4" s="30" t="s">
        <v>109</v>
      </c>
      <c r="D4" s="64" t="s">
        <v>173</v>
      </c>
      <c r="E4" s="32">
        <v>10</v>
      </c>
      <c r="F4" s="31">
        <v>14.266344480000001</v>
      </c>
      <c r="G4" s="33">
        <v>3083</v>
      </c>
      <c r="H4" s="21"/>
      <c r="I4" s="34">
        <v>0.51588379038827181</v>
      </c>
      <c r="J4" s="34">
        <v>4.714312653215158</v>
      </c>
      <c r="K4" s="34">
        <v>3.2872563564034563</v>
      </c>
      <c r="L4" s="34">
        <v>1.0478160315417817</v>
      </c>
      <c r="M4" s="34">
        <v>1.626599819864083</v>
      </c>
      <c r="N4" s="34">
        <v>1.8015375152661273</v>
      </c>
      <c r="O4" s="34">
        <v>6.0639722245306782</v>
      </c>
      <c r="P4" s="34">
        <v>3.6594810352891916</v>
      </c>
      <c r="Q4" s="34">
        <v>1.5417059774756492</v>
      </c>
      <c r="R4" s="34">
        <v>2.1544228124459552</v>
      </c>
      <c r="S4" s="22"/>
      <c r="T4" s="34">
        <v>4.6993202940945604</v>
      </c>
      <c r="U4" s="34">
        <v>4.7981772940272585</v>
      </c>
      <c r="V4" s="22"/>
      <c r="W4" s="34">
        <v>0.19</v>
      </c>
      <c r="X4" s="34">
        <v>0.34</v>
      </c>
      <c r="Y4" s="34" t="s">
        <v>90</v>
      </c>
    </row>
    <row r="5" spans="1:25" customFormat="1" ht="14.5" x14ac:dyDescent="0.35">
      <c r="A5" s="30" t="s">
        <v>175</v>
      </c>
      <c r="B5" s="30" t="s">
        <v>38</v>
      </c>
      <c r="C5" s="30" t="s">
        <v>183</v>
      </c>
      <c r="D5" s="64" t="s">
        <v>173</v>
      </c>
      <c r="E5" s="32">
        <v>17</v>
      </c>
      <c r="F5" s="31">
        <v>16.6359027498</v>
      </c>
      <c r="G5" s="33">
        <v>2745</v>
      </c>
      <c r="H5" s="21"/>
      <c r="I5" s="34">
        <v>1.205222631402747</v>
      </c>
      <c r="J5" s="34">
        <v>5.6808250305890429</v>
      </c>
      <c r="K5" s="34">
        <v>4.7516324075703498</v>
      </c>
      <c r="L5" s="34">
        <v>2.5837697598702025</v>
      </c>
      <c r="M5" s="34">
        <v>2.964934379679951</v>
      </c>
      <c r="N5" s="34">
        <v>1.3375777203726402</v>
      </c>
      <c r="O5" s="34">
        <v>5.7598524727339173</v>
      </c>
      <c r="P5" s="34">
        <v>4.3151155235652938</v>
      </c>
      <c r="Q5" s="34">
        <v>2.2000539941901875</v>
      </c>
      <c r="R5" s="34">
        <v>2.7197214271255321</v>
      </c>
      <c r="S5" s="22"/>
      <c r="T5" s="34">
        <v>4.1126782407002445</v>
      </c>
      <c r="U5" s="34">
        <v>4.0993364355506863</v>
      </c>
      <c r="V5" s="22"/>
      <c r="W5" s="34">
        <v>0.2</v>
      </c>
      <c r="X5" s="34">
        <v>0.28000000000000003</v>
      </c>
      <c r="Y5" s="34">
        <v>0.28000000000000003</v>
      </c>
    </row>
    <row r="6" spans="1:25" customFormat="1" ht="14.5" x14ac:dyDescent="0.35">
      <c r="A6" s="30" t="s">
        <v>87</v>
      </c>
      <c r="B6" s="30" t="s">
        <v>37</v>
      </c>
      <c r="C6" s="30" t="s">
        <v>68</v>
      </c>
      <c r="D6" s="64" t="s">
        <v>173</v>
      </c>
      <c r="E6" s="32">
        <v>15</v>
      </c>
      <c r="F6" s="31">
        <v>65.023501600000003</v>
      </c>
      <c r="G6" s="33">
        <v>7907</v>
      </c>
      <c r="H6" s="21"/>
      <c r="I6" s="34">
        <v>0.73202614379084263</v>
      </c>
      <c r="J6" s="34">
        <v>5.0436205016357594</v>
      </c>
      <c r="K6" s="34">
        <v>4.510705685584715</v>
      </c>
      <c r="L6" s="34">
        <v>1.936484037441133</v>
      </c>
      <c r="M6" s="34">
        <v>2.2534573140237102</v>
      </c>
      <c r="N6" s="34">
        <v>0.50308370044052086</v>
      </c>
      <c r="O6" s="34">
        <v>4.4828205259725529</v>
      </c>
      <c r="P6" s="34">
        <v>3.7496771566007947</v>
      </c>
      <c r="Q6" s="34">
        <v>1.4634384307210091</v>
      </c>
      <c r="R6" s="34">
        <v>2.0456129645872734</v>
      </c>
      <c r="S6" s="22"/>
      <c r="T6" s="34">
        <v>4.767986714353305</v>
      </c>
      <c r="U6" s="34">
        <v>6.0913831813513921</v>
      </c>
      <c r="V6" s="22"/>
      <c r="W6" s="34">
        <v>0.2</v>
      </c>
      <c r="X6" s="34">
        <v>0.32</v>
      </c>
      <c r="Y6" s="34" t="s">
        <v>90</v>
      </c>
    </row>
    <row r="7" spans="1:25" customFormat="1" ht="14.5" x14ac:dyDescent="0.35">
      <c r="A7" s="30" t="s">
        <v>88</v>
      </c>
      <c r="B7" s="30" t="s">
        <v>39</v>
      </c>
      <c r="C7" s="30" t="s">
        <v>69</v>
      </c>
      <c r="D7" s="64" t="s">
        <v>173</v>
      </c>
      <c r="E7" s="32">
        <v>15</v>
      </c>
      <c r="F7" s="31">
        <v>81.109962069999995</v>
      </c>
      <c r="G7" s="33">
        <v>8997</v>
      </c>
      <c r="H7" s="21"/>
      <c r="I7" s="34">
        <v>0.29455081001470429</v>
      </c>
      <c r="J7" s="34">
        <v>4.8071700162954922</v>
      </c>
      <c r="K7" s="34">
        <v>4.7896270676334174</v>
      </c>
      <c r="L7" s="34">
        <v>2.2225487195665972</v>
      </c>
      <c r="M7" s="34">
        <v>2.2779332558511944</v>
      </c>
      <c r="N7" s="34">
        <v>0.43776640541353107</v>
      </c>
      <c r="O7" s="34">
        <v>5.2890192673072045</v>
      </c>
      <c r="P7" s="34">
        <v>4.103427702816842</v>
      </c>
      <c r="Q7" s="34">
        <v>0.22218221884089395</v>
      </c>
      <c r="R7" s="34">
        <v>1.3348273530354948</v>
      </c>
      <c r="S7" s="22"/>
      <c r="T7" s="34">
        <v>5.1808691992139755</v>
      </c>
      <c r="U7" s="34">
        <v>7.2875990726562243</v>
      </c>
      <c r="V7" s="22"/>
      <c r="W7" s="34">
        <v>0.2</v>
      </c>
      <c r="X7" s="34" t="s">
        <v>90</v>
      </c>
      <c r="Y7" s="34">
        <v>0.2208</v>
      </c>
    </row>
    <row r="8" spans="1:25" customFormat="1" ht="14.5" x14ac:dyDescent="0.35">
      <c r="A8" s="30" t="s">
        <v>115</v>
      </c>
      <c r="B8" s="30" t="s">
        <v>41</v>
      </c>
      <c r="C8" s="67" t="s">
        <v>140</v>
      </c>
      <c r="D8" s="64" t="s">
        <v>173</v>
      </c>
      <c r="E8" s="32">
        <v>10</v>
      </c>
      <c r="F8" s="31">
        <v>38.142211600000003</v>
      </c>
      <c r="G8" s="33">
        <v>7446</v>
      </c>
      <c r="H8" s="21"/>
      <c r="I8" s="34">
        <v>1.953736982766574</v>
      </c>
      <c r="J8" s="34">
        <v>6.0690316395014543</v>
      </c>
      <c r="K8" s="34">
        <v>3.6567271426285908</v>
      </c>
      <c r="L8" s="34">
        <v>1.0520190640911364</v>
      </c>
      <c r="M8" s="34">
        <v>1.5659784353051487</v>
      </c>
      <c r="N8" s="34">
        <v>1.334253657361506</v>
      </c>
      <c r="O8" s="34">
        <v>5.0440256163009956</v>
      </c>
      <c r="P8" s="34">
        <v>2.9167060954624402</v>
      </c>
      <c r="Q8" s="34">
        <v>1.4180225085609122</v>
      </c>
      <c r="R8" s="34">
        <v>1.3876303531836776</v>
      </c>
      <c r="S8" s="22"/>
      <c r="T8" s="34">
        <v>3.5644314676369895</v>
      </c>
      <c r="U8" s="34">
        <v>3.583863930020144</v>
      </c>
      <c r="V8" s="22"/>
      <c r="W8" s="34">
        <v>0.2</v>
      </c>
      <c r="X8" s="34">
        <v>0.37</v>
      </c>
      <c r="Y8" s="34" t="s">
        <v>90</v>
      </c>
    </row>
    <row r="9" spans="1:25" customFormat="1" ht="14.5" x14ac:dyDescent="0.35">
      <c r="A9" s="30" t="s">
        <v>123</v>
      </c>
      <c r="B9" s="30" t="s">
        <v>131</v>
      </c>
      <c r="C9" s="67" t="s">
        <v>139</v>
      </c>
      <c r="D9" s="64" t="s">
        <v>174</v>
      </c>
      <c r="E9" s="32">
        <v>0</v>
      </c>
      <c r="F9" s="31">
        <v>0.90079629329999999</v>
      </c>
      <c r="G9" s="33">
        <v>66</v>
      </c>
      <c r="H9" s="21"/>
      <c r="I9" s="34">
        <v>1.6966629171353498</v>
      </c>
      <c r="J9" s="34">
        <v>4.609005881785766</v>
      </c>
      <c r="K9" s="34" t="s">
        <v>151</v>
      </c>
      <c r="L9" s="34" t="s">
        <v>151</v>
      </c>
      <c r="M9" s="34">
        <v>2.8267555601741101</v>
      </c>
      <c r="N9" s="34">
        <v>1.8762251470176405</v>
      </c>
      <c r="O9" s="34">
        <v>5.1647716322990922</v>
      </c>
      <c r="P9" s="34" t="s">
        <v>151</v>
      </c>
      <c r="Q9" s="34" t="s">
        <v>151</v>
      </c>
      <c r="R9" s="34">
        <v>3.0370870290537422</v>
      </c>
      <c r="S9" s="22"/>
      <c r="T9" s="34" t="s">
        <v>151</v>
      </c>
      <c r="U9" s="34" t="s">
        <v>151</v>
      </c>
      <c r="V9" s="22"/>
      <c r="W9" s="34">
        <v>0.17929999999999999</v>
      </c>
      <c r="X9" s="34">
        <v>0.33169999999999999</v>
      </c>
      <c r="Y9" s="34" t="s">
        <v>90</v>
      </c>
    </row>
    <row r="10" spans="1:25"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5" s="53" customFormat="1" ht="13.5" x14ac:dyDescent="0.3">
      <c r="A11" s="51" t="s">
        <v>185</v>
      </c>
      <c r="B11" s="47"/>
      <c r="C11" s="47"/>
      <c r="D11" s="52"/>
      <c r="E11" s="52"/>
      <c r="F11" s="52"/>
      <c r="G11" s="52"/>
      <c r="H11" s="52"/>
      <c r="I11" s="52"/>
      <c r="J11" s="52"/>
      <c r="K11" s="52"/>
      <c r="L11" s="52"/>
      <c r="M11" s="52"/>
      <c r="N11" s="52"/>
      <c r="O11" s="52"/>
      <c r="P11" s="52"/>
      <c r="Q11" s="52"/>
      <c r="R11" s="52"/>
    </row>
    <row r="12" spans="1:25" s="53" customFormat="1" ht="13.5" x14ac:dyDescent="0.3">
      <c r="A12" s="47" t="s">
        <v>92</v>
      </c>
      <c r="B12" s="51"/>
      <c r="C12" s="51"/>
    </row>
    <row r="13" spans="1:25" s="53" customFormat="1" ht="13.5" x14ac:dyDescent="0.3">
      <c r="A13" s="51" t="s">
        <v>94</v>
      </c>
      <c r="B13" s="51"/>
      <c r="C13" s="51"/>
    </row>
    <row r="14" spans="1:25" s="53" customFormat="1" ht="13.5" x14ac:dyDescent="0.3">
      <c r="A14" s="51" t="s">
        <v>95</v>
      </c>
      <c r="B14" s="51"/>
      <c r="C14" s="51"/>
    </row>
    <row r="15" spans="1:25" s="53" customFormat="1" ht="13.5" x14ac:dyDescent="0.3">
      <c r="A15" s="51" t="s">
        <v>184</v>
      </c>
      <c r="B15" s="52"/>
      <c r="C15" s="52"/>
    </row>
    <row r="16" spans="1:25" s="53" customFormat="1" ht="13.5" x14ac:dyDescent="0.3">
      <c r="A16" s="54" t="s">
        <v>114</v>
      </c>
      <c r="B16" s="52"/>
      <c r="C16" s="52"/>
    </row>
    <row r="17" spans="1:4" s="53" customFormat="1" ht="13.5" x14ac:dyDescent="0.3">
      <c r="A17" s="54" t="s">
        <v>100</v>
      </c>
    </row>
    <row r="18" spans="1:4" s="53" customFormat="1" ht="13.5" x14ac:dyDescent="0.3">
      <c r="A18" s="54" t="s">
        <v>186</v>
      </c>
    </row>
    <row r="19" spans="1:4" x14ac:dyDescent="0.35">
      <c r="A19" s="54" t="s">
        <v>144</v>
      </c>
    </row>
    <row r="20" spans="1:4" x14ac:dyDescent="0.35">
      <c r="A20" s="54" t="s">
        <v>145</v>
      </c>
    </row>
    <row r="21" spans="1:4" x14ac:dyDescent="0.35">
      <c r="A21" s="54" t="s">
        <v>148</v>
      </c>
    </row>
    <row r="22" spans="1:4" x14ac:dyDescent="0.35">
      <c r="A22" s="54" t="s">
        <v>147</v>
      </c>
    </row>
    <row r="23" spans="1:4" x14ac:dyDescent="0.35">
      <c r="A23" s="86" t="s">
        <v>168</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40</v>
      </c>
      <c r="B36" s="31">
        <v>4.6993202940945604</v>
      </c>
      <c r="C36" s="31">
        <v>3.2872563564034563</v>
      </c>
    </row>
    <row r="37" spans="1:3" x14ac:dyDescent="0.35">
      <c r="A37" s="30" t="s">
        <v>38</v>
      </c>
      <c r="B37" s="31">
        <v>4.1126782407002445</v>
      </c>
      <c r="C37" s="31">
        <v>4.7516324075703498</v>
      </c>
    </row>
    <row r="38" spans="1:3" x14ac:dyDescent="0.35">
      <c r="A38" s="30" t="s">
        <v>37</v>
      </c>
      <c r="B38" s="31">
        <v>4.767986714353305</v>
      </c>
      <c r="C38" s="31">
        <v>4.510705685584715</v>
      </c>
    </row>
    <row r="39" spans="1:3" x14ac:dyDescent="0.35">
      <c r="A39" s="30" t="s">
        <v>39</v>
      </c>
      <c r="B39" s="31">
        <v>5.1808691992139755</v>
      </c>
      <c r="C39" s="31">
        <v>4.7896270676334174</v>
      </c>
    </row>
    <row r="40" spans="1:3" x14ac:dyDescent="0.35">
      <c r="A40" s="30" t="s">
        <v>41</v>
      </c>
      <c r="B40" s="31">
        <v>3.5644314676369895</v>
      </c>
      <c r="C40" s="31">
        <v>3.6567271426285908</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40</v>
      </c>
      <c r="B66" s="31">
        <v>3.0830000000000002</v>
      </c>
      <c r="C66" s="31">
        <v>3.2872563564034563</v>
      </c>
      <c r="D66" s="31">
        <v>14.266344480000001</v>
      </c>
    </row>
    <row r="67" spans="1:4" x14ac:dyDescent="0.35">
      <c r="A67" s="30" t="s">
        <v>38</v>
      </c>
      <c r="B67" s="31">
        <v>2.7450000000000001</v>
      </c>
      <c r="C67" s="31">
        <v>4.7516324075703498</v>
      </c>
      <c r="D67" s="31">
        <v>16.6359027498</v>
      </c>
    </row>
    <row r="68" spans="1:4" x14ac:dyDescent="0.35">
      <c r="A68" s="30" t="s">
        <v>37</v>
      </c>
      <c r="B68" s="31">
        <v>7.907</v>
      </c>
      <c r="C68" s="31">
        <v>4.510705685584715</v>
      </c>
      <c r="D68" s="31">
        <v>65.023501600000003</v>
      </c>
    </row>
    <row r="69" spans="1:4" x14ac:dyDescent="0.35">
      <c r="A69" s="30" t="s">
        <v>39</v>
      </c>
      <c r="B69" s="31">
        <v>8.9969999999999999</v>
      </c>
      <c r="C69" s="31">
        <v>4.7896270676334174</v>
      </c>
      <c r="D69" s="31">
        <v>81.109962069999995</v>
      </c>
    </row>
    <row r="70" spans="1:4" x14ac:dyDescent="0.35">
      <c r="A70" s="30" t="s">
        <v>41</v>
      </c>
      <c r="B70" s="31">
        <v>7.4459999999999997</v>
      </c>
      <c r="C70" s="31">
        <v>3.6567271426285908</v>
      </c>
      <c r="D70" s="31">
        <v>38.142211600000003</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5!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60" zoomScaleNormal="6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4" t="s">
        <v>73</v>
      </c>
      <c r="B1" s="109" t="s">
        <v>79</v>
      </c>
      <c r="C1" s="110"/>
      <c r="D1" s="110"/>
      <c r="E1" s="110"/>
      <c r="F1" s="110"/>
      <c r="G1" s="110"/>
      <c r="O1" s="18"/>
    </row>
    <row r="2" spans="1:15" ht="59.15" customHeight="1" x14ac:dyDescent="0.25">
      <c r="A2" s="111"/>
      <c r="B2" s="23" t="s">
        <v>87</v>
      </c>
      <c r="C2" s="23" t="s">
        <v>175</v>
      </c>
      <c r="D2" s="23" t="s">
        <v>88</v>
      </c>
      <c r="E2" s="23" t="s">
        <v>36</v>
      </c>
      <c r="F2" s="23" t="s">
        <v>115</v>
      </c>
      <c r="G2" s="23" t="s">
        <v>123</v>
      </c>
      <c r="H2" s="98" t="s">
        <v>75</v>
      </c>
    </row>
    <row r="3" spans="1:15" x14ac:dyDescent="0.25">
      <c r="A3" s="55">
        <v>20</v>
      </c>
      <c r="B3" s="32">
        <v>98</v>
      </c>
      <c r="C3" s="32">
        <v>97</v>
      </c>
      <c r="D3" s="32">
        <v>97</v>
      </c>
      <c r="E3" s="32">
        <v>90</v>
      </c>
      <c r="F3" s="32">
        <v>90</v>
      </c>
      <c r="G3" s="32">
        <v>100</v>
      </c>
    </row>
    <row r="4" spans="1:15" x14ac:dyDescent="0.25">
      <c r="A4" s="55">
        <v>21</v>
      </c>
      <c r="B4" s="32">
        <v>98</v>
      </c>
      <c r="C4" s="32">
        <v>97</v>
      </c>
      <c r="D4" s="32">
        <v>97</v>
      </c>
      <c r="E4" s="32">
        <v>90</v>
      </c>
      <c r="F4" s="32">
        <v>90</v>
      </c>
      <c r="G4" s="32">
        <v>100</v>
      </c>
    </row>
    <row r="5" spans="1:15" x14ac:dyDescent="0.25">
      <c r="A5" s="55">
        <v>22</v>
      </c>
      <c r="B5" s="32">
        <v>98</v>
      </c>
      <c r="C5" s="32">
        <v>97</v>
      </c>
      <c r="D5" s="32">
        <v>97</v>
      </c>
      <c r="E5" s="32">
        <v>90</v>
      </c>
      <c r="F5" s="32">
        <v>90</v>
      </c>
      <c r="G5" s="32">
        <v>100</v>
      </c>
    </row>
    <row r="6" spans="1:15" x14ac:dyDescent="0.25">
      <c r="A6" s="55">
        <v>23</v>
      </c>
      <c r="B6" s="32">
        <v>98</v>
      </c>
      <c r="C6" s="32">
        <v>97</v>
      </c>
      <c r="D6" s="32">
        <v>97</v>
      </c>
      <c r="E6" s="32">
        <v>90</v>
      </c>
      <c r="F6" s="32">
        <v>90</v>
      </c>
      <c r="G6" s="32">
        <v>100</v>
      </c>
    </row>
    <row r="7" spans="1:15" x14ac:dyDescent="0.25">
      <c r="A7" s="55">
        <v>24</v>
      </c>
      <c r="B7" s="32">
        <v>98</v>
      </c>
      <c r="C7" s="32">
        <v>97</v>
      </c>
      <c r="D7" s="32">
        <v>97</v>
      </c>
      <c r="E7" s="32">
        <v>90</v>
      </c>
      <c r="F7" s="32">
        <v>90</v>
      </c>
      <c r="G7" s="32">
        <v>100</v>
      </c>
    </row>
    <row r="8" spans="1:15" x14ac:dyDescent="0.25">
      <c r="A8" s="55">
        <v>25</v>
      </c>
      <c r="B8" s="32">
        <v>98</v>
      </c>
      <c r="C8" s="32">
        <v>97</v>
      </c>
      <c r="D8" s="32">
        <v>97</v>
      </c>
      <c r="E8" s="32">
        <v>90</v>
      </c>
      <c r="F8" s="32">
        <v>90</v>
      </c>
      <c r="G8" s="32">
        <v>100</v>
      </c>
    </row>
    <row r="9" spans="1:15" x14ac:dyDescent="0.25">
      <c r="A9" s="55">
        <v>26</v>
      </c>
      <c r="B9" s="32">
        <v>98</v>
      </c>
      <c r="C9" s="32">
        <v>97</v>
      </c>
      <c r="D9" s="32">
        <v>97</v>
      </c>
      <c r="E9" s="32">
        <v>90</v>
      </c>
      <c r="F9" s="32">
        <v>90</v>
      </c>
      <c r="G9" s="32">
        <v>100</v>
      </c>
    </row>
    <row r="10" spans="1:15" x14ac:dyDescent="0.25">
      <c r="A10" s="55">
        <v>27</v>
      </c>
      <c r="B10" s="32">
        <v>98</v>
      </c>
      <c r="C10" s="32">
        <v>97</v>
      </c>
      <c r="D10" s="32">
        <v>97</v>
      </c>
      <c r="E10" s="32">
        <v>90</v>
      </c>
      <c r="F10" s="32">
        <v>90</v>
      </c>
      <c r="G10" s="32">
        <v>100</v>
      </c>
    </row>
    <row r="11" spans="1:15" x14ac:dyDescent="0.25">
      <c r="A11" s="55">
        <v>28</v>
      </c>
      <c r="B11" s="32">
        <v>98</v>
      </c>
      <c r="C11" s="32">
        <v>97</v>
      </c>
      <c r="D11" s="32">
        <v>97</v>
      </c>
      <c r="E11" s="32">
        <v>90</v>
      </c>
      <c r="F11" s="32">
        <v>90</v>
      </c>
      <c r="G11" s="32">
        <v>100</v>
      </c>
    </row>
    <row r="12" spans="1:15" x14ac:dyDescent="0.25">
      <c r="A12" s="55">
        <v>29</v>
      </c>
      <c r="B12" s="32">
        <v>98</v>
      </c>
      <c r="C12" s="32">
        <v>97</v>
      </c>
      <c r="D12" s="32">
        <v>97</v>
      </c>
      <c r="E12" s="32">
        <v>90</v>
      </c>
      <c r="F12" s="32">
        <v>90</v>
      </c>
      <c r="G12" s="32">
        <v>100</v>
      </c>
    </row>
    <row r="13" spans="1:15" x14ac:dyDescent="0.25">
      <c r="A13" s="55">
        <v>30</v>
      </c>
      <c r="B13" s="32">
        <v>98</v>
      </c>
      <c r="C13" s="32">
        <v>97</v>
      </c>
      <c r="D13" s="32">
        <v>97</v>
      </c>
      <c r="E13" s="32">
        <v>90</v>
      </c>
      <c r="F13" s="32">
        <v>90</v>
      </c>
      <c r="G13" s="32">
        <v>100</v>
      </c>
    </row>
    <row r="14" spans="1:15" x14ac:dyDescent="0.25">
      <c r="A14" s="55">
        <v>31</v>
      </c>
      <c r="B14" s="32">
        <v>98</v>
      </c>
      <c r="C14" s="32">
        <v>97</v>
      </c>
      <c r="D14" s="32">
        <v>97</v>
      </c>
      <c r="E14" s="32">
        <v>90</v>
      </c>
      <c r="F14" s="32">
        <v>90</v>
      </c>
      <c r="G14" s="32">
        <v>100</v>
      </c>
    </row>
    <row r="15" spans="1:15" x14ac:dyDescent="0.25">
      <c r="A15" s="55">
        <v>32</v>
      </c>
      <c r="B15" s="32">
        <v>98</v>
      </c>
      <c r="C15" s="32">
        <v>97</v>
      </c>
      <c r="D15" s="32">
        <v>97</v>
      </c>
      <c r="E15" s="32">
        <v>90</v>
      </c>
      <c r="F15" s="32">
        <v>90</v>
      </c>
      <c r="G15" s="32">
        <v>100</v>
      </c>
    </row>
    <row r="16" spans="1:15" x14ac:dyDescent="0.25">
      <c r="A16" s="55">
        <v>33</v>
      </c>
      <c r="B16" s="32">
        <v>98</v>
      </c>
      <c r="C16" s="32">
        <v>97</v>
      </c>
      <c r="D16" s="32">
        <v>97</v>
      </c>
      <c r="E16" s="32">
        <v>90</v>
      </c>
      <c r="F16" s="32">
        <v>90</v>
      </c>
      <c r="G16" s="32">
        <v>100</v>
      </c>
    </row>
    <row r="17" spans="1:7" x14ac:dyDescent="0.25">
      <c r="A17" s="55">
        <v>34</v>
      </c>
      <c r="B17" s="32">
        <v>98</v>
      </c>
      <c r="C17" s="32">
        <v>97</v>
      </c>
      <c r="D17" s="32">
        <v>97</v>
      </c>
      <c r="E17" s="32">
        <v>90</v>
      </c>
      <c r="F17" s="32">
        <v>90</v>
      </c>
      <c r="G17" s="32">
        <v>100</v>
      </c>
    </row>
    <row r="18" spans="1:7" x14ac:dyDescent="0.25">
      <c r="A18" s="55">
        <v>35</v>
      </c>
      <c r="B18" s="32">
        <v>98</v>
      </c>
      <c r="C18" s="32">
        <v>97</v>
      </c>
      <c r="D18" s="32">
        <v>97</v>
      </c>
      <c r="E18" s="32">
        <v>90</v>
      </c>
      <c r="F18" s="32">
        <v>90</v>
      </c>
      <c r="G18" s="32">
        <v>100</v>
      </c>
    </row>
    <row r="19" spans="1:7" x14ac:dyDescent="0.25">
      <c r="A19" s="55">
        <v>36</v>
      </c>
      <c r="B19" s="32">
        <v>98</v>
      </c>
      <c r="C19" s="32">
        <v>97</v>
      </c>
      <c r="D19" s="32">
        <v>97</v>
      </c>
      <c r="E19" s="32">
        <v>90</v>
      </c>
      <c r="F19" s="32">
        <v>90</v>
      </c>
      <c r="G19" s="32">
        <v>100</v>
      </c>
    </row>
    <row r="20" spans="1:7" x14ac:dyDescent="0.25">
      <c r="A20" s="55">
        <v>37</v>
      </c>
      <c r="B20" s="32">
        <v>98</v>
      </c>
      <c r="C20" s="32">
        <v>97</v>
      </c>
      <c r="D20" s="32">
        <v>97</v>
      </c>
      <c r="E20" s="32">
        <v>90</v>
      </c>
      <c r="F20" s="32">
        <v>90</v>
      </c>
      <c r="G20" s="32">
        <v>100</v>
      </c>
    </row>
    <row r="21" spans="1:7" x14ac:dyDescent="0.25">
      <c r="A21" s="55">
        <v>38</v>
      </c>
      <c r="B21" s="32">
        <v>98</v>
      </c>
      <c r="C21" s="32">
        <v>97</v>
      </c>
      <c r="D21" s="32">
        <v>97</v>
      </c>
      <c r="E21" s="32">
        <v>90</v>
      </c>
      <c r="F21" s="32">
        <v>90</v>
      </c>
      <c r="G21" s="32">
        <v>100</v>
      </c>
    </row>
    <row r="22" spans="1:7" x14ac:dyDescent="0.25">
      <c r="A22" s="55">
        <v>39</v>
      </c>
      <c r="B22" s="32">
        <v>98</v>
      </c>
      <c r="C22" s="32">
        <v>97</v>
      </c>
      <c r="D22" s="32">
        <v>97</v>
      </c>
      <c r="E22" s="32">
        <v>90</v>
      </c>
      <c r="F22" s="32">
        <v>90</v>
      </c>
      <c r="G22" s="32">
        <v>100</v>
      </c>
    </row>
    <row r="23" spans="1:7" x14ac:dyDescent="0.25">
      <c r="A23" s="55">
        <v>40</v>
      </c>
      <c r="B23" s="32">
        <v>98</v>
      </c>
      <c r="C23" s="32">
        <v>97</v>
      </c>
      <c r="D23" s="32">
        <v>97</v>
      </c>
      <c r="E23" s="32">
        <v>90</v>
      </c>
      <c r="F23" s="32">
        <v>90</v>
      </c>
      <c r="G23" s="32">
        <v>100</v>
      </c>
    </row>
    <row r="24" spans="1:7" x14ac:dyDescent="0.25">
      <c r="A24" s="55">
        <v>41</v>
      </c>
      <c r="B24" s="32">
        <v>98</v>
      </c>
      <c r="C24" s="32">
        <v>97</v>
      </c>
      <c r="D24" s="32">
        <v>97</v>
      </c>
      <c r="E24" s="32">
        <v>90</v>
      </c>
      <c r="F24" s="32">
        <v>90</v>
      </c>
      <c r="G24" s="32">
        <v>100</v>
      </c>
    </row>
    <row r="25" spans="1:7" x14ac:dyDescent="0.25">
      <c r="A25" s="55">
        <v>42</v>
      </c>
      <c r="B25" s="32">
        <v>98</v>
      </c>
      <c r="C25" s="32">
        <v>97</v>
      </c>
      <c r="D25" s="32">
        <v>97</v>
      </c>
      <c r="E25" s="32">
        <v>90</v>
      </c>
      <c r="F25" s="32">
        <v>90</v>
      </c>
      <c r="G25" s="32">
        <v>100</v>
      </c>
    </row>
    <row r="26" spans="1:7" x14ac:dyDescent="0.25">
      <c r="A26" s="55">
        <v>43</v>
      </c>
      <c r="B26" s="32">
        <v>98</v>
      </c>
      <c r="C26" s="32">
        <v>97</v>
      </c>
      <c r="D26" s="32">
        <v>97</v>
      </c>
      <c r="E26" s="32">
        <v>90</v>
      </c>
      <c r="F26" s="32">
        <v>90</v>
      </c>
      <c r="G26" s="32">
        <v>100</v>
      </c>
    </row>
    <row r="27" spans="1:7" x14ac:dyDescent="0.25">
      <c r="A27" s="55">
        <v>44</v>
      </c>
      <c r="B27" s="32">
        <v>98</v>
      </c>
      <c r="C27" s="32">
        <v>97</v>
      </c>
      <c r="D27" s="32">
        <v>97</v>
      </c>
      <c r="E27" s="32">
        <v>90</v>
      </c>
      <c r="F27" s="32">
        <v>90</v>
      </c>
      <c r="G27" s="32">
        <v>100</v>
      </c>
    </row>
    <row r="28" spans="1:7" x14ac:dyDescent="0.25">
      <c r="A28" s="55">
        <v>45</v>
      </c>
      <c r="B28" s="32">
        <v>98</v>
      </c>
      <c r="C28" s="32">
        <v>97</v>
      </c>
      <c r="D28" s="32">
        <v>97</v>
      </c>
      <c r="E28" s="32">
        <v>90</v>
      </c>
      <c r="F28" s="32">
        <v>90</v>
      </c>
      <c r="G28" s="32">
        <v>100</v>
      </c>
    </row>
    <row r="29" spans="1:7" x14ac:dyDescent="0.25">
      <c r="A29" s="55">
        <v>46</v>
      </c>
      <c r="B29" s="32">
        <v>98</v>
      </c>
      <c r="C29" s="32">
        <v>97</v>
      </c>
      <c r="D29" s="32">
        <v>97</v>
      </c>
      <c r="E29" s="32">
        <v>90</v>
      </c>
      <c r="F29" s="32">
        <v>90</v>
      </c>
      <c r="G29" s="32">
        <v>100</v>
      </c>
    </row>
    <row r="30" spans="1:7" x14ac:dyDescent="0.25">
      <c r="A30" s="55">
        <v>47</v>
      </c>
      <c r="B30" s="32">
        <v>98</v>
      </c>
      <c r="C30" s="32">
        <v>97</v>
      </c>
      <c r="D30" s="32">
        <v>97</v>
      </c>
      <c r="E30" s="32">
        <v>90</v>
      </c>
      <c r="F30" s="32">
        <v>90</v>
      </c>
      <c r="G30" s="32">
        <v>100</v>
      </c>
    </row>
    <row r="31" spans="1:7" x14ac:dyDescent="0.25">
      <c r="A31" s="55">
        <v>48</v>
      </c>
      <c r="B31" s="32">
        <v>92.9</v>
      </c>
      <c r="C31" s="32">
        <v>91.88</v>
      </c>
      <c r="D31" s="32">
        <v>95</v>
      </c>
      <c r="E31" s="32">
        <v>90</v>
      </c>
      <c r="F31" s="32">
        <v>90</v>
      </c>
      <c r="G31" s="32">
        <v>100</v>
      </c>
    </row>
    <row r="32" spans="1:7" x14ac:dyDescent="0.25">
      <c r="A32" s="55">
        <v>49</v>
      </c>
      <c r="B32" s="32">
        <v>87.9</v>
      </c>
      <c r="C32" s="32">
        <v>86.77</v>
      </c>
      <c r="D32" s="32">
        <v>90</v>
      </c>
      <c r="E32" s="32">
        <v>90</v>
      </c>
      <c r="F32" s="32">
        <v>90</v>
      </c>
      <c r="G32" s="32">
        <v>100</v>
      </c>
    </row>
    <row r="33" spans="1:7" x14ac:dyDescent="0.25">
      <c r="A33" s="55">
        <v>50</v>
      </c>
      <c r="B33" s="32">
        <v>82.899999999999991</v>
      </c>
      <c r="C33" s="32">
        <v>81.64</v>
      </c>
      <c r="D33" s="32">
        <v>85</v>
      </c>
      <c r="E33" s="32">
        <v>85</v>
      </c>
      <c r="F33" s="32">
        <v>85</v>
      </c>
      <c r="G33" s="32">
        <v>100</v>
      </c>
    </row>
    <row r="34" spans="1:7" x14ac:dyDescent="0.25">
      <c r="A34" s="55">
        <v>51</v>
      </c>
      <c r="B34" s="32">
        <v>78</v>
      </c>
      <c r="C34" s="32">
        <v>76.530000000000015</v>
      </c>
      <c r="D34" s="32">
        <v>80</v>
      </c>
      <c r="E34" s="32">
        <v>80</v>
      </c>
      <c r="F34" s="32">
        <v>80</v>
      </c>
      <c r="G34" s="32">
        <v>100</v>
      </c>
    </row>
    <row r="35" spans="1:7" x14ac:dyDescent="0.25">
      <c r="A35" s="55">
        <v>52</v>
      </c>
      <c r="B35" s="32">
        <v>73.099999999999994</v>
      </c>
      <c r="C35" s="32">
        <v>71.41</v>
      </c>
      <c r="D35" s="32">
        <v>75</v>
      </c>
      <c r="E35" s="32">
        <v>75</v>
      </c>
      <c r="F35" s="32">
        <v>75</v>
      </c>
      <c r="G35" s="32">
        <v>100</v>
      </c>
    </row>
    <row r="36" spans="1:7" x14ac:dyDescent="0.25">
      <c r="A36" s="55">
        <v>53</v>
      </c>
      <c r="B36" s="32">
        <v>68.099999999999994</v>
      </c>
      <c r="C36" s="32">
        <v>66.3</v>
      </c>
      <c r="D36" s="32">
        <v>70</v>
      </c>
      <c r="E36" s="32">
        <v>70</v>
      </c>
      <c r="F36" s="32">
        <v>70</v>
      </c>
      <c r="G36" s="32">
        <v>100</v>
      </c>
    </row>
    <row r="37" spans="1:7" x14ac:dyDescent="0.25">
      <c r="A37" s="55">
        <v>54</v>
      </c>
      <c r="B37" s="32">
        <v>63.3</v>
      </c>
      <c r="C37" s="32">
        <v>61.18</v>
      </c>
      <c r="D37" s="32">
        <v>65</v>
      </c>
      <c r="E37" s="32">
        <v>65</v>
      </c>
      <c r="F37" s="32">
        <v>65</v>
      </c>
      <c r="G37" s="32">
        <v>100</v>
      </c>
    </row>
    <row r="38" spans="1:7" x14ac:dyDescent="0.25">
      <c r="A38" s="55">
        <v>55</v>
      </c>
      <c r="B38" s="32">
        <v>58.5</v>
      </c>
      <c r="C38" s="32">
        <v>56.06</v>
      </c>
      <c r="D38" s="32">
        <v>60</v>
      </c>
      <c r="E38" s="32">
        <v>60</v>
      </c>
      <c r="F38" s="32">
        <v>60</v>
      </c>
      <c r="G38" s="32">
        <v>90</v>
      </c>
    </row>
    <row r="39" spans="1:7" x14ac:dyDescent="0.25">
      <c r="A39" s="55">
        <v>56</v>
      </c>
      <c r="B39" s="32">
        <v>53.800000000000004</v>
      </c>
      <c r="C39" s="32">
        <v>50.94</v>
      </c>
      <c r="D39" s="32">
        <v>55.000000000000007</v>
      </c>
      <c r="E39" s="32">
        <v>55.000000000000007</v>
      </c>
      <c r="F39" s="32">
        <v>55.000000000000007</v>
      </c>
      <c r="G39" s="32">
        <v>80</v>
      </c>
    </row>
    <row r="40" spans="1:7" x14ac:dyDescent="0.25">
      <c r="A40" s="55">
        <v>57</v>
      </c>
      <c r="B40" s="32">
        <v>49.1</v>
      </c>
      <c r="C40" s="32">
        <v>45.82</v>
      </c>
      <c r="D40" s="32">
        <v>50</v>
      </c>
      <c r="E40" s="32">
        <v>50</v>
      </c>
      <c r="F40" s="32">
        <v>50</v>
      </c>
      <c r="G40" s="32">
        <v>70</v>
      </c>
    </row>
    <row r="41" spans="1:7" x14ac:dyDescent="0.25">
      <c r="A41" s="55">
        <v>58</v>
      </c>
      <c r="B41" s="32">
        <v>44.4</v>
      </c>
      <c r="C41" s="32">
        <v>40.71</v>
      </c>
      <c r="D41" s="32">
        <v>45</v>
      </c>
      <c r="E41" s="32">
        <v>45</v>
      </c>
      <c r="F41" s="32">
        <v>45</v>
      </c>
      <c r="G41" s="32">
        <v>60</v>
      </c>
    </row>
    <row r="42" spans="1:7" x14ac:dyDescent="0.25">
      <c r="A42" s="55">
        <v>59</v>
      </c>
      <c r="B42" s="32">
        <v>39.800000000000004</v>
      </c>
      <c r="C42" s="32">
        <v>35.589999999999996</v>
      </c>
      <c r="D42" s="32">
        <v>40</v>
      </c>
      <c r="E42" s="32">
        <v>40</v>
      </c>
      <c r="F42" s="32">
        <v>40</v>
      </c>
      <c r="G42" s="32">
        <v>50</v>
      </c>
    </row>
    <row r="43" spans="1:7" x14ac:dyDescent="0.25">
      <c r="A43" s="55">
        <v>60</v>
      </c>
      <c r="B43" s="32">
        <v>35.299999999999997</v>
      </c>
      <c r="C43" s="32">
        <v>30.470000000000002</v>
      </c>
      <c r="D43" s="32">
        <v>35</v>
      </c>
      <c r="E43" s="32">
        <v>35</v>
      </c>
      <c r="F43" s="32">
        <v>35</v>
      </c>
      <c r="G43" s="32">
        <v>40</v>
      </c>
    </row>
    <row r="44" spans="1:7" x14ac:dyDescent="0.25">
      <c r="A44" s="55">
        <v>61</v>
      </c>
      <c r="B44" s="32">
        <v>30.8</v>
      </c>
      <c r="C44" s="32">
        <v>25.35</v>
      </c>
      <c r="D44" s="32">
        <v>30</v>
      </c>
      <c r="E44" s="32">
        <v>30</v>
      </c>
      <c r="F44" s="32">
        <v>30</v>
      </c>
      <c r="G44" s="32">
        <v>30</v>
      </c>
    </row>
    <row r="45" spans="1:7" x14ac:dyDescent="0.25">
      <c r="A45" s="55">
        <v>62</v>
      </c>
      <c r="B45" s="32">
        <v>26.6</v>
      </c>
      <c r="C45" s="32">
        <v>20.239999999999998</v>
      </c>
      <c r="D45" s="32">
        <v>25</v>
      </c>
      <c r="E45" s="32">
        <v>25</v>
      </c>
      <c r="F45" s="32">
        <v>25</v>
      </c>
      <c r="G45" s="32">
        <v>20</v>
      </c>
    </row>
    <row r="46" spans="1:7" x14ac:dyDescent="0.25">
      <c r="A46" s="55">
        <v>63</v>
      </c>
      <c r="B46" s="32">
        <v>22.400000000000002</v>
      </c>
      <c r="C46" s="32">
        <v>15.120000000000001</v>
      </c>
      <c r="D46" s="32">
        <v>20</v>
      </c>
      <c r="E46" s="32">
        <v>20</v>
      </c>
      <c r="F46" s="32">
        <v>20</v>
      </c>
      <c r="G46" s="32">
        <v>10</v>
      </c>
    </row>
    <row r="47" spans="1:7" x14ac:dyDescent="0.25">
      <c r="A47" s="55">
        <v>64</v>
      </c>
      <c r="B47" s="32">
        <v>18.5</v>
      </c>
      <c r="C47" s="32">
        <v>10</v>
      </c>
      <c r="D47" s="32">
        <v>15</v>
      </c>
      <c r="E47" s="32">
        <v>15</v>
      </c>
      <c r="F47" s="32">
        <v>15</v>
      </c>
      <c r="G47" s="32">
        <v>0</v>
      </c>
    </row>
    <row r="48" spans="1:7" x14ac:dyDescent="0.25">
      <c r="A48" s="55">
        <v>65</v>
      </c>
      <c r="B48" s="32">
        <v>18.5</v>
      </c>
      <c r="C48" s="32">
        <v>10</v>
      </c>
      <c r="D48" s="32">
        <v>15</v>
      </c>
      <c r="E48" s="32">
        <v>10</v>
      </c>
      <c r="F48" s="32">
        <v>15</v>
      </c>
      <c r="G48" s="32">
        <v>0</v>
      </c>
    </row>
    <row r="49" spans="1:7" x14ac:dyDescent="0.25">
      <c r="A49" s="55">
        <v>66</v>
      </c>
      <c r="B49" s="32">
        <v>18.5</v>
      </c>
      <c r="C49" s="32">
        <v>10</v>
      </c>
      <c r="D49" s="32">
        <v>15</v>
      </c>
      <c r="E49" s="32">
        <v>10</v>
      </c>
      <c r="F49" s="32">
        <v>15</v>
      </c>
      <c r="G49" s="32">
        <v>0</v>
      </c>
    </row>
    <row r="50" spans="1:7" x14ac:dyDescent="0.25">
      <c r="A50" s="55">
        <v>67</v>
      </c>
      <c r="B50" s="32">
        <v>18.5</v>
      </c>
      <c r="C50" s="32">
        <v>10</v>
      </c>
      <c r="D50" s="32">
        <v>15</v>
      </c>
      <c r="E50" s="32">
        <v>10</v>
      </c>
      <c r="F50" s="32">
        <v>15</v>
      </c>
      <c r="G50" s="32">
        <v>0</v>
      </c>
    </row>
    <row r="51" spans="1:7" x14ac:dyDescent="0.25">
      <c r="A51" s="55">
        <v>68</v>
      </c>
      <c r="B51" s="32">
        <v>18.5</v>
      </c>
      <c r="C51" s="32">
        <v>10</v>
      </c>
      <c r="D51" s="32">
        <v>15</v>
      </c>
      <c r="E51" s="32">
        <v>10</v>
      </c>
      <c r="F51" s="32">
        <v>15</v>
      </c>
      <c r="G51" s="32">
        <v>0</v>
      </c>
    </row>
    <row r="52" spans="1:7" ht="14" x14ac:dyDescent="0.3">
      <c r="A52" s="47" t="s">
        <v>80</v>
      </c>
      <c r="B52" s="47"/>
      <c r="C52" s="47"/>
      <c r="D52" s="47"/>
      <c r="E52" s="47"/>
      <c r="F52" s="47"/>
      <c r="G52" s="47"/>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5!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GCF_2025</vt:lpstr>
      <vt:lpstr>2003-2009</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2025-07-15T12:15:07Z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