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8" windowWidth="14808" windowHeight="8016" tabRatio="934"/>
  </bookViews>
  <sheets>
    <sheet name="GCF_2020"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45621"/>
</workbook>
</file>

<file path=xl/sharedStrings.xml><?xml version="1.0" encoding="utf-8"?>
<sst xmlns="http://schemas.openxmlformats.org/spreadsheetml/2006/main" count="922" uniqueCount="145">
  <si>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</si>
  <si>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</si>
  <si>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</si>
  <si>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</si>
  <si>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</si>
  <si>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</si>
  <si>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</si>
  <si>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</si>
  <si>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</si>
  <si>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</si>
  <si>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</si>
  <si>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</si>
  <si>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</si>
  <si>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</si>
  <si>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</si>
  <si>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</si>
  <si>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</si>
  <si>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</si>
  <si>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</si>
  <si>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</si>
  <si>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</si>
  <si>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</si>
  <si>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</si>
  <si>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</si>
  <si>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</si>
  <si>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</si>
  <si>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</si>
  <si>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</si>
  <si>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</si>
  <si>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</si>
  <si>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</si>
  <si>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</si>
  <si>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</si>
  <si>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</si>
  <si>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</si>
  <si>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</si>
  <si>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</si>
  <si>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</si>
  <si>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</si>
  <si>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</si>
  <si>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</si>
  <si>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</si>
  <si>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</si>
  <si>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</si>
  <si>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</si>
  <si>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</si>
  <si>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</si>
  <si>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</si>
  <si>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</si>
  <si>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</si>
  <si>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</si>
  <si>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</si>
  <si>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</si>
  <si>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</si>
  <si>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</si>
  <si>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</si>
  <si>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</si>
  <si>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</si>
  <si>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</si>
  <si>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</si>
  <si>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</si>
  <si>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</si>
  <si>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</si>
  <si>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</si>
  <si>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</si>
  <si>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</si>
  <si>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</si>
  <si>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</si>
  <si>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</si>
  <si>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</si>
  <si>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</si>
  <si>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</si>
  <si>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</si>
  <si>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</si>
  <si>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</si>
  <si>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</si>
  <si>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</si>
  <si>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</si>
  <si>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</si>
  <si>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</si>
  <si>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</si>
  <si>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</si>
  <si>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</si>
  <si>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Luminor turto išsaugojimo fondas</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</si>
  <si>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</si>
  <si>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</si>
  <si>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</si>
  <si>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</si>
  <si>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</si>
  <si>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</si>
  <si>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</si>
  <si>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</si>
  <si>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</si>
  <si>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</si>
  <si>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</si>
  <si>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</si>
  <si>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</si>
  <si>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</si>
  <si>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</si>
  <si>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</si>
  <si>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</si>
  <si>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</si>
  <si>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</si>
  <si>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</si>
  <si>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</si>
  <si>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</si>
  <si>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</si>
  <si>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</si>
  <si>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vieneto vertės pokytis nuo veiklos pradžios, proc.</t>
  </si>
  <si>
    <t>lyginamojo indekso vertės pokytis nuo veiklos pradžios, proc.</t>
  </si>
  <si>
    <t xml:space="preserve">vieneto vertės standartinis nuokrypis, nuo veiklos pradžios, proc. </t>
  </si>
  <si>
    <t>lyginamojo indekso standartinis nuokrypis, nuo veiklos pradžios, proc.</t>
  </si>
  <si>
    <t>Rizikos ir grąžos palyginimas (nuo veiklos pradžios)</t>
  </si>
  <si>
    <t>Dalyvių skaičiaus, grąžos (nuo fondo veiklos pradžios) ir fondo turto palyginimas</t>
  </si>
  <si>
    <t>Išlaidų rodikliai (2019 m.)</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</si>
  <si>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</si>
  <si>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</si>
  <si>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</si>
  <si>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</si>
  <si>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</si>
  <si>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</si>
  <si>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</si>
  <si>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</si>
  <si>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</si>
  <si>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</si>
  <si>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</si>
  <si>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</si>
  <si>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</si>
  <si>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</si>
  <si>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</si>
  <si>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</si>
  <si>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</si>
  <si>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</si>
  <si>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</si>
  <si>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</si>
  <si>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</si>
  <si>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</si>
  <si>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</si>
  <si>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</si>
  <si>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1 m. 9 mėn.</t>
  </si>
  <si>
    <t xml:space="preserve">[8] Nuo 2020 m. balandžio 1 d.  buvo pakeistas šio fondo lyginamasis indeksas. Jį sudaro 10 proc. pasaulio išsivysčiusių valstybių akcijų indeksas ir 90 proc. 1–5 metų trukmės Europos vyriausybių obligacijų kainų indeksas. </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</si>
  <si>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</si>
  <si>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2020-09-30 dienos fondų grynųjų aktyvų dydis.</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</si>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</sst>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sz val="11"/>
      <name val="Calibri"/>
      <family val="2"/>
      <scheme val="minor"/>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12" fillId="0" borderId="0"/>
    <xf numFmtId="0" fontId="1" fillId="0" borderId="0"/>
    <xf numFmtId="9" fontId="1" fillId="0" borderId="0" applyFont="0" applyFill="0" applyBorder="0" applyAlignment="0" applyProtection="0"/>
  </cellStyleXfs>
  <cellXfs count="91">
    <xf numFmtId="0" fontId="0" fillId="0" borderId="0" xfId="0"/>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0" fontId="4" fillId="0" borderId="0" xfId="0" applyFont="1"/>
    <xf numFmtId="0" fontId="7" fillId="0" borderId="0" xfId="0" applyFont="1"/>
    <xf numFmtId="2" fontId="7" fillId="0" borderId="0" xfId="0" applyNumberFormat="1" applyFont="1" applyBorder="1"/>
    <xf numFmtId="164" fontId="7" fillId="0" borderId="0" xfId="1" applyNumberFormat="1" applyFont="1" applyBorder="1"/>
    <xf numFmtId="166" fontId="7" fillId="0" borderId="0" xfId="0" applyNumberFormat="1" applyFont="1" applyBorder="1" applyAlignment="1">
      <alignment horizontal="center"/>
    </xf>
    <xf numFmtId="166" fontId="11" fillId="0" borderId="0" xfId="0" applyNumberFormat="1" applyFont="1" applyBorder="1" applyAlignment="1">
      <alignment horizontal="center"/>
    </xf>
    <xf numFmtId="0" fontId="7" fillId="0" borderId="0" xfId="0" applyFont="1" applyFill="1"/>
    <xf numFmtId="166" fontId="7"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43" fontId="7" fillId="0" borderId="0" xfId="1" applyNumberFormat="1" applyFont="1" applyFill="1" applyBorder="1"/>
    <xf numFmtId="0" fontId="7"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7" fillId="0" borderId="0" xfId="0" applyFont="1" applyFill="1" applyBorder="1" applyAlignment="1">
      <alignment horizontal="left"/>
    </xf>
    <xf numFmtId="0" fontId="7"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4"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0"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29" fillId="0" borderId="0" xfId="0" applyFont="1"/>
    <xf numFmtId="0" fontId="23" fillId="0" borderId="0" xfId="0" applyFont="1" applyAlignment="1"/>
    <xf numFmtId="1" fontId="5" fillId="0" borderId="6" xfId="0" applyNumberFormat="1" applyFont="1" applyFill="1" applyBorder="1" applyAlignment="1">
      <alignment horizontal="center" vertical="center"/>
    </xf>
    <xf numFmtId="0" fontId="8" fillId="0" borderId="0" xfId="3" applyFont="1" applyAlignment="1">
      <alignment vertical="top"/>
    </xf>
    <xf numFmtId="2" fontId="0" fillId="0" borderId="0" xfId="0" applyNumberFormat="1"/>
    <xf numFmtId="167" fontId="0" fillId="0" borderId="0" xfId="0" applyNumberFormat="1"/>
    <xf numFmtId="164" fontId="0" fillId="0" borderId="0" xfId="0" applyNumberFormat="1"/>
    <xf numFmtId="168" fontId="0" fillId="0" borderId="0" xfId="2" applyNumberFormat="1" applyFont="1"/>
    <xf numFmtId="43"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5" fillId="0" borderId="0" xfId="0" applyNumberFormat="1" applyFont="1" applyFill="1" applyBorder="1" applyAlignment="1">
      <alignment horizontal="center" wrapText="1"/>
    </xf>
    <xf numFmtId="0" fontId="23" fillId="0" borderId="6" xfId="0" applyFont="1" applyFill="1" applyBorder="1" applyAlignment="1">
      <alignment horizontal="left" wrapText="1"/>
    </xf>
    <xf numFmtId="2" fontId="3" fillId="0" borderId="0" xfId="0" applyNumberFormat="1" applyFont="1" applyFill="1" applyBorder="1" applyAlignment="1">
      <alignment horizontal="right"/>
    </xf>
    <xf numFmtId="2" fontId="28" fillId="2" borderId="0" xfId="4" applyNumberFormat="1" applyFont="1" applyFill="1" applyBorder="1" applyAlignment="1"/>
    <xf numFmtId="9" fontId="0" fillId="0" borderId="0" xfId="2" applyFont="1" applyBorder="1" applyAlignment="1"/>
    <xf numFmtId="0" fontId="26" fillId="0" borderId="7" xfId="0" applyFont="1" applyFill="1" applyBorder="1" applyAlignment="1">
      <alignment horizontal="left" wrapText="1"/>
    </xf>
    <xf numFmtId="0" fontId="19" fillId="3" borderId="9"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27" fillId="0" borderId="0" xfId="0" applyFont="1" applyFill="1" applyBorder="1" applyAlignment="1">
      <alignment wrapText="1"/>
    </xf>
    <xf numFmtId="2" fontId="32" fillId="0" borderId="0" xfId="0" applyNumberFormat="1" applyFont="1" applyFill="1" applyBorder="1" applyAlignment="1">
      <alignment horizontal="center"/>
    </xf>
    <xf numFmtId="2" fontId="16" fillId="0" borderId="0" xfId="0" applyNumberFormat="1" applyFont="1" applyFill="1" applyBorder="1" applyAlignment="1">
      <alignment horizontal="right" wrapText="1"/>
    </xf>
    <xf numFmtId="0" fontId="4" fillId="0" borderId="0" xfId="0" applyFont="1" applyBorder="1" applyAlignment="1"/>
    <xf numFmtId="2" fontId="28" fillId="0" borderId="6" xfId="0" applyNumberFormat="1" applyFont="1" applyFill="1" applyBorder="1" applyAlignment="1">
      <alignment horizontal="center" vertical="center"/>
    </xf>
    <xf numFmtId="164" fontId="28" fillId="0" borderId="6" xfId="1" applyNumberFormat="1" applyFont="1" applyFill="1" applyBorder="1" applyAlignment="1">
      <alignment horizontal="center" vertical="center"/>
    </xf>
    <xf numFmtId="2" fontId="28" fillId="0" borderId="6" xfId="0" applyNumberFormat="1" applyFont="1" applyFill="1" applyBorder="1" applyAlignment="1">
      <alignment horizontal="center" vertical="center" wrapText="1"/>
    </xf>
    <xf numFmtId="1" fontId="16" fillId="0" borderId="6" xfId="0" applyNumberFormat="1" applyFont="1" applyFill="1" applyBorder="1" applyAlignment="1">
      <alignment horizontal="center" vertical="center"/>
    </xf>
    <xf numFmtId="0" fontId="10" fillId="0" borderId="0" xfId="0" applyFont="1"/>
    <xf numFmtId="0" fontId="28" fillId="0" borderId="0" xfId="0" quotePrefix="1" applyFont="1"/>
  </cellXfs>
  <cellStyles count="7">
    <cellStyle name="Comma" xfId="1" builtinId="3"/>
    <cellStyle name="Hyperlink" xfId="3" builtinId="8"/>
    <cellStyle name="Normal" xfId="0" builtinId="0"/>
    <cellStyle name="Normal 2" xfId="5"/>
    <cellStyle name="Normal 3" xfId="4"/>
    <cellStyle name="Percent" xfId="2" builtinId="5"/>
    <cellStyle name="Percent 2" xfId="6"/>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0.1074293426151271"/>
                  <c:y val="1.6545288859098818E-2"/>
                </c:manualLayout>
              </c:layout>
              <c:tx>
                <c:rich>
                  <a:bodyPr/>
                  <a:lstStyle/>
                  <a:p>
                    <a:r>
                      <a:rPr lang="en-US"/>
                      <a:t>LMN-96/02</a:t>
                    </a:r>
                  </a:p>
                </c:rich>
              </c:tx>
              <c:showLegendKey val="0"/>
              <c:showVal val="1"/>
              <c:showCatName val="1"/>
              <c:showSerName val="1"/>
              <c:showPercent val="0"/>
              <c:showBubbleSize val="0"/>
            </c:dLbl>
            <c:dLbl>
              <c:idx val="1"/>
              <c:layout>
                <c:manualLayout>
                  <c:x val="-0.11252325073127174"/>
                  <c:y val="-3.1791069505426668E-3"/>
                </c:manualLayout>
              </c:layout>
              <c:tx>
                <c:rich>
                  <a:bodyPr/>
                  <a:lstStyle/>
                  <a:p>
                    <a:r>
                      <a:rPr lang="en-US"/>
                      <a:t>INV-96/02</a:t>
                    </a:r>
                  </a:p>
                </c:rich>
              </c:tx>
              <c:showLegendKey val="0"/>
              <c:showVal val="1"/>
              <c:showCatName val="1"/>
              <c:showSerName val="1"/>
              <c:showPercent val="0"/>
              <c:showBubbleSize val="0"/>
            </c:dLbl>
            <c:dLbl>
              <c:idx val="2"/>
              <c:layout>
                <c:manualLayout>
                  <c:x val="-0.11206743351210596"/>
                  <c:y val="-5.2944321853277206E-4"/>
                </c:manualLayout>
              </c:layout>
              <c:tx>
                <c:rich>
                  <a:bodyPr/>
                  <a:lstStyle/>
                  <a:p>
                    <a:r>
                      <a:rPr lang="en-US"/>
                      <a:t>SBN-96/02</a:t>
                    </a:r>
                  </a:p>
                </c:rich>
              </c:tx>
              <c:showLegendKey val="0"/>
              <c:showVal val="1"/>
              <c:showCatName val="1"/>
              <c:showSerName val="1"/>
              <c:showPercent val="0"/>
              <c:showBubbleSize val="0"/>
            </c:dLbl>
            <c:dLbl>
              <c:idx val="3"/>
              <c:layout>
                <c:manualLayout>
                  <c:x val="-5.5699795784681295E-2"/>
                  <c:y val="-7.4804086347124973E-2"/>
                </c:manualLayout>
              </c:layout>
              <c:tx>
                <c:rich>
                  <a:bodyPr/>
                  <a:lstStyle/>
                  <a:p>
                    <a:r>
                      <a:rPr lang="en-US"/>
                      <a:t>SWD-96/02</a:t>
                    </a:r>
                  </a:p>
                </c:rich>
              </c:tx>
              <c:showLegendKey val="0"/>
              <c:showVal val="1"/>
              <c:showCatName val="1"/>
              <c:showSerName val="1"/>
              <c:showPercent val="0"/>
              <c:showBubbleSize val="0"/>
            </c:dLbl>
            <c:dLbl>
              <c:idx val="4"/>
              <c:layout>
                <c:manualLayout>
                  <c:x val="-0.11218455754448167"/>
                  <c:y val="4.2229309916329266E-3"/>
                </c:manualLayout>
              </c:layout>
              <c:tx>
                <c:rich>
                  <a:bodyPr/>
                  <a:lstStyle/>
                  <a:p>
                    <a:r>
                      <a:rPr lang="en-US"/>
                      <a:t>AVI-96/02</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'1996-2002'!$B$34:$B$38</c:f>
              <c:numCache>
                <c:formatCode>0.00</c:formatCode>
                <c:ptCount val="5"/>
                <c:pt idx="0">
                  <c:v>15.199678346239679</c:v>
                </c:pt>
                <c:pt idx="1">
                  <c:v>14.636708988340391</c:v>
                </c:pt>
                <c:pt idx="2">
                  <c:v>16.214545892442203</c:v>
                </c:pt>
                <c:pt idx="3">
                  <c:v>14.277089272422755</c:v>
                </c:pt>
                <c:pt idx="4">
                  <c:v>16.260940606631202</c:v>
                </c:pt>
              </c:numCache>
            </c:numRef>
          </c:xVal>
          <c:yVal>
            <c:numRef>
              <c:f>'1996-2002'!$C$34:$C$38</c:f>
              <c:numCache>
                <c:formatCode>0.00</c:formatCode>
                <c:ptCount val="5"/>
                <c:pt idx="0">
                  <c:v>22.229999999999993</c:v>
                </c:pt>
                <c:pt idx="1">
                  <c:v>17.409999999999993</c:v>
                </c:pt>
                <c:pt idx="2">
                  <c:v>21.530000000000005</c:v>
                </c:pt>
                <c:pt idx="3">
                  <c:v>18.406790060333368</c:v>
                </c:pt>
                <c:pt idx="4">
                  <c:v>18.490000000000006</c:v>
                </c:pt>
              </c:numCache>
            </c:numRef>
          </c:yVal>
          <c:smooth val="0"/>
        </c:ser>
        <c:dLbls>
          <c:showLegendKey val="0"/>
          <c:showVal val="0"/>
          <c:showCatName val="0"/>
          <c:showSerName val="0"/>
          <c:showPercent val="0"/>
          <c:showBubbleSize val="0"/>
        </c:dLbls>
        <c:axId val="383223488"/>
        <c:axId val="383224064"/>
      </c:scatterChart>
      <c:valAx>
        <c:axId val="383223488"/>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383224064"/>
        <c:crosses val="autoZero"/>
        <c:crossBetween val="midCat"/>
      </c:valAx>
      <c:valAx>
        <c:axId val="38322406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8322348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0.13468443073806999"/>
                  <c:y val="-3.7728554662322715E-2"/>
                </c:manualLayout>
              </c:layout>
              <c:tx>
                <c:rich>
                  <a:bodyPr/>
                  <a:lstStyle/>
                  <a:p>
                    <a:r>
                      <a:rPr lang="en-US"/>
                      <a:t>LMN-96/02</a:t>
                    </a:r>
                  </a:p>
                </c:rich>
              </c:tx>
              <c:showLegendKey val="0"/>
              <c:showVal val="1"/>
              <c:showCatName val="1"/>
              <c:showSerName val="0"/>
              <c:showPercent val="0"/>
              <c:showBubbleSize val="1"/>
            </c:dLbl>
            <c:dLbl>
              <c:idx val="1"/>
              <c:layout>
                <c:manualLayout>
                  <c:x val="-3.5586722440146781E-2"/>
                  <c:y val="9.8574519562226834E-2"/>
                </c:manualLayout>
              </c:layout>
              <c:tx>
                <c:rich>
                  <a:bodyPr/>
                  <a:lstStyle/>
                  <a:p>
                    <a:r>
                      <a:rPr lang="en-US"/>
                      <a:t>INV-96/02</a:t>
                    </a:r>
                  </a:p>
                </c:rich>
              </c:tx>
              <c:showLegendKey val="0"/>
              <c:showVal val="1"/>
              <c:showCatName val="1"/>
              <c:showSerName val="0"/>
              <c:showPercent val="0"/>
              <c:showBubbleSize val="1"/>
            </c:dLbl>
            <c:dLbl>
              <c:idx val="2"/>
              <c:layout>
                <c:manualLayout>
                  <c:x val="-8.999532408996657E-3"/>
                  <c:y val="-7.1508508871223758E-2"/>
                </c:manualLayout>
              </c:layout>
              <c:tx>
                <c:rich>
                  <a:bodyPr/>
                  <a:lstStyle/>
                  <a:p>
                    <a:r>
                      <a:rPr lang="en-US"/>
                      <a:t>SBN-96/02</a:t>
                    </a:r>
                  </a:p>
                </c:rich>
              </c:tx>
              <c:showLegendKey val="0"/>
              <c:showVal val="1"/>
              <c:showCatName val="1"/>
              <c:showSerName val="0"/>
              <c:showPercent val="0"/>
              <c:showBubbleSize val="1"/>
            </c:dLbl>
            <c:dLbl>
              <c:idx val="3"/>
              <c:tx>
                <c:rich>
                  <a:bodyPr/>
                  <a:lstStyle/>
                  <a:p>
                    <a:r>
                      <a:rPr lang="en-US"/>
                      <a:t>SWD-96/02</a:t>
                    </a:r>
                  </a:p>
                </c:rich>
              </c:tx>
              <c:showLegendKey val="0"/>
              <c:showVal val="1"/>
              <c:showCatName val="1"/>
              <c:showSerName val="0"/>
              <c:showPercent val="0"/>
              <c:showBubbleSize val="1"/>
            </c:dLbl>
            <c:dLbl>
              <c:idx val="4"/>
              <c:layout>
                <c:manualLayout>
                  <c:x val="-1.1827956880396079E-3"/>
                  <c:y val="-5.5415086050709652E-3"/>
                </c:manualLayout>
              </c:layout>
              <c:tx>
                <c:rich>
                  <a:bodyPr/>
                  <a:lstStyle/>
                  <a:p>
                    <a:r>
                      <a:rPr lang="en-US"/>
                      <a:t>AVI-96/02</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'1996-2002'!$B$64:$B$68</c:f>
              <c:numCache>
                <c:formatCode>0.00</c:formatCode>
                <c:ptCount val="5"/>
                <c:pt idx="0">
                  <c:v>8.8940000000000001</c:v>
                </c:pt>
                <c:pt idx="1">
                  <c:v>12.78</c:v>
                </c:pt>
                <c:pt idx="2">
                  <c:v>14.259</c:v>
                </c:pt>
                <c:pt idx="3">
                  <c:v>34.509</c:v>
                </c:pt>
                <c:pt idx="4">
                  <c:v>14.631</c:v>
                </c:pt>
              </c:numCache>
            </c:numRef>
          </c:xVal>
          <c:yVal>
            <c:numRef>
              <c:f>'1996-2002'!$C$64:$C$68</c:f>
              <c:numCache>
                <c:formatCode>0.00</c:formatCode>
                <c:ptCount val="5"/>
                <c:pt idx="0">
                  <c:v>22.229999999999993</c:v>
                </c:pt>
                <c:pt idx="1">
                  <c:v>17.409999999999993</c:v>
                </c:pt>
                <c:pt idx="2">
                  <c:v>21.530000000000005</c:v>
                </c:pt>
                <c:pt idx="3">
                  <c:v>18.406790060333368</c:v>
                </c:pt>
                <c:pt idx="4">
                  <c:v>18.490000000000006</c:v>
                </c:pt>
              </c:numCache>
            </c:numRef>
          </c:yVal>
          <c:bubbleSize>
            <c:numRef>
              <c:f>'1996-2002'!$D$64:$D$68</c:f>
              <c:numCache>
                <c:formatCode>0.00</c:formatCode>
                <c:ptCount val="5"/>
                <c:pt idx="0">
                  <c:v>2.82350842</c:v>
                </c:pt>
                <c:pt idx="1">
                  <c:v>6.9004335252999995</c:v>
                </c:pt>
                <c:pt idx="2">
                  <c:v>9.2618676300000011</c:v>
                </c:pt>
                <c:pt idx="3">
                  <c:v>21.694780530000003</c:v>
                </c:pt>
                <c:pt idx="4">
                  <c:v>7.2058668899999994</c:v>
                </c:pt>
              </c:numCache>
            </c:numRef>
          </c:bubbleSize>
          <c:bubble3D val="1"/>
        </c:ser>
        <c:dLbls>
          <c:showLegendKey val="0"/>
          <c:showVal val="0"/>
          <c:showCatName val="0"/>
          <c:showSerName val="0"/>
          <c:showPercent val="0"/>
          <c:showBubbleSize val="0"/>
        </c:dLbls>
        <c:bubbleScale val="100"/>
        <c:showNegBubbles val="0"/>
        <c:axId val="383225216"/>
        <c:axId val="383225792"/>
      </c:bubbleChart>
      <c:valAx>
        <c:axId val="38322521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83225792"/>
        <c:crosses val="autoZero"/>
        <c:crossBetween val="midCat"/>
      </c:valAx>
      <c:valAx>
        <c:axId val="3832257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832252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dLbl>
            <c:dLbl>
              <c:idx val="2"/>
              <c:layout>
                <c:manualLayout>
                  <c:x val="-5.7986439584841898E-2"/>
                  <c:y val="-4.0239943967886972E-2"/>
                </c:manualLayout>
              </c:layout>
              <c:tx>
                <c:rich>
                  <a:bodyPr/>
                  <a:lstStyle/>
                  <a:p>
                    <a:r>
                      <a:rPr lang="en-US"/>
                      <a:t>SBN-89/95</a:t>
                    </a:r>
                  </a:p>
                </c:rich>
              </c:tx>
              <c:showLegendKey val="0"/>
              <c:showVal val="1"/>
              <c:showCatName val="1"/>
              <c:showSerName val="1"/>
              <c:showPercent val="0"/>
              <c:showBubbleSize val="0"/>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'1989-1995'!$B$34:$B$38</c:f>
              <c:numCache>
                <c:formatCode>0.00</c:formatCode>
                <c:ptCount val="5"/>
                <c:pt idx="0">
                  <c:v>15.183871444843744</c:v>
                </c:pt>
                <c:pt idx="1">
                  <c:v>14.963669948284835</c:v>
                </c:pt>
                <c:pt idx="2">
                  <c:v>16.094344929793866</c:v>
                </c:pt>
                <c:pt idx="3">
                  <c:v>14.255450012005772</c:v>
                </c:pt>
                <c:pt idx="4">
                  <c:v>16.242846316391134</c:v>
                </c:pt>
              </c:numCache>
            </c:numRef>
          </c:xVal>
          <c:yVal>
            <c:numRef>
              <c:f>'1989-1995'!$C$34:$C$38</c:f>
              <c:numCache>
                <c:formatCode>0.00</c:formatCode>
                <c:ptCount val="5"/>
                <c:pt idx="0">
                  <c:v>21.819999999999993</c:v>
                </c:pt>
                <c:pt idx="1">
                  <c:v>17.280000000000008</c:v>
                </c:pt>
                <c:pt idx="2">
                  <c:v>21.019999999999996</c:v>
                </c:pt>
                <c:pt idx="3">
                  <c:v>19.707125915231515</c:v>
                </c:pt>
                <c:pt idx="4">
                  <c:v>17.130000000000003</c:v>
                </c:pt>
              </c:numCache>
            </c:numRef>
          </c:yVal>
          <c:smooth val="0"/>
        </c:ser>
        <c:dLbls>
          <c:showLegendKey val="0"/>
          <c:showVal val="0"/>
          <c:showCatName val="0"/>
          <c:showSerName val="0"/>
          <c:showPercent val="0"/>
          <c:showBubbleSize val="0"/>
        </c:dLbls>
        <c:axId val="383227520"/>
        <c:axId val="383228096"/>
      </c:scatterChart>
      <c:valAx>
        <c:axId val="38322752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83228096"/>
        <c:crosses val="autoZero"/>
        <c:crossBetween val="midCat"/>
      </c:valAx>
      <c:valAx>
        <c:axId val="38322809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832275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2.8652858602185142E-2"/>
                  <c:y val="-6.0185414455783397E-2"/>
                </c:manualLayout>
              </c:layout>
              <c:tx>
                <c:rich>
                  <a:bodyPr/>
                  <a:lstStyle/>
                  <a:p>
                    <a:r>
                      <a:rPr lang="en-US"/>
                      <a:t>LMN-89/95</a:t>
                    </a:r>
                  </a:p>
                </c:rich>
              </c:tx>
              <c:showLegendKey val="0"/>
              <c:showVal val="1"/>
              <c:showCatName val="1"/>
              <c:showSerName val="0"/>
              <c:showPercent val="0"/>
              <c:showBubbleSize val="1"/>
            </c:dLbl>
            <c:dLbl>
              <c:idx val="1"/>
              <c:layout>
                <c:manualLayout>
                  <c:x val="-5.4876490114284327E-3"/>
                  <c:y val="1.5740720505521954E-2"/>
                </c:manualLayout>
              </c:layout>
              <c:tx>
                <c:rich>
                  <a:bodyPr/>
                  <a:lstStyle/>
                  <a:p>
                    <a:r>
                      <a:rPr lang="en-US"/>
                      <a:t>INV-89/95</a:t>
                    </a:r>
                  </a:p>
                </c:rich>
              </c:tx>
              <c:showLegendKey val="0"/>
              <c:showVal val="1"/>
              <c:showCatName val="1"/>
              <c:showSerName val="0"/>
              <c:showPercent val="0"/>
              <c:showBubbleSize val="1"/>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dLbl>
            <c:dLbl>
              <c:idx val="3"/>
              <c:layout>
                <c:manualLayout>
                  <c:x val="3.3092660230361393E-3"/>
                  <c:y val="4.3287031514121867E-2"/>
                </c:manualLayout>
              </c:layout>
              <c:tx>
                <c:rich>
                  <a:bodyPr/>
                  <a:lstStyle/>
                  <a:p>
                    <a:r>
                      <a:rPr lang="en-US"/>
                      <a:t>SWD-89/95</a:t>
                    </a:r>
                  </a:p>
                </c:rich>
              </c:tx>
              <c:showLegendKey val="0"/>
              <c:showVal val="1"/>
              <c:showCatName val="1"/>
              <c:showSerName val="0"/>
              <c:showPercent val="0"/>
              <c:showBubbleSize val="1"/>
            </c:dLbl>
            <c:dLbl>
              <c:idx val="4"/>
              <c:layout>
                <c:manualLayout>
                  <c:x val="-0.13903320965711577"/>
                  <c:y val="1.9212905830957624E-2"/>
                </c:manualLayout>
              </c:layout>
              <c:tx>
                <c:rich>
                  <a:bodyPr/>
                  <a:lstStyle/>
                  <a:p>
                    <a:r>
                      <a:rPr lang="en-US"/>
                      <a:t>AVI-89/95</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'1989-1995'!$B$64:$B$68</c:f>
              <c:numCache>
                <c:formatCode>0.00</c:formatCode>
                <c:ptCount val="5"/>
                <c:pt idx="0">
                  <c:v>18.631</c:v>
                </c:pt>
                <c:pt idx="1">
                  <c:v>33.081000000000003</c:v>
                </c:pt>
                <c:pt idx="2">
                  <c:v>40.337000000000003</c:v>
                </c:pt>
                <c:pt idx="3">
                  <c:v>88.861999999999995</c:v>
                </c:pt>
                <c:pt idx="4">
                  <c:v>31.69</c:v>
                </c:pt>
              </c:numCache>
            </c:numRef>
          </c:xVal>
          <c:yVal>
            <c:numRef>
              <c:f>'1989-1995'!$C$64:$C$68</c:f>
              <c:numCache>
                <c:formatCode>0.00</c:formatCode>
                <c:ptCount val="5"/>
                <c:pt idx="0">
                  <c:v>21.819999999999993</c:v>
                </c:pt>
                <c:pt idx="1">
                  <c:v>17.280000000000008</c:v>
                </c:pt>
                <c:pt idx="2">
                  <c:v>21.019999999999996</c:v>
                </c:pt>
                <c:pt idx="3">
                  <c:v>19.707125915231515</c:v>
                </c:pt>
                <c:pt idx="4">
                  <c:v>17.130000000000003</c:v>
                </c:pt>
              </c:numCache>
            </c:numRef>
          </c:yVal>
          <c:bubbleSize>
            <c:numRef>
              <c:f>'1989-1995'!$D$64:$D$68</c:f>
              <c:numCache>
                <c:formatCode>0.00</c:formatCode>
                <c:ptCount val="5"/>
                <c:pt idx="0">
                  <c:v>24.497875059999998</c:v>
                </c:pt>
                <c:pt idx="1">
                  <c:v>51.860682622799999</c:v>
                </c:pt>
                <c:pt idx="2">
                  <c:v>63.300053829999996</c:v>
                </c:pt>
                <c:pt idx="3">
                  <c:v>138.20203821999999</c:v>
                </c:pt>
                <c:pt idx="4">
                  <c:v>42.99484211</c:v>
                </c:pt>
              </c:numCache>
            </c:numRef>
          </c:bubbleSize>
          <c:bubble3D val="1"/>
        </c:ser>
        <c:dLbls>
          <c:showLegendKey val="0"/>
          <c:showVal val="0"/>
          <c:showCatName val="0"/>
          <c:showSerName val="0"/>
          <c:showPercent val="0"/>
          <c:showBubbleSize val="0"/>
        </c:dLbls>
        <c:bubbleScale val="100"/>
        <c:showNegBubbles val="0"/>
        <c:axId val="162709504"/>
        <c:axId val="162710080"/>
      </c:bubbleChart>
      <c:valAx>
        <c:axId val="1627095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2710080"/>
        <c:crosses val="autoZero"/>
        <c:crossBetween val="midCat"/>
      </c:valAx>
      <c:valAx>
        <c:axId val="1627100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27095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'1982-1988'!$B$34:$B$38</c:f>
              <c:numCache>
                <c:formatCode>0.00</c:formatCode>
                <c:ptCount val="5"/>
                <c:pt idx="0">
                  <c:v>15.085455123669355</c:v>
                </c:pt>
                <c:pt idx="1">
                  <c:v>14.858226649099821</c:v>
                </c:pt>
                <c:pt idx="2">
                  <c:v>16.029568505195705</c:v>
                </c:pt>
                <c:pt idx="3">
                  <c:v>14.272380135758873</c:v>
                </c:pt>
                <c:pt idx="4">
                  <c:v>16.240887723842306</c:v>
                </c:pt>
              </c:numCache>
            </c:numRef>
          </c:xVal>
          <c:yVal>
            <c:numRef>
              <c:f>'1982-1988'!$C$34:$C$38</c:f>
              <c:numCache>
                <c:formatCode>0.00</c:formatCode>
                <c:ptCount val="5"/>
                <c:pt idx="0">
                  <c:v>21.150000000000002</c:v>
                </c:pt>
                <c:pt idx="1">
                  <c:v>16.880000000000006</c:v>
                </c:pt>
                <c:pt idx="2">
                  <c:v>21.189999999999998</c:v>
                </c:pt>
                <c:pt idx="3">
                  <c:v>20.030975735673717</c:v>
                </c:pt>
                <c:pt idx="4">
                  <c:v>17.680000000000007</c:v>
                </c:pt>
              </c:numCache>
            </c:numRef>
          </c:yVal>
          <c:smooth val="0"/>
        </c:ser>
        <c:dLbls>
          <c:showLegendKey val="0"/>
          <c:showVal val="0"/>
          <c:showCatName val="0"/>
          <c:showSerName val="0"/>
          <c:showPercent val="0"/>
          <c:showBubbleSize val="0"/>
        </c:dLbls>
        <c:axId val="162711808"/>
        <c:axId val="162712384"/>
      </c:scatterChart>
      <c:valAx>
        <c:axId val="1627118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2712384"/>
        <c:crosses val="autoZero"/>
        <c:crossBetween val="midCat"/>
      </c:valAx>
      <c:valAx>
        <c:axId val="16271238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27118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3.2829607749493936E-2"/>
                  <c:y val="-9.7222204501639625E-2"/>
                </c:manualLayout>
              </c:layout>
              <c:tx>
                <c:rich>
                  <a:bodyPr/>
                  <a:lstStyle/>
                  <a:p>
                    <a:r>
                      <a:rPr lang="en-US"/>
                      <a:t>LMN-82/88</a:t>
                    </a:r>
                  </a:p>
                </c:rich>
              </c:tx>
              <c:showLegendKey val="0"/>
              <c:showVal val="1"/>
              <c:showCatName val="1"/>
              <c:showSerName val="0"/>
              <c:showPercent val="0"/>
              <c:showBubbleSize val="1"/>
            </c:dLbl>
            <c:dLbl>
              <c:idx val="1"/>
              <c:layout>
                <c:manualLayout>
                  <c:x val="-2.6600756062208641E-2"/>
                  <c:y val="9.3286861092737899E-2"/>
                </c:manualLayout>
              </c:layout>
              <c:tx>
                <c:rich>
                  <a:bodyPr/>
                  <a:lstStyle/>
                  <a:p>
                    <a:r>
                      <a:rPr lang="en-US"/>
                      <a:t>INV-82/88</a:t>
                    </a:r>
                  </a:p>
                </c:rich>
              </c:tx>
              <c:showLegendKey val="0"/>
              <c:showVal val="1"/>
              <c:showCatName val="1"/>
              <c:showSerName val="0"/>
              <c:showPercent val="0"/>
              <c:showBubbleSize val="1"/>
            </c:dLbl>
            <c:dLbl>
              <c:idx val="2"/>
              <c:layout>
                <c:manualLayout>
                  <c:x val="-1.5277778016463224E-2"/>
                  <c:y val="-9.4907390108743425E-2"/>
                </c:manualLayout>
              </c:layout>
              <c:tx>
                <c:rich>
                  <a:bodyPr/>
                  <a:lstStyle/>
                  <a:p>
                    <a:r>
                      <a:rPr lang="en-US"/>
                      <a:t>SBN-82/88</a:t>
                    </a:r>
                  </a:p>
                </c:rich>
              </c:tx>
              <c:showLegendKey val="0"/>
              <c:showVal val="1"/>
              <c:showCatName val="1"/>
              <c:showSerName val="0"/>
              <c:showPercent val="0"/>
              <c:showBubbleSize val="1"/>
            </c:dLbl>
            <c:dLbl>
              <c:idx val="3"/>
              <c:layout>
                <c:manualLayout>
                  <c:x val="-1.8775218396207937E-3"/>
                  <c:y val="-2.6620622150328902E-2"/>
                </c:manualLayout>
              </c:layout>
              <c:tx>
                <c:rich>
                  <a:bodyPr/>
                  <a:lstStyle/>
                  <a:p>
                    <a:r>
                      <a:rPr lang="en-US"/>
                      <a:t>SWD-82/88</a:t>
                    </a:r>
                  </a:p>
                </c:rich>
              </c:tx>
              <c:showLegendKey val="0"/>
              <c:showVal val="1"/>
              <c:showCatName val="1"/>
              <c:showSerName val="0"/>
              <c:showPercent val="0"/>
              <c:showBubbleSize val="1"/>
            </c:dLbl>
            <c:dLbl>
              <c:idx val="4"/>
              <c:layout>
                <c:manualLayout>
                  <c:x val="-3.6704273906060249E-3"/>
                  <c:y val="-2.0049574578101814E-7"/>
                </c:manualLayout>
              </c:layout>
              <c:tx>
                <c:rich>
                  <a:bodyPr/>
                  <a:lstStyle/>
                  <a:p>
                    <a:r>
                      <a:rPr lang="en-US"/>
                      <a:t>AVI-82/88</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'1982-1988'!$B$64:$B$68</c:f>
              <c:numCache>
                <c:formatCode>0.00</c:formatCode>
                <c:ptCount val="5"/>
                <c:pt idx="0">
                  <c:v>26.779</c:v>
                </c:pt>
                <c:pt idx="1">
                  <c:v>42.317</c:v>
                </c:pt>
                <c:pt idx="2">
                  <c:v>70.254000000000005</c:v>
                </c:pt>
                <c:pt idx="3">
                  <c:v>106.015</c:v>
                </c:pt>
                <c:pt idx="4">
                  <c:v>44.662999999999997</c:v>
                </c:pt>
              </c:numCache>
            </c:numRef>
          </c:xVal>
          <c:yVal>
            <c:numRef>
              <c:f>'1982-1988'!$C$64:$C$68</c:f>
              <c:numCache>
                <c:formatCode>0.00</c:formatCode>
                <c:ptCount val="5"/>
                <c:pt idx="0">
                  <c:v>21.150000000000002</c:v>
                </c:pt>
                <c:pt idx="1">
                  <c:v>16.880000000000006</c:v>
                </c:pt>
                <c:pt idx="2">
                  <c:v>21.189999999999998</c:v>
                </c:pt>
                <c:pt idx="3">
                  <c:v>20.030975735673717</c:v>
                </c:pt>
                <c:pt idx="4">
                  <c:v>17.680000000000007</c:v>
                </c:pt>
              </c:numCache>
            </c:numRef>
          </c:yVal>
          <c:bubbleSize>
            <c:numRef>
              <c:f>'1982-1988'!$D$64:$D$68</c:f>
              <c:numCache>
                <c:formatCode>0.00</c:formatCode>
                <c:ptCount val="5"/>
                <c:pt idx="0">
                  <c:v>59.603819829999999</c:v>
                </c:pt>
                <c:pt idx="1">
                  <c:v>114.4872197926</c:v>
                </c:pt>
                <c:pt idx="2">
                  <c:v>178.17777849999999</c:v>
                </c:pt>
                <c:pt idx="3">
                  <c:v>232.83504734000002</c:v>
                </c:pt>
                <c:pt idx="4">
                  <c:v>89.026437110000003</c:v>
                </c:pt>
              </c:numCache>
            </c:numRef>
          </c:bubbleSize>
          <c:bubble3D val="1"/>
        </c:ser>
        <c:dLbls>
          <c:showLegendKey val="0"/>
          <c:showVal val="0"/>
          <c:showCatName val="0"/>
          <c:showSerName val="0"/>
          <c:showPercent val="0"/>
          <c:showBubbleSize val="0"/>
        </c:dLbls>
        <c:bubbleScale val="100"/>
        <c:showNegBubbles val="0"/>
        <c:axId val="162714112"/>
        <c:axId val="162714688"/>
      </c:bubbleChart>
      <c:valAx>
        <c:axId val="1627141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2714688"/>
        <c:crosses val="autoZero"/>
        <c:crossBetween val="midCat"/>
      </c:valAx>
      <c:valAx>
        <c:axId val="1627146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27141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dLbl>
            <c:dLbl>
              <c:idx val="2"/>
              <c:layout>
                <c:manualLayout>
                  <c:x val="-0.11867045846937538"/>
                  <c:y val="-2.5822392289095764E-2"/>
                </c:manualLayout>
              </c:layout>
              <c:tx>
                <c:rich>
                  <a:bodyPr/>
                  <a:lstStyle/>
                  <a:p>
                    <a:r>
                      <a:rPr lang="en-US"/>
                      <a:t>SBN-75/81</a:t>
                    </a:r>
                  </a:p>
                </c:rich>
              </c:tx>
              <c:showLegendKey val="0"/>
              <c:showVal val="1"/>
              <c:showCatName val="1"/>
              <c:showSerName val="1"/>
              <c:showPercent val="0"/>
              <c:showBubbleSize val="0"/>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'1975-1981'!$B$34:$B$38</c:f>
              <c:numCache>
                <c:formatCode>0.00</c:formatCode>
                <c:ptCount val="5"/>
                <c:pt idx="0">
                  <c:v>15.016280653178626</c:v>
                </c:pt>
                <c:pt idx="1">
                  <c:v>14.958972276259995</c:v>
                </c:pt>
                <c:pt idx="2">
                  <c:v>16.506779456141761</c:v>
                </c:pt>
                <c:pt idx="3">
                  <c:v>14.33507838533237</c:v>
                </c:pt>
                <c:pt idx="4">
                  <c:v>16.33764496973016</c:v>
                </c:pt>
              </c:numCache>
            </c:numRef>
          </c:xVal>
          <c:yVal>
            <c:numRef>
              <c:f>'1975-1981'!$C$34:$C$38</c:f>
              <c:numCache>
                <c:formatCode>0.00</c:formatCode>
                <c:ptCount val="5"/>
                <c:pt idx="0">
                  <c:v>20.88000000000001</c:v>
                </c:pt>
                <c:pt idx="1">
                  <c:v>17.399999999999991</c:v>
                </c:pt>
                <c:pt idx="2">
                  <c:v>23.799999999999997</c:v>
                </c:pt>
                <c:pt idx="3">
                  <c:v>20.041407867494819</c:v>
                </c:pt>
                <c:pt idx="4">
                  <c:v>17.250000000000011</c:v>
                </c:pt>
              </c:numCache>
            </c:numRef>
          </c:yVal>
          <c:smooth val="0"/>
        </c:ser>
        <c:dLbls>
          <c:showLegendKey val="0"/>
          <c:showVal val="0"/>
          <c:showCatName val="0"/>
          <c:showSerName val="0"/>
          <c:showPercent val="0"/>
          <c:showBubbleSize val="0"/>
        </c:dLbls>
        <c:axId val="162716416"/>
        <c:axId val="162716992"/>
      </c:scatterChart>
      <c:valAx>
        <c:axId val="162716416"/>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62716992"/>
        <c:crosses val="autoZero"/>
        <c:crossBetween val="midCat"/>
      </c:valAx>
      <c:valAx>
        <c:axId val="16271699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27164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dPt>
          <c:dLbls>
            <c:dLbl>
              <c:idx val="0"/>
              <c:layout>
                <c:manualLayout>
                  <c:x val="-0.20077327539264228"/>
                  <c:y val="-0.1346799032230136"/>
                </c:manualLayout>
              </c:layout>
              <c:tx>
                <c:rich>
                  <a:bodyPr/>
                  <a:lstStyle/>
                  <a:p>
                    <a:r>
                      <a:rPr lang="en-US"/>
                      <a:t>LMN-75/81</a:t>
                    </a:r>
                  </a:p>
                </c:rich>
              </c:tx>
              <c:showLegendKey val="0"/>
              <c:showVal val="1"/>
              <c:showCatName val="1"/>
              <c:showSerName val="0"/>
              <c:showPercent val="0"/>
              <c:showBubbleSize val="1"/>
            </c:dLbl>
            <c:dLbl>
              <c:idx val="1"/>
              <c:layout>
                <c:manualLayout>
                  <c:x val="-0.10581857801227332"/>
                  <c:y val="0.12633236705990997"/>
                </c:manualLayout>
              </c:layout>
              <c:tx>
                <c:rich>
                  <a:bodyPr/>
                  <a:lstStyle/>
                  <a:p>
                    <a:r>
                      <a:rPr lang="en-US"/>
                      <a:t>INV-75/81</a:t>
                    </a:r>
                  </a:p>
                </c:rich>
              </c:tx>
              <c:showLegendKey val="0"/>
              <c:showVal val="1"/>
              <c:showCatName val="1"/>
              <c:showSerName val="0"/>
              <c:showPercent val="0"/>
              <c:showBubbleSize val="1"/>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dLbl>
            <c:dLbl>
              <c:idx val="4"/>
              <c:layout>
                <c:manualLayout>
                  <c:x val="-3.6605605349045488E-3"/>
                  <c:y val="2.7547210045823119E-2"/>
                </c:manualLayout>
              </c:layout>
              <c:tx>
                <c:rich>
                  <a:bodyPr/>
                  <a:lstStyle/>
                  <a:p>
                    <a:r>
                      <a:rPr lang="en-US"/>
                      <a:t>AVI-75/81</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'1975-1981'!$B$64:$B$68</c:f>
              <c:numCache>
                <c:formatCode>0.00</c:formatCode>
                <c:ptCount val="5"/>
                <c:pt idx="0">
                  <c:v>27.135999999999999</c:v>
                </c:pt>
                <c:pt idx="1">
                  <c:v>21.965</c:v>
                </c:pt>
                <c:pt idx="2">
                  <c:v>61.381</c:v>
                </c:pt>
                <c:pt idx="3">
                  <c:v>97.188999999999993</c:v>
                </c:pt>
                <c:pt idx="4">
                  <c:v>39.621000000000002</c:v>
                </c:pt>
              </c:numCache>
            </c:numRef>
          </c:xVal>
          <c:yVal>
            <c:numRef>
              <c:f>'1975-1981'!$C$64:$C$68</c:f>
              <c:numCache>
                <c:formatCode>0.00</c:formatCode>
                <c:ptCount val="5"/>
                <c:pt idx="0">
                  <c:v>17.399999999999991</c:v>
                </c:pt>
                <c:pt idx="1">
                  <c:v>20.88000000000001</c:v>
                </c:pt>
                <c:pt idx="2">
                  <c:v>23.799999999999997</c:v>
                </c:pt>
                <c:pt idx="3">
                  <c:v>20.041407867494819</c:v>
                </c:pt>
                <c:pt idx="4">
                  <c:v>17.250000000000011</c:v>
                </c:pt>
              </c:numCache>
            </c:numRef>
          </c:yVal>
          <c:bubbleSize>
            <c:numRef>
              <c:f>'1975-1981'!$D$64:$D$68</c:f>
              <c:numCache>
                <c:formatCode>0.00</c:formatCode>
                <c:ptCount val="5"/>
                <c:pt idx="0">
                  <c:v>130.3782217689</c:v>
                </c:pt>
                <c:pt idx="1">
                  <c:v>78.905635369999999</c:v>
                </c:pt>
                <c:pt idx="2">
                  <c:v>253.90988808</c:v>
                </c:pt>
                <c:pt idx="3">
                  <c:v>324.97999716000004</c:v>
                </c:pt>
                <c:pt idx="4">
                  <c:v>121.13929936</c:v>
                </c:pt>
              </c:numCache>
            </c:numRef>
          </c:bubbleSize>
          <c:bubble3D val="1"/>
        </c:ser>
        <c:dLbls>
          <c:showLegendKey val="0"/>
          <c:showVal val="0"/>
          <c:showCatName val="0"/>
          <c:showSerName val="0"/>
          <c:showPercent val="0"/>
          <c:showBubbleSize val="0"/>
        </c:dLbls>
        <c:bubbleScale val="100"/>
        <c:showNegBubbles val="0"/>
        <c:axId val="163210368"/>
        <c:axId val="163210944"/>
      </c:bubbleChart>
      <c:valAx>
        <c:axId val="16321036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3210944"/>
        <c:crosses val="autoZero"/>
        <c:crossBetween val="midCat"/>
      </c:valAx>
      <c:valAx>
        <c:axId val="16321094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321036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0.11761205203286407"/>
                  <c:y val="-1.2148763753850336E-2"/>
                </c:manualLayout>
              </c:layout>
              <c:tx>
                <c:rich>
                  <a:bodyPr/>
                  <a:lstStyle/>
                  <a:p>
                    <a:r>
                      <a:rPr lang="en-US"/>
                      <a:t>LMN-68/74</a:t>
                    </a:r>
                  </a:p>
                </c:rich>
              </c:tx>
              <c:showLegendKey val="0"/>
              <c:showVal val="1"/>
              <c:showCatName val="1"/>
              <c:showSerName val="1"/>
              <c:showPercent val="0"/>
              <c:showBubbleSize val="0"/>
            </c:dLbl>
            <c:dLbl>
              <c:idx val="1"/>
              <c:layout>
                <c:manualLayout>
                  <c:x val="-4.0871207763617613E-2"/>
                  <c:y val="-5.3827636306509087E-2"/>
                </c:manualLayout>
              </c:layout>
              <c:tx>
                <c:rich>
                  <a:bodyPr/>
                  <a:lstStyle/>
                  <a:p>
                    <a:r>
                      <a:rPr lang="en-US"/>
                      <a:t>INV-68/74</a:t>
                    </a:r>
                  </a:p>
                </c:rich>
              </c:tx>
              <c:showLegendKey val="0"/>
              <c:showVal val="1"/>
              <c:showCatName val="1"/>
              <c:showSerName val="1"/>
              <c:showPercent val="0"/>
              <c:showBubbleSize val="0"/>
            </c:dLbl>
            <c:dLbl>
              <c:idx val="2"/>
              <c:layout>
                <c:manualLayout>
                  <c:x val="1.3799591881251657E-3"/>
                  <c:y val="-1.8918934184860795E-2"/>
                </c:manualLayout>
              </c:layout>
              <c:tx>
                <c:rich>
                  <a:bodyPr/>
                  <a:lstStyle/>
                  <a:p>
                    <a:r>
                      <a:rPr lang="en-US"/>
                      <a:t>SBN-68/74</a:t>
                    </a:r>
                  </a:p>
                </c:rich>
              </c:tx>
              <c:showLegendKey val="0"/>
              <c:showVal val="1"/>
              <c:showCatName val="1"/>
              <c:showSerName val="1"/>
              <c:showPercent val="0"/>
              <c:showBubbleSize val="0"/>
            </c:dLbl>
            <c:dLbl>
              <c:idx val="3"/>
              <c:layout>
                <c:manualLayout>
                  <c:x val="-3.2694140994365918E-3"/>
                  <c:y val="-4.3771911489232859E-2"/>
                </c:manualLayout>
              </c:layout>
              <c:tx>
                <c:rich>
                  <a:bodyPr/>
                  <a:lstStyle/>
                  <a:p>
                    <a:r>
                      <a:rPr lang="en-US"/>
                      <a:t>SWD-68/74</a:t>
                    </a:r>
                  </a:p>
                </c:rich>
              </c:tx>
              <c:showLegendKey val="0"/>
              <c:showVal val="1"/>
              <c:showCatName val="1"/>
              <c:showSerName val="1"/>
              <c:showPercent val="0"/>
              <c:showBubbleSize val="0"/>
            </c:dLbl>
            <c:dLbl>
              <c:idx val="4"/>
              <c:layout>
                <c:manualLayout>
                  <c:x val="-3.0544460829195246E-2"/>
                  <c:y val="-3.857791498765363E-2"/>
                </c:manualLayout>
              </c:layout>
              <c:tx>
                <c:rich>
                  <a:bodyPr/>
                  <a:lstStyle/>
                  <a:p>
                    <a:r>
                      <a:rPr lang="en-US"/>
                      <a:t>AVI-68/74</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'1968-1974'!$B$34:$B$38</c:f>
              <c:numCache>
                <c:formatCode>0.00</c:formatCode>
                <c:ptCount val="5"/>
                <c:pt idx="0">
                  <c:v>15.096652544638175</c:v>
                </c:pt>
                <c:pt idx="1">
                  <c:v>13.756753451799216</c:v>
                </c:pt>
                <c:pt idx="2">
                  <c:v>15.243864495450532</c:v>
                </c:pt>
                <c:pt idx="3">
                  <c:v>14.32156275738766</c:v>
                </c:pt>
                <c:pt idx="4">
                  <c:v>14.782780060902454</c:v>
                </c:pt>
              </c:numCache>
            </c:numRef>
          </c:xVal>
          <c:yVal>
            <c:numRef>
              <c:f>'1968-1974'!$C$34:$C$38</c:f>
              <c:numCache>
                <c:formatCode>0.00</c:formatCode>
                <c:ptCount val="5"/>
                <c:pt idx="0">
                  <c:v>21.340000000000003</c:v>
                </c:pt>
                <c:pt idx="1">
                  <c:v>17.110000000000003</c:v>
                </c:pt>
                <c:pt idx="2">
                  <c:v>20.979999999999997</c:v>
                </c:pt>
                <c:pt idx="3">
                  <c:v>20.119686339248855</c:v>
                </c:pt>
                <c:pt idx="4">
                  <c:v>14.569999999999993</c:v>
                </c:pt>
              </c:numCache>
            </c:numRef>
          </c:yVal>
          <c:smooth val="0"/>
        </c:ser>
        <c:dLbls>
          <c:showLegendKey val="0"/>
          <c:showVal val="0"/>
          <c:showCatName val="0"/>
          <c:showSerName val="0"/>
          <c:showPercent val="0"/>
          <c:showBubbleSize val="0"/>
        </c:dLbls>
        <c:axId val="163212672"/>
        <c:axId val="163213248"/>
      </c:scatterChart>
      <c:valAx>
        <c:axId val="163212672"/>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3213248"/>
        <c:crosses val="autoZero"/>
        <c:crossBetween val="midCat"/>
      </c:valAx>
      <c:valAx>
        <c:axId val="16321324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321267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2.2692297489880598E-2"/>
                  <c:y val="-0.15702831640751513"/>
                </c:manualLayout>
              </c:layout>
              <c:tx>
                <c:rich>
                  <a:bodyPr/>
                  <a:lstStyle/>
                  <a:p>
                    <a:r>
                      <a:rPr lang="en-US"/>
                      <a:t>LMN-68/74</a:t>
                    </a:r>
                  </a:p>
                </c:rich>
              </c:tx>
              <c:showLegendKey val="0"/>
              <c:showVal val="1"/>
              <c:showCatName val="1"/>
              <c:showSerName val="0"/>
              <c:showPercent val="0"/>
              <c:showBubbleSize val="1"/>
            </c:dLbl>
            <c:dLbl>
              <c:idx val="1"/>
              <c:layout>
                <c:manualLayout>
                  <c:x val="1.3881333589113603E-2"/>
                  <c:y val="0.10752290356612614"/>
                </c:manualLayout>
              </c:layout>
              <c:tx>
                <c:rich>
                  <a:bodyPr/>
                  <a:lstStyle/>
                  <a:p>
                    <a:r>
                      <a:rPr lang="en-US"/>
                      <a:t>INV-68/74</a:t>
                    </a:r>
                  </a:p>
                </c:rich>
              </c:tx>
              <c:showLegendKey val="0"/>
              <c:showVal val="1"/>
              <c:showCatName val="1"/>
              <c:showSerName val="0"/>
              <c:showPercent val="0"/>
              <c:showBubbleSize val="1"/>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dLbl>
            <c:dLbl>
              <c:idx val="3"/>
              <c:tx>
                <c:rich>
                  <a:bodyPr/>
                  <a:lstStyle/>
                  <a:p>
                    <a:r>
                      <a:rPr lang="en-US"/>
                      <a:t>SWD-68/74</a:t>
                    </a:r>
                  </a:p>
                </c:rich>
              </c:tx>
              <c:showLegendKey val="0"/>
              <c:showVal val="1"/>
              <c:showCatName val="1"/>
              <c:showSerName val="0"/>
              <c:showPercent val="0"/>
              <c:showBubbleSize val="1"/>
            </c:dLbl>
            <c:dLbl>
              <c:idx val="4"/>
              <c:layout>
                <c:manualLayout>
                  <c:x val="-3.3810510380589956E-3"/>
                  <c:y val="-2.3148148148148147E-3"/>
                </c:manualLayout>
              </c:layout>
              <c:tx>
                <c:rich>
                  <a:bodyPr/>
                  <a:lstStyle/>
                  <a:p>
                    <a:r>
                      <a:rPr lang="en-US"/>
                      <a:t>AVI-68/74</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'1968-1974'!$B$64:$B$68</c:f>
              <c:numCache>
                <c:formatCode>0.00</c:formatCode>
                <c:ptCount val="5"/>
                <c:pt idx="0">
                  <c:v>22.925000000000001</c:v>
                </c:pt>
                <c:pt idx="1">
                  <c:v>20.495999999999999</c:v>
                </c:pt>
                <c:pt idx="2">
                  <c:v>52.569000000000003</c:v>
                </c:pt>
                <c:pt idx="3">
                  <c:v>95.619</c:v>
                </c:pt>
                <c:pt idx="4">
                  <c:v>40.479999999999997</c:v>
                </c:pt>
              </c:numCache>
            </c:numRef>
          </c:xVal>
          <c:yVal>
            <c:numRef>
              <c:f>'1968-1974'!$C$64:$C$68</c:f>
              <c:numCache>
                <c:formatCode>0.00</c:formatCode>
                <c:ptCount val="5"/>
                <c:pt idx="0">
                  <c:v>17.110000000000003</c:v>
                </c:pt>
                <c:pt idx="1">
                  <c:v>21.340000000000003</c:v>
                </c:pt>
                <c:pt idx="2">
                  <c:v>20.979999999999997</c:v>
                </c:pt>
                <c:pt idx="3">
                  <c:v>20.119686339248855</c:v>
                </c:pt>
                <c:pt idx="4">
                  <c:v>14.569999999999993</c:v>
                </c:pt>
              </c:numCache>
            </c:numRef>
          </c:yVal>
          <c:bubbleSize>
            <c:numRef>
              <c:f>'1968-1974'!$D$64:$D$68</c:f>
              <c:numCache>
                <c:formatCode>0.00</c:formatCode>
                <c:ptCount val="5"/>
                <c:pt idx="0">
                  <c:v>120.39782167649999</c:v>
                </c:pt>
                <c:pt idx="1">
                  <c:v>81.398696889999997</c:v>
                </c:pt>
                <c:pt idx="2">
                  <c:v>241.85908219000001</c:v>
                </c:pt>
                <c:pt idx="3">
                  <c:v>347.52563864000001</c:v>
                </c:pt>
                <c:pt idx="4">
                  <c:v>141.93297444999999</c:v>
                </c:pt>
              </c:numCache>
            </c:numRef>
          </c:bubbleSize>
          <c:bubble3D val="1"/>
        </c:ser>
        <c:dLbls>
          <c:showLegendKey val="0"/>
          <c:showVal val="0"/>
          <c:showCatName val="0"/>
          <c:showSerName val="0"/>
          <c:showPercent val="0"/>
          <c:showBubbleSize val="0"/>
        </c:dLbls>
        <c:bubbleScale val="100"/>
        <c:showNegBubbles val="0"/>
        <c:axId val="163214976"/>
        <c:axId val="163215552"/>
      </c:bubbleChart>
      <c:valAx>
        <c:axId val="16321497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3215552"/>
        <c:crosses val="autoZero"/>
        <c:crossBetween val="midCat"/>
      </c:valAx>
      <c:valAx>
        <c:axId val="16321555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321497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8.9752260575276924E-2"/>
                  <c:y val="-2.4336409841300585E-2"/>
                </c:manualLayout>
              </c:layout>
              <c:tx>
                <c:rich>
                  <a:bodyPr/>
                  <a:lstStyle/>
                  <a:p>
                    <a:r>
                      <a:rPr lang="en-US"/>
                      <a:t>LMN-61/67</a:t>
                    </a:r>
                  </a:p>
                </c:rich>
              </c:tx>
              <c:showLegendKey val="0"/>
              <c:showVal val="1"/>
              <c:showCatName val="1"/>
              <c:showSerName val="1"/>
              <c:showPercent val="0"/>
              <c:showBubbleSize val="0"/>
            </c:dLbl>
            <c:dLbl>
              <c:idx val="1"/>
              <c:layout>
                <c:manualLayout>
                  <c:x val="-0.11337115511424903"/>
                  <c:y val="-6.3579812168623349E-3"/>
                </c:manualLayout>
              </c:layout>
              <c:tx>
                <c:rich>
                  <a:bodyPr/>
                  <a:lstStyle/>
                  <a:p>
                    <a:r>
                      <a:rPr lang="en-US"/>
                      <a:t>INV-61/67</a:t>
                    </a:r>
                  </a:p>
                </c:rich>
              </c:tx>
              <c:showLegendKey val="0"/>
              <c:showVal val="1"/>
              <c:showCatName val="1"/>
              <c:showSerName val="1"/>
              <c:showPercent val="0"/>
              <c:showBubbleSize val="0"/>
            </c:dLbl>
            <c:dLbl>
              <c:idx val="2"/>
              <c:layout>
                <c:manualLayout>
                  <c:x val="-3.337873756259593E-3"/>
                  <c:y val="-1.624874793833455E-2"/>
                </c:manualLayout>
              </c:layout>
              <c:tx>
                <c:rich>
                  <a:bodyPr/>
                  <a:lstStyle/>
                  <a:p>
                    <a:r>
                      <a:rPr lang="en-US"/>
                      <a:t>SBN-61/67</a:t>
                    </a:r>
                  </a:p>
                </c:rich>
              </c:tx>
              <c:showLegendKey val="0"/>
              <c:showVal val="1"/>
              <c:showCatName val="1"/>
              <c:showSerName val="1"/>
              <c:showPercent val="0"/>
              <c:showBubbleSize val="0"/>
            </c:dLbl>
            <c:dLbl>
              <c:idx val="3"/>
              <c:layout>
                <c:manualLayout>
                  <c:x val="-5.0063480493265462E-4"/>
                  <c:y val="-2.6714453609100589E-3"/>
                </c:manualLayout>
              </c:layout>
              <c:tx>
                <c:rich>
                  <a:bodyPr/>
                  <a:lstStyle/>
                  <a:p>
                    <a:r>
                      <a:rPr lang="en-US"/>
                      <a:t>SWD-61/67</a:t>
                    </a:r>
                  </a:p>
                </c:rich>
              </c:tx>
              <c:showLegendKey val="0"/>
              <c:showVal val="1"/>
              <c:showCatName val="1"/>
              <c:showSerName val="1"/>
              <c:showPercent val="0"/>
              <c:showBubbleSize val="0"/>
            </c:dLbl>
            <c:dLbl>
              <c:idx val="4"/>
              <c:layout>
                <c:manualLayout>
                  <c:x val="-4.860875331284676E-2"/>
                  <c:y val="3.7699106046798776E-2"/>
                </c:manualLayout>
              </c:layout>
              <c:tx>
                <c:rich>
                  <a:bodyPr/>
                  <a:lstStyle/>
                  <a:p>
                    <a:r>
                      <a:rPr lang="en-US"/>
                      <a:t>AVI-61/67</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'1961-1967'!$B$34:$B$38</c:f>
              <c:numCache>
                <c:formatCode>0.00</c:formatCode>
                <c:ptCount val="5"/>
                <c:pt idx="0">
                  <c:v>11.35503497389162</c:v>
                </c:pt>
                <c:pt idx="1">
                  <c:v>10.119487917181305</c:v>
                </c:pt>
                <c:pt idx="2">
                  <c:v>11.198268081416364</c:v>
                </c:pt>
                <c:pt idx="3">
                  <c:v>9.8714229046038042</c:v>
                </c:pt>
                <c:pt idx="4">
                  <c:v>7.8375398254491291</c:v>
                </c:pt>
              </c:numCache>
            </c:numRef>
          </c:xVal>
          <c:yVal>
            <c:numRef>
              <c:f>'1961-1967'!$C$34:$C$38</c:f>
              <c:numCache>
                <c:formatCode>0.00</c:formatCode>
                <c:ptCount val="5"/>
                <c:pt idx="0">
                  <c:v>16.680000000000007</c:v>
                </c:pt>
                <c:pt idx="1">
                  <c:v>12.539999999999996</c:v>
                </c:pt>
                <c:pt idx="2">
                  <c:v>14.549999999999997</c:v>
                </c:pt>
                <c:pt idx="3">
                  <c:v>15.244897959183668</c:v>
                </c:pt>
                <c:pt idx="4">
                  <c:v>10.159999999999991</c:v>
                </c:pt>
              </c:numCache>
            </c:numRef>
          </c:yVal>
          <c:smooth val="0"/>
        </c:ser>
        <c:dLbls>
          <c:showLegendKey val="0"/>
          <c:showVal val="0"/>
          <c:showCatName val="0"/>
          <c:showSerName val="0"/>
          <c:showPercent val="0"/>
          <c:showBubbleSize val="0"/>
        </c:dLbls>
        <c:axId val="162832384"/>
        <c:axId val="162832960"/>
      </c:scatterChart>
      <c:valAx>
        <c:axId val="16283238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2832960"/>
        <c:crosses val="autoZero"/>
        <c:crossBetween val="midCat"/>
      </c:valAx>
      <c:valAx>
        <c:axId val="16283296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283238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6.4809687497732485E-2"/>
                  <c:y val="-9.3283932070123227E-2"/>
                </c:manualLayout>
              </c:layout>
              <c:tx>
                <c:rich>
                  <a:bodyPr/>
                  <a:lstStyle/>
                  <a:p>
                    <a:r>
                      <a:rPr lang="en-US"/>
                      <a:t>LMN-61/67</a:t>
                    </a:r>
                  </a:p>
                </c:rich>
              </c:tx>
              <c:showLegendKey val="0"/>
              <c:showVal val="1"/>
              <c:showCatName val="1"/>
              <c:showSerName val="0"/>
              <c:showPercent val="0"/>
              <c:showBubbleSize val="1"/>
            </c:dLbl>
            <c:dLbl>
              <c:idx val="1"/>
              <c:layout>
                <c:manualLayout>
                  <c:x val="-2.1261145178420237E-3"/>
                  <c:y val="-1.9211097607511281E-2"/>
                </c:manualLayout>
              </c:layout>
              <c:tx>
                <c:rich>
                  <a:bodyPr/>
                  <a:lstStyle/>
                  <a:p>
                    <a:r>
                      <a:rPr lang="en-US"/>
                      <a:t>INV-61/67</a:t>
                    </a:r>
                  </a:p>
                </c:rich>
              </c:tx>
              <c:showLegendKey val="0"/>
              <c:showVal val="1"/>
              <c:showCatName val="1"/>
              <c:showSerName val="0"/>
              <c:showPercent val="0"/>
              <c:showBubbleSize val="1"/>
            </c:dLbl>
            <c:dLbl>
              <c:idx val="2"/>
              <c:layout>
                <c:manualLayout>
                  <c:x val="-2.1258376427195781E-2"/>
                  <c:y val="-0.10739323426892972"/>
                </c:manualLayout>
              </c:layout>
              <c:tx>
                <c:rich>
                  <a:bodyPr/>
                  <a:lstStyle/>
                  <a:p>
                    <a:r>
                      <a:rPr lang="en-US"/>
                      <a:t>SBN-61/67</a:t>
                    </a:r>
                  </a:p>
                </c:rich>
              </c:tx>
              <c:showLegendKey val="0"/>
              <c:showVal val="1"/>
              <c:showCatName val="1"/>
              <c:showSerName val="0"/>
              <c:showPercent val="0"/>
              <c:showBubbleSize val="1"/>
            </c:dLbl>
            <c:dLbl>
              <c:idx val="3"/>
              <c:tx>
                <c:rich>
                  <a:bodyPr/>
                  <a:lstStyle/>
                  <a:p>
                    <a:r>
                      <a:rPr lang="en-US"/>
                      <a:t>SWD-61/67</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'1961-1967'!$B$64:$B$68</c:f>
              <c:numCache>
                <c:formatCode>0.00</c:formatCode>
                <c:ptCount val="5"/>
                <c:pt idx="0">
                  <c:v>18.757000000000001</c:v>
                </c:pt>
                <c:pt idx="1">
                  <c:v>18.102</c:v>
                </c:pt>
                <c:pt idx="2">
                  <c:v>46.615000000000002</c:v>
                </c:pt>
                <c:pt idx="3">
                  <c:v>84.944000000000003</c:v>
                </c:pt>
                <c:pt idx="4">
                  <c:v>39.752000000000002</c:v>
                </c:pt>
              </c:numCache>
            </c:numRef>
          </c:xVal>
          <c:yVal>
            <c:numRef>
              <c:f>'1961-1967'!$C$64:$C$68</c:f>
              <c:numCache>
                <c:formatCode>0.00</c:formatCode>
                <c:ptCount val="5"/>
                <c:pt idx="0">
                  <c:v>16.680000000000007</c:v>
                </c:pt>
                <c:pt idx="1">
                  <c:v>12.539999999999996</c:v>
                </c:pt>
                <c:pt idx="2">
                  <c:v>14.549999999999997</c:v>
                </c:pt>
                <c:pt idx="3">
                  <c:v>15.244897959183668</c:v>
                </c:pt>
                <c:pt idx="4">
                  <c:v>10.159999999999991</c:v>
                </c:pt>
              </c:numCache>
            </c:numRef>
          </c:yVal>
          <c:bubbleSize>
            <c:numRef>
              <c:f>'1961-1967'!$D$64:$D$68</c:f>
              <c:numCache>
                <c:formatCode>0.00</c:formatCode>
                <c:ptCount val="5"/>
                <c:pt idx="0">
                  <c:v>73.192578769999997</c:v>
                </c:pt>
                <c:pt idx="1">
                  <c:v>88.60533966429999</c:v>
                </c:pt>
                <c:pt idx="2">
                  <c:v>209.38697949000002</c:v>
                </c:pt>
                <c:pt idx="3">
                  <c:v>304.15250257999998</c:v>
                </c:pt>
                <c:pt idx="4">
                  <c:v>147.16507856999999</c:v>
                </c:pt>
              </c:numCache>
            </c:numRef>
          </c:bubbleSize>
          <c:bubble3D val="1"/>
        </c:ser>
        <c:dLbls>
          <c:showLegendKey val="0"/>
          <c:showVal val="0"/>
          <c:showCatName val="0"/>
          <c:showSerName val="0"/>
          <c:showPercent val="0"/>
          <c:showBubbleSize val="0"/>
        </c:dLbls>
        <c:bubbleScale val="100"/>
        <c:showNegBubbles val="0"/>
        <c:axId val="162834688"/>
        <c:axId val="162835264"/>
      </c:bubbleChart>
      <c:valAx>
        <c:axId val="16283468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2835264"/>
        <c:crosses val="autoZero"/>
        <c:crossBetween val="midCat"/>
      </c:valAx>
      <c:valAx>
        <c:axId val="16283526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283468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dLbl>
            <c:dLbl>
              <c:idx val="2"/>
              <c:layout>
                <c:manualLayout>
                  <c:x val="-5.9273181202814676E-2"/>
                  <c:y val="-4.9751234036268646E-2"/>
                </c:manualLayout>
              </c:layout>
              <c:tx>
                <c:rich>
                  <a:bodyPr/>
                  <a:lstStyle/>
                  <a:p>
                    <a:r>
                      <a:rPr lang="en-US"/>
                      <a:t>SBN-54/60</a:t>
                    </a:r>
                  </a:p>
                </c:rich>
              </c:tx>
              <c:showLegendKey val="0"/>
              <c:showVal val="1"/>
              <c:showCatName val="1"/>
              <c:showSerName val="1"/>
              <c:showPercent val="0"/>
              <c:showBubbleSize val="0"/>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dLbl>
            <c:dLbl>
              <c:idx val="4"/>
              <c:layout>
                <c:manualLayout>
                  <c:x val="-0.10383529332479698"/>
                  <c:y val="1.6058773469095729E-2"/>
                </c:manualLayout>
              </c:layout>
              <c:tx>
                <c:rich>
                  <a:bodyPr/>
                  <a:lstStyle/>
                  <a:p>
                    <a:r>
                      <a:rPr lang="en-US"/>
                      <a:t>AVI-54/60</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'1954-1960'!$B$34:$B$38</c:f>
              <c:numCache>
                <c:formatCode>0.00</c:formatCode>
                <c:ptCount val="5"/>
                <c:pt idx="0">
                  <c:v>7.5176528595650414</c:v>
                </c:pt>
                <c:pt idx="1">
                  <c:v>5.0415542485668512</c:v>
                </c:pt>
                <c:pt idx="2">
                  <c:v>6.2862864663903011</c:v>
                </c:pt>
                <c:pt idx="3">
                  <c:v>4.8676429038359803</c:v>
                </c:pt>
                <c:pt idx="4">
                  <c:v>4.5253379457488112</c:v>
                </c:pt>
              </c:numCache>
            </c:numRef>
          </c:xVal>
          <c:yVal>
            <c:numRef>
              <c:f>'1954-1960'!$C$34:$C$38</c:f>
              <c:numCache>
                <c:formatCode>0.00</c:formatCode>
                <c:ptCount val="5"/>
                <c:pt idx="0">
                  <c:v>8.8300000000000054</c:v>
                </c:pt>
                <c:pt idx="1">
                  <c:v>7.1499999999999897</c:v>
                </c:pt>
                <c:pt idx="2">
                  <c:v>8.7299999999999933</c:v>
                </c:pt>
                <c:pt idx="3">
                  <c:v>7.7399999999999913</c:v>
                </c:pt>
                <c:pt idx="4">
                  <c:v>7.0000000000000062</c:v>
                </c:pt>
              </c:numCache>
            </c:numRef>
          </c:yVal>
          <c:smooth val="0"/>
        </c:ser>
        <c:dLbls>
          <c:showLegendKey val="0"/>
          <c:showVal val="0"/>
          <c:showCatName val="0"/>
          <c:showSerName val="0"/>
          <c:showPercent val="0"/>
          <c:showBubbleSize val="0"/>
        </c:dLbls>
        <c:axId val="162836992"/>
        <c:axId val="162837568"/>
      </c:scatterChart>
      <c:valAx>
        <c:axId val="16283699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2837568"/>
        <c:crosses val="autoZero"/>
        <c:crossBetween val="midCat"/>
      </c:valAx>
      <c:valAx>
        <c:axId val="16283756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283699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dLbl>
            <c:dLbl>
              <c:idx val="1"/>
              <c:layout>
                <c:manualLayout>
                  <c:x val="-0.13761240555026419"/>
                  <c:y val="3.354370832710702E-2"/>
                </c:manualLayout>
              </c:layout>
              <c:tx>
                <c:rich>
                  <a:bodyPr/>
                  <a:lstStyle/>
                  <a:p>
                    <a:r>
                      <a:rPr lang="en-US"/>
                      <a:t>INV-54/60</a:t>
                    </a:r>
                  </a:p>
                </c:rich>
              </c:tx>
              <c:showLegendKey val="0"/>
              <c:showVal val="1"/>
              <c:showCatName val="1"/>
              <c:showSerName val="0"/>
              <c:showPercent val="0"/>
              <c:showBubbleSize val="1"/>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dLbl>
            <c:dLbl>
              <c:idx val="3"/>
              <c:layout>
                <c:manualLayout>
                  <c:x val="-1.1568517618646988E-2"/>
                  <c:y val="-4.2693958858104931E-2"/>
                </c:manualLayout>
              </c:layout>
              <c:tx>
                <c:rich>
                  <a:bodyPr/>
                  <a:lstStyle/>
                  <a:p>
                    <a:r>
                      <a:rPr lang="en-US"/>
                      <a:t>SWD-54/60</a:t>
                    </a:r>
                  </a:p>
                </c:rich>
              </c:tx>
              <c:showLegendKey val="0"/>
              <c:showVal val="1"/>
              <c:showCatName val="1"/>
              <c:showSerName val="0"/>
              <c:showPercent val="0"/>
              <c:showBubbleSize val="1"/>
            </c:dLbl>
            <c:dLbl>
              <c:idx val="4"/>
              <c:layout>
                <c:manualLayout>
                  <c:x val="1.015376202286428E-3"/>
                  <c:y val="2.6586707896275905E-2"/>
                </c:manualLayout>
              </c:layout>
              <c:tx>
                <c:rich>
                  <a:bodyPr/>
                  <a:lstStyle/>
                  <a:p>
                    <a:r>
                      <a:rPr lang="en-US"/>
                      <a:t>AVI-54/60</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'1954-1960'!$B$64:$B$68</c:f>
              <c:numCache>
                <c:formatCode>0.00</c:formatCode>
                <c:ptCount val="5"/>
                <c:pt idx="0">
                  <c:v>8.4930000000000003</c:v>
                </c:pt>
                <c:pt idx="1">
                  <c:v>5.81</c:v>
                </c:pt>
                <c:pt idx="2">
                  <c:v>20.100999999999999</c:v>
                </c:pt>
                <c:pt idx="3">
                  <c:v>33.468000000000004</c:v>
                </c:pt>
                <c:pt idx="4">
                  <c:v>18.649999999999999</c:v>
                </c:pt>
              </c:numCache>
            </c:numRef>
          </c:xVal>
          <c:yVal>
            <c:numRef>
              <c:f>'1954-1960'!$C$64:$C$68</c:f>
              <c:numCache>
                <c:formatCode>0.00</c:formatCode>
                <c:ptCount val="5"/>
                <c:pt idx="0">
                  <c:v>8.8300000000000054</c:v>
                </c:pt>
                <c:pt idx="1">
                  <c:v>7.1499999999999897</c:v>
                </c:pt>
                <c:pt idx="2">
                  <c:v>8.7299999999999933</c:v>
                </c:pt>
                <c:pt idx="3">
                  <c:v>7.7399999999999913</c:v>
                </c:pt>
                <c:pt idx="4">
                  <c:v>7.0000000000000062</c:v>
                </c:pt>
              </c:numCache>
            </c:numRef>
          </c:yVal>
          <c:bubbleSize>
            <c:numRef>
              <c:f>'1954-1960'!$D$64:$D$68</c:f>
              <c:numCache>
                <c:formatCode>0.00</c:formatCode>
                <c:ptCount val="5"/>
                <c:pt idx="0">
                  <c:v>32.260853390000001</c:v>
                </c:pt>
                <c:pt idx="1">
                  <c:v>27.314800157499999</c:v>
                </c:pt>
                <c:pt idx="2">
                  <c:v>89.566993799999992</c:v>
                </c:pt>
                <c:pt idx="3">
                  <c:v>124.99615318000001</c:v>
                </c:pt>
                <c:pt idx="4">
                  <c:v>69.654938510000008</c:v>
                </c:pt>
              </c:numCache>
            </c:numRef>
          </c:bubbleSize>
          <c:bubble3D val="1"/>
        </c:ser>
        <c:dLbls>
          <c:showLegendKey val="0"/>
          <c:showVal val="0"/>
          <c:showCatName val="0"/>
          <c:showSerName val="0"/>
          <c:showPercent val="0"/>
          <c:showBubbleSize val="0"/>
        </c:dLbls>
        <c:bubbleScale val="100"/>
        <c:showNegBubbles val="0"/>
        <c:axId val="162839296"/>
        <c:axId val="162839872"/>
      </c:bubbleChart>
      <c:valAx>
        <c:axId val="16283929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2839872"/>
        <c:crosses val="autoZero"/>
        <c:crossBetween val="midCat"/>
      </c:valAx>
      <c:valAx>
        <c:axId val="16283987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283929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2.112946559889937E-3"/>
                  <c:y val="-1.7023896491214857E-2"/>
                </c:manualLayout>
              </c:layout>
              <c:tx>
                <c:rich>
                  <a:bodyPr/>
                  <a:lstStyle/>
                  <a:p>
                    <a:r>
                      <a:rPr lang="en-US"/>
                      <a:t>LMN-TIPF</a:t>
                    </a:r>
                  </a:p>
                </c:rich>
              </c:tx>
              <c:showLegendKey val="0"/>
              <c:showVal val="1"/>
              <c:showCatName val="1"/>
              <c:showSerName val="1"/>
              <c:showPercent val="0"/>
              <c:showBubbleSize val="0"/>
            </c:dLbl>
            <c:dLbl>
              <c:idx val="1"/>
              <c:layout>
                <c:manualLayout>
                  <c:x val="-2.7153561150321218E-3"/>
                  <c:y val="-2.0010189238613731E-2"/>
                </c:manualLayout>
              </c:layout>
              <c:tx>
                <c:rich>
                  <a:bodyPr/>
                  <a:lstStyle/>
                  <a:p>
                    <a:r>
                      <a:rPr lang="en-US"/>
                      <a:t>INV-TIPF</a:t>
                    </a:r>
                  </a:p>
                </c:rich>
              </c:tx>
              <c:showLegendKey val="0"/>
              <c:showVal val="1"/>
              <c:showCatName val="1"/>
              <c:showSerName val="1"/>
              <c:showPercent val="0"/>
              <c:showBubbleSize val="0"/>
            </c:dLbl>
            <c:dLbl>
              <c:idx val="2"/>
              <c:layout>
                <c:manualLayout>
                  <c:x val="-9.916831561369073E-2"/>
                  <c:y val="-6.7372214398144312E-3"/>
                </c:manualLayout>
              </c:layout>
              <c:tx>
                <c:rich>
                  <a:bodyPr/>
                  <a:lstStyle/>
                  <a:p>
                    <a:r>
                      <a:rPr lang="en-US"/>
                      <a:t>SBN-TIPF</a:t>
                    </a:r>
                  </a:p>
                </c:rich>
              </c:tx>
              <c:showLegendKey val="0"/>
              <c:showVal val="1"/>
              <c:showCatName val="1"/>
              <c:showSerName val="1"/>
              <c:showPercent val="0"/>
              <c:showBubbleSize val="0"/>
            </c:dLbl>
            <c:dLbl>
              <c:idx val="3"/>
              <c:layout>
                <c:manualLayout>
                  <c:x val="-3.7261251369821932E-2"/>
                  <c:y val="4.0329376943990435E-2"/>
                </c:manualLayout>
              </c:layout>
              <c:tx>
                <c:rich>
                  <a:bodyPr/>
                  <a:lstStyle/>
                  <a:p>
                    <a:r>
                      <a:rPr lang="en-US"/>
                      <a:t>SWD-TIPF</a:t>
                    </a:r>
                  </a:p>
                </c:rich>
              </c:tx>
              <c:showLegendKey val="0"/>
              <c:showVal val="1"/>
              <c:showCatName val="1"/>
              <c:showSerName val="1"/>
              <c:showPercent val="0"/>
              <c:showBubbleSize val="0"/>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TIF!$B$34:$B$38</c:f>
              <c:numCache>
                <c:formatCode>0.00</c:formatCode>
                <c:ptCount val="5"/>
                <c:pt idx="0">
                  <c:v>5.1982320427231681</c:v>
                </c:pt>
                <c:pt idx="1">
                  <c:v>4.313193241349806</c:v>
                </c:pt>
                <c:pt idx="2">
                  <c:v>5.0785120464847431</c:v>
                </c:pt>
                <c:pt idx="3">
                  <c:v>4.2324042826734143</c:v>
                </c:pt>
                <c:pt idx="4">
                  <c:v>3.4359026990266566</c:v>
                </c:pt>
              </c:numCache>
            </c:numRef>
          </c:xVal>
          <c:yVal>
            <c:numRef>
              <c:f>TIF!$C$34:$C$38</c:f>
              <c:numCache>
                <c:formatCode>0.00</c:formatCode>
                <c:ptCount val="5"/>
                <c:pt idx="0">
                  <c:v>6.030000000000002</c:v>
                </c:pt>
                <c:pt idx="1">
                  <c:v>8.1700000000000106</c:v>
                </c:pt>
                <c:pt idx="2">
                  <c:v>6.5800000000000081</c:v>
                </c:pt>
                <c:pt idx="3">
                  <c:v>5.8599999999999985</c:v>
                </c:pt>
                <c:pt idx="4">
                  <c:v>6.7099999999999937</c:v>
                </c:pt>
              </c:numCache>
            </c:numRef>
          </c:yVal>
          <c:smooth val="0"/>
        </c:ser>
        <c:dLbls>
          <c:showLegendKey val="0"/>
          <c:showVal val="0"/>
          <c:showCatName val="0"/>
          <c:showSerName val="0"/>
          <c:showPercent val="0"/>
          <c:showBubbleSize val="0"/>
        </c:dLbls>
        <c:axId val="164840576"/>
        <c:axId val="164841152"/>
      </c:scatterChart>
      <c:valAx>
        <c:axId val="16484057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4841152"/>
        <c:crosses val="autoZero"/>
        <c:crossBetween val="midCat"/>
      </c:valAx>
      <c:valAx>
        <c:axId val="16484115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484057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dLbl>
            <c:dLbl>
              <c:idx val="2"/>
              <c:layout>
                <c:manualLayout>
                  <c:x val="-2.437939749975828E-2"/>
                  <c:y val="-8.4813625301046067E-2"/>
                </c:manualLayout>
              </c:layout>
              <c:tx>
                <c:rich>
                  <a:bodyPr/>
                  <a:lstStyle/>
                  <a:p>
                    <a:r>
                      <a:rPr lang="en-US"/>
                      <a:t>SBN-TIPF</a:t>
                    </a:r>
                  </a:p>
                </c:rich>
              </c:tx>
              <c:showLegendKey val="0"/>
              <c:showVal val="1"/>
              <c:showCatName val="1"/>
              <c:showSerName val="0"/>
              <c:showPercent val="0"/>
              <c:showBubbleSize val="1"/>
            </c:dLbl>
            <c:dLbl>
              <c:idx val="3"/>
              <c:layout>
                <c:manualLayout>
                  <c:x val="-7.9316025230406813E-3"/>
                  <c:y val="-4.5365279804155348E-2"/>
                </c:manualLayout>
              </c:layout>
              <c:tx>
                <c:rich>
                  <a:bodyPr/>
                  <a:lstStyle/>
                  <a:p>
                    <a:r>
                      <a:rPr lang="en-US"/>
                      <a:t>SWD-TIPF</a:t>
                    </a:r>
                  </a:p>
                </c:rich>
              </c:tx>
              <c:showLegendKey val="0"/>
              <c:showVal val="1"/>
              <c:showCatName val="1"/>
              <c:showSerName val="0"/>
              <c:showPercent val="0"/>
              <c:showBubbleSize val="1"/>
            </c:dLbl>
            <c:dLbl>
              <c:idx val="4"/>
              <c:layout>
                <c:manualLayout>
                  <c:x val="-0.16143459243409611"/>
                  <c:y val="-6.1225267389230136E-3"/>
                </c:manualLayout>
              </c:layout>
              <c:tx>
                <c:rich>
                  <a:bodyPr/>
                  <a:lstStyle/>
                  <a:p>
                    <a:r>
                      <a:rPr lang="en-US"/>
                      <a:t>AVI-TIPF</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TIF!$B$64:$B$68</c:f>
              <c:numCache>
                <c:formatCode>0.00</c:formatCode>
                <c:ptCount val="5"/>
                <c:pt idx="0">
                  <c:v>1.1319999999999999</c:v>
                </c:pt>
                <c:pt idx="1">
                  <c:v>0.97599999999999998</c:v>
                </c:pt>
                <c:pt idx="2">
                  <c:v>3.0529999999999999</c:v>
                </c:pt>
                <c:pt idx="3">
                  <c:v>3.38</c:v>
                </c:pt>
                <c:pt idx="4">
                  <c:v>2.8050000000000002</c:v>
                </c:pt>
              </c:numCache>
            </c:numRef>
          </c:xVal>
          <c:yVal>
            <c:numRef>
              <c:f>TIF!$C$64:$C$68</c:f>
              <c:numCache>
                <c:formatCode>0.00</c:formatCode>
                <c:ptCount val="5"/>
                <c:pt idx="0">
                  <c:v>6.030000000000002</c:v>
                </c:pt>
                <c:pt idx="1">
                  <c:v>8.1700000000000106</c:v>
                </c:pt>
                <c:pt idx="2">
                  <c:v>6.5800000000000081</c:v>
                </c:pt>
                <c:pt idx="3">
                  <c:v>5.8599999999999985</c:v>
                </c:pt>
                <c:pt idx="4">
                  <c:v>6.7099999999999937</c:v>
                </c:pt>
              </c:numCache>
            </c:numRef>
          </c:yVal>
          <c:bubbleSize>
            <c:numRef>
              <c:f>TIF!$D$64:$D$68</c:f>
              <c:numCache>
                <c:formatCode>0.00</c:formatCode>
                <c:ptCount val="5"/>
                <c:pt idx="0">
                  <c:v>2.1984772499999998</c:v>
                </c:pt>
                <c:pt idx="1">
                  <c:v>4.1255900913999994</c:v>
                </c:pt>
                <c:pt idx="2">
                  <c:v>12.42815105</c:v>
                </c:pt>
                <c:pt idx="3">
                  <c:v>15.793222009999999</c:v>
                </c:pt>
                <c:pt idx="4">
                  <c:v>5.6496014900000002</c:v>
                </c:pt>
              </c:numCache>
            </c:numRef>
          </c:bubbleSize>
          <c:bubble3D val="1"/>
        </c:ser>
        <c:dLbls>
          <c:showLegendKey val="0"/>
          <c:showVal val="0"/>
          <c:showCatName val="0"/>
          <c:showSerName val="0"/>
          <c:showPercent val="0"/>
          <c:showBubbleSize val="0"/>
        </c:dLbls>
        <c:bubbleScale val="100"/>
        <c:showNegBubbles val="0"/>
        <c:axId val="164842880"/>
        <c:axId val="164843456"/>
      </c:bubbleChart>
      <c:valAx>
        <c:axId val="16484288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4843456"/>
        <c:crosses val="autoZero"/>
        <c:crossBetween val="midCat"/>
      </c:valAx>
      <c:valAx>
        <c:axId val="16484345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484288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ser>
        <c:dLbls>
          <c:showLegendKey val="0"/>
          <c:showVal val="0"/>
          <c:showCatName val="0"/>
          <c:showSerName val="0"/>
          <c:showPercent val="0"/>
          <c:showBubbleSize val="0"/>
        </c:dLbls>
        <c:marker val="1"/>
        <c:smooth val="0"/>
        <c:axId val="164267520"/>
        <c:axId val="164845184"/>
      </c:lineChart>
      <c:catAx>
        <c:axId val="164267520"/>
        <c:scaling>
          <c:orientation val="minMax"/>
        </c:scaling>
        <c:delete val="0"/>
        <c:axPos val="b"/>
        <c:numFmt formatCode="0" sourceLinked="1"/>
        <c:majorTickMark val="none"/>
        <c:minorTickMark val="none"/>
        <c:tickLblPos val="nextTo"/>
        <c:crossAx val="164845184"/>
        <c:crosses val="autoZero"/>
        <c:auto val="1"/>
        <c:lblAlgn val="ctr"/>
        <c:lblOffset val="100"/>
        <c:noMultiLvlLbl val="0"/>
      </c:catAx>
      <c:valAx>
        <c:axId val="164845184"/>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4267520"/>
        <c:crosses val="autoZero"/>
        <c:crossBetween val="between"/>
      </c:valAx>
      <c:spPr>
        <a:ln w="57150"/>
      </c:spPr>
    </c:plotArea>
    <c:legend>
      <c:legendPos val="r"/>
      <c:layout/>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57396</xdr:rowOff>
    </xdr:from>
    <xdr:to>
      <xdr:col>3</xdr:col>
      <xdr:colOff>1066107</xdr:colOff>
      <xdr:row>52</xdr:row>
      <xdr:rowOff>78179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53436</xdr:rowOff>
    </xdr:from>
    <xdr:to>
      <xdr:col>4</xdr:col>
      <xdr:colOff>27709</xdr:colOff>
      <xdr:row>83</xdr:row>
      <xdr:rowOff>193961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40574</xdr:rowOff>
    </xdr:from>
    <xdr:to>
      <xdr:col>4</xdr:col>
      <xdr:colOff>1025236</xdr:colOff>
      <xdr:row>52</xdr:row>
      <xdr:rowOff>61357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67293</xdr:rowOff>
    </xdr:from>
    <xdr:to>
      <xdr:col>4</xdr:col>
      <xdr:colOff>1094509</xdr:colOff>
      <xdr:row>84</xdr:row>
      <xdr:rowOff>11875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7916</xdr:rowOff>
    </xdr:from>
    <xdr:to>
      <xdr:col>5</xdr:col>
      <xdr:colOff>0</xdr:colOff>
      <xdr:row>52</xdr:row>
      <xdr:rowOff>28699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78176</xdr:rowOff>
    </xdr:from>
    <xdr:to>
      <xdr:col>5</xdr:col>
      <xdr:colOff>41564</xdr:colOff>
      <xdr:row>84</xdr:row>
      <xdr:rowOff>22758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35625</xdr:rowOff>
    </xdr:from>
    <xdr:to>
      <xdr:col>4</xdr:col>
      <xdr:colOff>1025236</xdr:colOff>
      <xdr:row>52</xdr:row>
      <xdr:rowOff>56408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42551</xdr:rowOff>
    </xdr:from>
    <xdr:to>
      <xdr:col>4</xdr:col>
      <xdr:colOff>1020288</xdr:colOff>
      <xdr:row>83</xdr:row>
      <xdr:rowOff>183076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29688</xdr:rowOff>
    </xdr:from>
    <xdr:to>
      <xdr:col>4</xdr:col>
      <xdr:colOff>1025236</xdr:colOff>
      <xdr:row>52</xdr:row>
      <xdr:rowOff>50471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42552</xdr:rowOff>
    </xdr:from>
    <xdr:to>
      <xdr:col>4</xdr:col>
      <xdr:colOff>1094509</xdr:colOff>
      <xdr:row>83</xdr:row>
      <xdr:rowOff>183077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62345</xdr:rowOff>
    </xdr:from>
    <xdr:to>
      <xdr:col>4</xdr:col>
      <xdr:colOff>1025236</xdr:colOff>
      <xdr:row>52</xdr:row>
      <xdr:rowOff>83128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48489</xdr:rowOff>
    </xdr:from>
    <xdr:to>
      <xdr:col>4</xdr:col>
      <xdr:colOff>1094509</xdr:colOff>
      <xdr:row>83</xdr:row>
      <xdr:rowOff>189014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40573</xdr:rowOff>
    </xdr:from>
    <xdr:to>
      <xdr:col>4</xdr:col>
      <xdr:colOff>1025236</xdr:colOff>
      <xdr:row>52</xdr:row>
      <xdr:rowOff>61356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36612</xdr:rowOff>
    </xdr:from>
    <xdr:to>
      <xdr:col>4</xdr:col>
      <xdr:colOff>1094509</xdr:colOff>
      <xdr:row>83</xdr:row>
      <xdr:rowOff>177137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32657</xdr:rowOff>
    </xdr:from>
    <xdr:to>
      <xdr:col>4</xdr:col>
      <xdr:colOff>1025236</xdr:colOff>
      <xdr:row>52</xdr:row>
      <xdr:rowOff>53440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81146</xdr:rowOff>
    </xdr:from>
    <xdr:to>
      <xdr:col>4</xdr:col>
      <xdr:colOff>1094509</xdr:colOff>
      <xdr:row>84</xdr:row>
      <xdr:rowOff>25728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X72"/>
  <sheetViews>
    <sheetView showGridLines="0" tabSelected="1" zoomScale="55" zoomScaleNormal="55" workbookViewId="0">
      <pane xSplit="3" ySplit="2" topLeftCell="D3" activePane="bottomRight" state="frozen"/>
      <selection pane="topRight" activeCell="D1" sqref="D1"/>
      <selection pane="bottomLeft" activeCell="A3" sqref="A3"/>
      <selection pane="bottomRight"/>
    </sheetView>
  </sheetViews>
  <sheetFormatPr defaultRowHeight="14.4" x14ac:dyDescent="0.3"/>
  <cols>
    <col min="1" max="1" width="41.44140625" style="7" customWidth="1"/>
    <col min="2" max="2" width="16.33203125" style="7" customWidth="1"/>
    <col min="3" max="3" width="70.33203125" style="7" customWidth="1"/>
    <col min="4" max="4" width="13.109375" bestFit="1" customWidth="1"/>
    <col min="5" max="5" width="13.77734375" customWidth="1"/>
    <col min="6" max="6" width="14.88671875" customWidth="1"/>
    <col min="7" max="7" width="15.44140625" customWidth="1"/>
    <col min="8" max="8" width="1.88671875" customWidth="1"/>
    <col min="9" max="10" width="13"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5">
        <v>44104</v>
      </c>
      <c r="B1" s="26"/>
      <c r="C1" s="27"/>
      <c r="D1" s="76" t="s">
        <v>107</v>
      </c>
      <c r="E1" s="31" t="s">
        <v>91</v>
      </c>
      <c r="F1" s="76" t="s">
        <v>124</v>
      </c>
      <c r="G1" s="76" t="s">
        <v>87</v>
      </c>
      <c r="H1" s="28"/>
      <c r="I1" s="74" t="s">
        <v>88</v>
      </c>
      <c r="J1" s="75"/>
      <c r="K1" s="75"/>
      <c r="L1" s="75"/>
      <c r="M1" s="29"/>
      <c r="N1" s="78" t="s">
        <v>121</v>
      </c>
      <c r="O1" s="79"/>
      <c r="Q1" s="74" t="s">
        <v>114</v>
      </c>
      <c r="R1" s="75"/>
      <c r="S1" s="75"/>
    </row>
    <row r="2" spans="1:21" ht="88.2" x14ac:dyDescent="0.3">
      <c r="A2" s="24" t="s">
        <v>43</v>
      </c>
      <c r="B2" s="24" t="s">
        <v>44</v>
      </c>
      <c r="C2" s="24" t="s">
        <v>45</v>
      </c>
      <c r="D2" s="77"/>
      <c r="E2" s="24" t="s">
        <v>123</v>
      </c>
      <c r="F2" s="77"/>
      <c r="G2" s="77"/>
      <c r="H2" s="28"/>
      <c r="I2" s="64" t="s">
        <v>116</v>
      </c>
      <c r="J2" s="24" t="s">
        <v>108</v>
      </c>
      <c r="K2" s="24" t="s">
        <v>118</v>
      </c>
      <c r="L2" s="24" t="s">
        <v>109</v>
      </c>
      <c r="M2" s="30"/>
      <c r="N2" s="24" t="s">
        <v>110</v>
      </c>
      <c r="O2" s="24" t="s">
        <v>111</v>
      </c>
      <c r="Q2" s="24" t="s">
        <v>134</v>
      </c>
      <c r="R2" s="24" t="s">
        <v>135</v>
      </c>
      <c r="S2" s="24" t="s">
        <v>137</v>
      </c>
      <c r="T2" s="48"/>
    </row>
    <row r="3" spans="1:21" s="47" customFormat="1" ht="18.600000000000001" customHeight="1" x14ac:dyDescent="0.3">
      <c r="A3" s="73" t="s">
        <v>46</v>
      </c>
      <c r="B3" s="73"/>
      <c r="C3" s="73"/>
      <c r="D3" s="81"/>
      <c r="E3" s="81"/>
      <c r="F3" s="82"/>
      <c r="G3" s="46" t="s">
        <v>122</v>
      </c>
      <c r="H3" s="81"/>
      <c r="I3" s="83">
        <v>-3.0804576138373085</v>
      </c>
      <c r="J3" s="83">
        <v>19.105169953011664</v>
      </c>
      <c r="K3" s="83">
        <v>-3.1918863793232579</v>
      </c>
      <c r="L3" s="83">
        <v>21.293009276761076</v>
      </c>
      <c r="M3" s="81"/>
      <c r="N3" s="81"/>
      <c r="O3" s="81"/>
      <c r="P3" s="84"/>
      <c r="Q3" s="84"/>
      <c r="R3" s="84"/>
      <c r="S3" s="84"/>
    </row>
    <row r="4" spans="1:21" x14ac:dyDescent="0.3">
      <c r="A4" s="32" t="s">
        <v>36</v>
      </c>
      <c r="B4" s="32" t="s">
        <v>4</v>
      </c>
      <c r="C4" s="32" t="s">
        <v>47</v>
      </c>
      <c r="D4" s="67" t="s">
        <v>139</v>
      </c>
      <c r="E4" s="67">
        <v>90</v>
      </c>
      <c r="F4" s="85">
        <v>2.82350842</v>
      </c>
      <c r="G4" s="86">
        <v>8894</v>
      </c>
      <c r="H4" s="23"/>
      <c r="I4" s="87">
        <v>-0.7551152971744135</v>
      </c>
      <c r="J4" s="87">
        <v>22.229999999999993</v>
      </c>
      <c r="K4" s="87">
        <v>-2.4639555768593113</v>
      </c>
      <c r="L4" s="87">
        <v>21.478899999999989</v>
      </c>
      <c r="M4" s="23"/>
      <c r="N4" s="87">
        <v>15.199678346239679</v>
      </c>
      <c r="O4" s="87">
        <v>16.386312395012752</v>
      </c>
      <c r="P4" s="6"/>
      <c r="Q4" s="85">
        <v>0.78</v>
      </c>
      <c r="R4" s="85">
        <v>1.2</v>
      </c>
      <c r="S4" s="85" t="s">
        <v>115</v>
      </c>
      <c r="T4" s="59"/>
      <c r="U4" s="59"/>
    </row>
    <row r="5" spans="1:21" x14ac:dyDescent="0.3">
      <c r="A5" s="32" t="s">
        <v>105</v>
      </c>
      <c r="B5" s="32" t="s">
        <v>2</v>
      </c>
      <c r="C5" s="32" t="s">
        <v>48</v>
      </c>
      <c r="D5" s="67" t="s">
        <v>139</v>
      </c>
      <c r="E5" s="67">
        <v>97</v>
      </c>
      <c r="F5" s="85">
        <v>6.9004335252999995</v>
      </c>
      <c r="G5" s="86">
        <v>12780</v>
      </c>
      <c r="H5" s="23"/>
      <c r="I5" s="87">
        <v>-4.1081345965370826</v>
      </c>
      <c r="J5" s="87">
        <v>17.409999999999993</v>
      </c>
      <c r="K5" s="87">
        <v>-3.5503124140621511</v>
      </c>
      <c r="L5" s="87">
        <v>20.649300000000004</v>
      </c>
      <c r="M5" s="23"/>
      <c r="N5" s="87">
        <v>14.636708988340391</v>
      </c>
      <c r="O5" s="87">
        <v>17.447724157759989</v>
      </c>
      <c r="P5" s="6"/>
      <c r="Q5" s="85">
        <v>0.79</v>
      </c>
      <c r="R5" s="85" t="s">
        <v>115</v>
      </c>
      <c r="S5" s="85">
        <v>1.1000000000000001</v>
      </c>
      <c r="T5" s="59"/>
      <c r="U5" s="59"/>
    </row>
    <row r="6" spans="1:21" x14ac:dyDescent="0.3">
      <c r="A6" s="32" t="s">
        <v>104</v>
      </c>
      <c r="B6" s="32" t="s">
        <v>1</v>
      </c>
      <c r="C6" s="32" t="s">
        <v>49</v>
      </c>
      <c r="D6" s="67" t="s">
        <v>139</v>
      </c>
      <c r="E6" s="67">
        <v>98</v>
      </c>
      <c r="F6" s="85">
        <v>9.2618676300000011</v>
      </c>
      <c r="G6" s="86">
        <v>14259</v>
      </c>
      <c r="H6" s="23"/>
      <c r="I6" s="87">
        <v>-2.8148740503798453</v>
      </c>
      <c r="J6" s="87">
        <v>21.530000000000005</v>
      </c>
      <c r="K6" s="87">
        <v>-2.6511952876088873</v>
      </c>
      <c r="L6" s="87">
        <v>22.890600000000006</v>
      </c>
      <c r="M6" s="23"/>
      <c r="N6" s="87">
        <v>16.214545892442203</v>
      </c>
      <c r="O6" s="87">
        <v>17.074726438039534</v>
      </c>
      <c r="P6" s="6"/>
      <c r="Q6" s="85">
        <v>0.79</v>
      </c>
      <c r="R6" s="85">
        <v>1.0900000000000001</v>
      </c>
      <c r="S6" s="85" t="s">
        <v>115</v>
      </c>
      <c r="T6" s="59"/>
      <c r="U6" s="59"/>
    </row>
    <row r="7" spans="1:21" x14ac:dyDescent="0.3">
      <c r="A7" s="32" t="s">
        <v>106</v>
      </c>
      <c r="B7" s="32" t="s">
        <v>3</v>
      </c>
      <c r="C7" s="32" t="s">
        <v>126</v>
      </c>
      <c r="D7" s="67" t="s">
        <v>139</v>
      </c>
      <c r="E7" s="67">
        <v>90</v>
      </c>
      <c r="F7" s="85">
        <v>21.694780530000003</v>
      </c>
      <c r="G7" s="86">
        <v>34509</v>
      </c>
      <c r="H7" s="23"/>
      <c r="I7" s="87">
        <v>-3.8927622841965603</v>
      </c>
      <c r="J7" s="87">
        <v>18.406790060333368</v>
      </c>
      <c r="K7" s="87">
        <v>-3.3952799151689916</v>
      </c>
      <c r="L7" s="87">
        <v>20.78481531726295</v>
      </c>
      <c r="M7" s="23"/>
      <c r="N7" s="87">
        <v>14.277089272422755</v>
      </c>
      <c r="O7" s="87">
        <v>15.261313616794062</v>
      </c>
      <c r="P7" s="6"/>
      <c r="Q7" s="85">
        <v>0.75</v>
      </c>
      <c r="R7" s="85">
        <v>0.92730000000000001</v>
      </c>
      <c r="S7" s="85" t="s">
        <v>115</v>
      </c>
      <c r="T7" s="59"/>
      <c r="U7" s="59"/>
    </row>
    <row r="8" spans="1:21" x14ac:dyDescent="0.3">
      <c r="A8" s="32" t="s">
        <v>37</v>
      </c>
      <c r="B8" s="32" t="s">
        <v>5</v>
      </c>
      <c r="C8" s="32" t="s">
        <v>50</v>
      </c>
      <c r="D8" s="67" t="s">
        <v>139</v>
      </c>
      <c r="E8" s="67">
        <v>90</v>
      </c>
      <c r="F8" s="85">
        <v>7.2058668899999994</v>
      </c>
      <c r="G8" s="86">
        <v>14631</v>
      </c>
      <c r="H8" s="23"/>
      <c r="I8" s="87">
        <v>-0.90323659780880972</v>
      </c>
      <c r="J8" s="87">
        <v>18.490000000000006</v>
      </c>
      <c r="K8" s="87">
        <v>-3.2164850743827689</v>
      </c>
      <c r="L8" s="87">
        <v>21.313199999999988</v>
      </c>
      <c r="M8" s="23"/>
      <c r="N8" s="87">
        <v>16.260940606631202</v>
      </c>
      <c r="O8" s="87">
        <v>17.299309962481129</v>
      </c>
      <c r="P8" s="6"/>
      <c r="Q8" s="85">
        <v>0.79</v>
      </c>
      <c r="R8" s="85" t="s">
        <v>115</v>
      </c>
      <c r="S8" s="85">
        <v>1.46</v>
      </c>
      <c r="T8" s="59"/>
      <c r="U8" s="59"/>
    </row>
    <row r="9" spans="1:21" s="47" customFormat="1" ht="18.600000000000001" customHeight="1" x14ac:dyDescent="0.3">
      <c r="A9" s="73" t="s">
        <v>51</v>
      </c>
      <c r="B9" s="73"/>
      <c r="C9" s="73"/>
      <c r="D9" s="81"/>
      <c r="E9" s="81"/>
      <c r="F9" s="82"/>
      <c r="G9" s="46" t="s">
        <v>122</v>
      </c>
      <c r="H9" s="81"/>
      <c r="I9" s="83">
        <v>-2.85084717281052</v>
      </c>
      <c r="J9" s="83">
        <v>19.389819197401621</v>
      </c>
      <c r="K9" s="83">
        <v>-3.1784683046370592</v>
      </c>
      <c r="L9" s="83">
        <v>21.302157973899632</v>
      </c>
      <c r="M9" s="81"/>
      <c r="N9" s="81"/>
      <c r="O9" s="81"/>
      <c r="P9" s="84"/>
      <c r="Q9" s="81"/>
      <c r="R9" s="81"/>
      <c r="S9" s="81"/>
      <c r="T9" s="59"/>
      <c r="U9" s="59"/>
    </row>
    <row r="10" spans="1:21" x14ac:dyDescent="0.3">
      <c r="A10" s="32" t="s">
        <v>36</v>
      </c>
      <c r="B10" s="32" t="s">
        <v>9</v>
      </c>
      <c r="C10" s="32" t="s">
        <v>52</v>
      </c>
      <c r="D10" s="67" t="s">
        <v>139</v>
      </c>
      <c r="E10" s="67">
        <v>90</v>
      </c>
      <c r="F10" s="85">
        <v>24.497875059999998</v>
      </c>
      <c r="G10" s="86">
        <v>18631</v>
      </c>
      <c r="H10" s="23"/>
      <c r="I10" s="87">
        <v>-1.2243574150652803</v>
      </c>
      <c r="J10" s="87">
        <v>21.819999999999993</v>
      </c>
      <c r="K10" s="87">
        <v>-2.4638752863360813</v>
      </c>
      <c r="L10" s="87">
        <v>21.479000000000003</v>
      </c>
      <c r="M10" s="23"/>
      <c r="N10" s="87">
        <v>15.183871444843744</v>
      </c>
      <c r="O10" s="87">
        <v>16.386306964793018</v>
      </c>
      <c r="P10" s="6"/>
      <c r="Q10" s="85">
        <v>0.78</v>
      </c>
      <c r="R10" s="85">
        <v>1.37</v>
      </c>
      <c r="S10" s="85" t="s">
        <v>115</v>
      </c>
      <c r="T10" s="59"/>
      <c r="U10" s="59"/>
    </row>
    <row r="11" spans="1:21" x14ac:dyDescent="0.3">
      <c r="A11" s="32" t="s">
        <v>105</v>
      </c>
      <c r="B11" s="32" t="s">
        <v>7</v>
      </c>
      <c r="C11" s="32" t="s">
        <v>53</v>
      </c>
      <c r="D11" s="67" t="s">
        <v>139</v>
      </c>
      <c r="E11" s="67">
        <v>97</v>
      </c>
      <c r="F11" s="85">
        <v>51.860682622799999</v>
      </c>
      <c r="G11" s="86">
        <v>33081</v>
      </c>
      <c r="H11" s="23"/>
      <c r="I11" s="87">
        <v>-4.2768527587332628</v>
      </c>
      <c r="J11" s="87">
        <v>17.280000000000008</v>
      </c>
      <c r="K11" s="87">
        <v>-3.5503124140621511</v>
      </c>
      <c r="L11" s="87">
        <v>20.649300000000004</v>
      </c>
      <c r="M11" s="23"/>
      <c r="N11" s="87">
        <v>14.963669948284835</v>
      </c>
      <c r="O11" s="87">
        <v>17.447724157759989</v>
      </c>
      <c r="P11" s="6"/>
      <c r="Q11" s="85">
        <v>0.79</v>
      </c>
      <c r="R11" s="85" t="s">
        <v>115</v>
      </c>
      <c r="S11" s="85">
        <v>1.08</v>
      </c>
      <c r="T11" s="59"/>
      <c r="U11" s="59"/>
    </row>
    <row r="12" spans="1:21" x14ac:dyDescent="0.3">
      <c r="A12" s="32" t="s">
        <v>104</v>
      </c>
      <c r="B12" s="32" t="s">
        <v>6</v>
      </c>
      <c r="C12" s="32" t="s">
        <v>54</v>
      </c>
      <c r="D12" s="67" t="s">
        <v>139</v>
      </c>
      <c r="E12" s="67">
        <v>98</v>
      </c>
      <c r="F12" s="85">
        <v>63.300053829999996</v>
      </c>
      <c r="G12" s="86">
        <v>40337</v>
      </c>
      <c r="H12" s="23"/>
      <c r="I12" s="87">
        <v>-2.5760747061664757</v>
      </c>
      <c r="J12" s="87">
        <v>21.019999999999996</v>
      </c>
      <c r="K12" s="87">
        <v>-2.6511952876088873</v>
      </c>
      <c r="L12" s="87">
        <v>22.890600000000006</v>
      </c>
      <c r="M12" s="23"/>
      <c r="N12" s="87">
        <v>16.094344929793866</v>
      </c>
      <c r="O12" s="87">
        <v>17.074726438039534</v>
      </c>
      <c r="P12" s="6"/>
      <c r="Q12" s="85">
        <v>0.79</v>
      </c>
      <c r="R12" s="85">
        <v>1.25</v>
      </c>
      <c r="S12" s="85" t="s">
        <v>115</v>
      </c>
      <c r="T12" s="59"/>
      <c r="U12" s="59"/>
    </row>
    <row r="13" spans="1:21" x14ac:dyDescent="0.3">
      <c r="A13" s="32" t="s">
        <v>106</v>
      </c>
      <c r="B13" s="32" t="s">
        <v>8</v>
      </c>
      <c r="C13" s="32" t="s">
        <v>127</v>
      </c>
      <c r="D13" s="67" t="s">
        <v>139</v>
      </c>
      <c r="E13" s="67">
        <v>90</v>
      </c>
      <c r="F13" s="85">
        <v>138.20203821999999</v>
      </c>
      <c r="G13" s="86">
        <v>88862</v>
      </c>
      <c r="H13" s="23"/>
      <c r="I13" s="87">
        <v>-3.3874323761964198</v>
      </c>
      <c r="J13" s="87">
        <v>19.707125915231515</v>
      </c>
      <c r="K13" s="87">
        <v>-3.3952799151689916</v>
      </c>
      <c r="L13" s="87">
        <v>20.78481531726295</v>
      </c>
      <c r="M13" s="23"/>
      <c r="N13" s="87">
        <v>14.255450012005772</v>
      </c>
      <c r="O13" s="87">
        <v>15.261313616794062</v>
      </c>
      <c r="P13" s="6"/>
      <c r="Q13" s="85">
        <v>0.75</v>
      </c>
      <c r="R13" s="85">
        <v>0.93179999999999996</v>
      </c>
      <c r="S13" s="85" t="s">
        <v>115</v>
      </c>
      <c r="T13" s="59"/>
      <c r="U13" s="59"/>
    </row>
    <row r="14" spans="1:21" x14ac:dyDescent="0.3">
      <c r="A14" s="32" t="s">
        <v>37</v>
      </c>
      <c r="B14" s="32" t="s">
        <v>10</v>
      </c>
      <c r="C14" s="32" t="s">
        <v>55</v>
      </c>
      <c r="D14" s="67" t="s">
        <v>139</v>
      </c>
      <c r="E14" s="67">
        <v>90</v>
      </c>
      <c r="F14" s="85">
        <v>42.99484211</v>
      </c>
      <c r="G14" s="86">
        <v>31690</v>
      </c>
      <c r="H14" s="23"/>
      <c r="I14" s="87">
        <v>-0.73728813559321704</v>
      </c>
      <c r="J14" s="87">
        <v>17.130000000000003</v>
      </c>
      <c r="K14" s="87">
        <v>-3.2164850743827689</v>
      </c>
      <c r="L14" s="87">
        <v>21.313199999999988</v>
      </c>
      <c r="M14" s="23"/>
      <c r="N14" s="87">
        <v>16.242846316391134</v>
      </c>
      <c r="O14" s="87">
        <v>17.299309962481129</v>
      </c>
      <c r="P14" s="6"/>
      <c r="Q14" s="85">
        <v>0.79</v>
      </c>
      <c r="R14" s="85" t="s">
        <v>115</v>
      </c>
      <c r="S14" s="85">
        <v>1.5</v>
      </c>
      <c r="T14" s="59"/>
      <c r="U14" s="59"/>
    </row>
    <row r="15" spans="1:21" s="47" customFormat="1" ht="18.600000000000001" customHeight="1" x14ac:dyDescent="0.3">
      <c r="A15" s="73" t="s">
        <v>56</v>
      </c>
      <c r="B15" s="73"/>
      <c r="C15" s="73"/>
      <c r="D15" s="81"/>
      <c r="E15" s="81"/>
      <c r="F15" s="82"/>
      <c r="G15" s="46" t="s">
        <v>122</v>
      </c>
      <c r="H15" s="81"/>
      <c r="I15" s="83">
        <v>-2.6599352580488351</v>
      </c>
      <c r="J15" s="83">
        <v>19.590652915773788</v>
      </c>
      <c r="K15" s="83">
        <v>-3.1189789585101648</v>
      </c>
      <c r="L15" s="83">
        <v>21.449531808470663</v>
      </c>
      <c r="M15" s="81"/>
      <c r="N15" s="81"/>
      <c r="O15" s="81"/>
      <c r="P15" s="84"/>
      <c r="Q15" s="81"/>
      <c r="R15" s="81"/>
      <c r="S15" s="81"/>
      <c r="T15" s="59"/>
      <c r="U15" s="59"/>
    </row>
    <row r="16" spans="1:21" x14ac:dyDescent="0.3">
      <c r="A16" s="32" t="s">
        <v>36</v>
      </c>
      <c r="B16" s="32" t="s">
        <v>14</v>
      </c>
      <c r="C16" s="32" t="s">
        <v>57</v>
      </c>
      <c r="D16" s="67" t="s">
        <v>139</v>
      </c>
      <c r="E16" s="67">
        <v>90</v>
      </c>
      <c r="F16" s="85">
        <v>59.603819829999999</v>
      </c>
      <c r="G16" s="86">
        <v>26779</v>
      </c>
      <c r="H16" s="23"/>
      <c r="I16" s="87">
        <v>-1.5600877549362013</v>
      </c>
      <c r="J16" s="87">
        <v>21.150000000000002</v>
      </c>
      <c r="K16" s="87">
        <v>-2.4638752863360813</v>
      </c>
      <c r="L16" s="87">
        <v>21.479000000000003</v>
      </c>
      <c r="M16" s="23"/>
      <c r="N16" s="87">
        <v>15.085455123669355</v>
      </c>
      <c r="O16" s="87">
        <v>16.386306964793018</v>
      </c>
      <c r="P16" s="6"/>
      <c r="Q16" s="85">
        <v>0.78</v>
      </c>
      <c r="R16" s="85">
        <v>1.5</v>
      </c>
      <c r="S16" s="85" t="s">
        <v>115</v>
      </c>
      <c r="T16" s="59"/>
      <c r="U16" s="59"/>
    </row>
    <row r="17" spans="1:24" x14ac:dyDescent="0.3">
      <c r="A17" s="32" t="s">
        <v>105</v>
      </c>
      <c r="B17" s="32" t="s">
        <v>12</v>
      </c>
      <c r="C17" s="32" t="s">
        <v>58</v>
      </c>
      <c r="D17" s="67" t="s">
        <v>139</v>
      </c>
      <c r="E17" s="67">
        <v>97</v>
      </c>
      <c r="F17" s="85">
        <v>114.4872197926</v>
      </c>
      <c r="G17" s="86">
        <v>42317</v>
      </c>
      <c r="H17" s="23"/>
      <c r="I17" s="87">
        <v>-4.2986981085728289</v>
      </c>
      <c r="J17" s="87">
        <v>16.880000000000006</v>
      </c>
      <c r="K17" s="87">
        <v>-3.5503124140621511</v>
      </c>
      <c r="L17" s="87">
        <v>20.649300000000004</v>
      </c>
      <c r="M17" s="23"/>
      <c r="N17" s="87">
        <v>14.858226649099821</v>
      </c>
      <c r="O17" s="87">
        <v>17.447724157759989</v>
      </c>
      <c r="P17" s="6"/>
      <c r="Q17" s="85">
        <v>0.79</v>
      </c>
      <c r="R17" s="85" t="s">
        <v>115</v>
      </c>
      <c r="S17" s="85">
        <v>1.0900000000000001</v>
      </c>
      <c r="T17" s="59"/>
      <c r="U17" s="59"/>
    </row>
    <row r="18" spans="1:24" x14ac:dyDescent="0.3">
      <c r="A18" s="32" t="s">
        <v>104</v>
      </c>
      <c r="B18" s="32" t="s">
        <v>11</v>
      </c>
      <c r="C18" s="32" t="s">
        <v>59</v>
      </c>
      <c r="D18" s="67" t="s">
        <v>139</v>
      </c>
      <c r="E18" s="67">
        <v>98</v>
      </c>
      <c r="F18" s="85">
        <v>178.17777849999999</v>
      </c>
      <c r="G18" s="86">
        <v>70254</v>
      </c>
      <c r="H18" s="23"/>
      <c r="I18" s="87">
        <v>-2.3920747422680466</v>
      </c>
      <c r="J18" s="87">
        <v>21.189999999999998</v>
      </c>
      <c r="K18" s="87">
        <v>-2.6511952876088873</v>
      </c>
      <c r="L18" s="87">
        <v>22.890600000000006</v>
      </c>
      <c r="M18" s="23"/>
      <c r="N18" s="87">
        <v>16.029568505195705</v>
      </c>
      <c r="O18" s="87">
        <v>17.074726438039534</v>
      </c>
      <c r="P18" s="6"/>
      <c r="Q18" s="85">
        <v>0.79</v>
      </c>
      <c r="R18" s="85">
        <v>1.23</v>
      </c>
      <c r="S18" s="85" t="s">
        <v>115</v>
      </c>
      <c r="T18" s="59"/>
      <c r="U18" s="59"/>
    </row>
    <row r="19" spans="1:24" x14ac:dyDescent="0.3">
      <c r="A19" s="32" t="s">
        <v>106</v>
      </c>
      <c r="B19" s="32" t="s">
        <v>13</v>
      </c>
      <c r="C19" s="32" t="s">
        <v>128</v>
      </c>
      <c r="D19" s="67" t="s">
        <v>139</v>
      </c>
      <c r="E19" s="67">
        <v>90</v>
      </c>
      <c r="F19" s="85">
        <v>232.83504734000002</v>
      </c>
      <c r="G19" s="86">
        <v>106015</v>
      </c>
      <c r="H19" s="23"/>
      <c r="I19" s="87">
        <v>-3.173413293353311</v>
      </c>
      <c r="J19" s="87">
        <v>20.030975735673717</v>
      </c>
      <c r="K19" s="87">
        <v>-3.3952799151689916</v>
      </c>
      <c r="L19" s="87">
        <v>20.78481531726295</v>
      </c>
      <c r="M19" s="23"/>
      <c r="N19" s="87">
        <v>14.272380135758873</v>
      </c>
      <c r="O19" s="87">
        <v>15.261313616794062</v>
      </c>
      <c r="P19" s="6"/>
      <c r="Q19" s="85">
        <v>0.75</v>
      </c>
      <c r="R19" s="85">
        <v>0.92930000000000001</v>
      </c>
      <c r="S19" s="85" t="s">
        <v>115</v>
      </c>
      <c r="T19" s="59"/>
      <c r="U19" s="59"/>
    </row>
    <row r="20" spans="1:24" x14ac:dyDescent="0.3">
      <c r="A20" s="32" t="s">
        <v>37</v>
      </c>
      <c r="B20" s="32" t="s">
        <v>15</v>
      </c>
      <c r="C20" s="32" t="s">
        <v>60</v>
      </c>
      <c r="D20" s="67" t="s">
        <v>139</v>
      </c>
      <c r="E20" s="67">
        <v>90</v>
      </c>
      <c r="F20" s="85">
        <v>89.026437110000003</v>
      </c>
      <c r="G20" s="86">
        <v>44663</v>
      </c>
      <c r="H20" s="23"/>
      <c r="I20" s="87">
        <v>-0.48202959830867531</v>
      </c>
      <c r="J20" s="87">
        <v>17.680000000000007</v>
      </c>
      <c r="K20" s="87">
        <v>-3.2164850743827689</v>
      </c>
      <c r="L20" s="87">
        <v>21.313199999999988</v>
      </c>
      <c r="M20" s="23"/>
      <c r="N20" s="87">
        <v>16.240887723842306</v>
      </c>
      <c r="O20" s="87">
        <v>17.299309962481129</v>
      </c>
      <c r="P20" s="6"/>
      <c r="Q20" s="85">
        <v>0.79</v>
      </c>
      <c r="R20" s="85" t="s">
        <v>115</v>
      </c>
      <c r="S20" s="85">
        <v>1.52</v>
      </c>
      <c r="T20" s="59"/>
      <c r="U20" s="59"/>
    </row>
    <row r="21" spans="1:24" s="47" customFormat="1" ht="18.600000000000001" customHeight="1" x14ac:dyDescent="0.3">
      <c r="A21" s="73" t="s">
        <v>61</v>
      </c>
      <c r="B21" s="73"/>
      <c r="C21" s="73"/>
      <c r="D21" s="81"/>
      <c r="E21" s="81"/>
      <c r="F21" s="82"/>
      <c r="G21" s="46" t="s">
        <v>122</v>
      </c>
      <c r="H21" s="81"/>
      <c r="I21" s="83">
        <v>-2.6508505580417077</v>
      </c>
      <c r="J21" s="83">
        <v>20.413097355266121</v>
      </c>
      <c r="K21" s="83">
        <v>-3.1051419433878107</v>
      </c>
      <c r="L21" s="83">
        <v>22.448543875752385</v>
      </c>
      <c r="M21" s="81"/>
      <c r="N21" s="81"/>
      <c r="O21" s="81"/>
      <c r="P21" s="84"/>
      <c r="Q21" s="81"/>
      <c r="R21" s="81"/>
      <c r="S21" s="81"/>
      <c r="T21" s="59"/>
      <c r="U21" s="59"/>
      <c r="V21" s="72"/>
      <c r="W21" s="72"/>
    </row>
    <row r="22" spans="1:24" x14ac:dyDescent="0.3">
      <c r="A22" s="32" t="s">
        <v>36</v>
      </c>
      <c r="B22" s="32" t="s">
        <v>19</v>
      </c>
      <c r="C22" s="32" t="s">
        <v>62</v>
      </c>
      <c r="D22" s="67" t="s">
        <v>139</v>
      </c>
      <c r="E22" s="67">
        <v>90</v>
      </c>
      <c r="F22" s="85">
        <v>78.905635369999999</v>
      </c>
      <c r="G22" s="86">
        <v>21965</v>
      </c>
      <c r="H22" s="23"/>
      <c r="I22" s="87">
        <v>-1.4832925835370769</v>
      </c>
      <c r="J22" s="87">
        <v>20.88000000000001</v>
      </c>
      <c r="K22" s="87">
        <v>-2.4638752863360813</v>
      </c>
      <c r="L22" s="87">
        <v>21.479000000000003</v>
      </c>
      <c r="M22" s="23"/>
      <c r="N22" s="87">
        <v>15.016280653178626</v>
      </c>
      <c r="O22" s="87">
        <v>16.386306964793018</v>
      </c>
      <c r="P22" s="6"/>
      <c r="Q22" s="85">
        <v>0.78</v>
      </c>
      <c r="R22" s="85">
        <v>1.51</v>
      </c>
      <c r="S22" s="85" t="s">
        <v>115</v>
      </c>
      <c r="T22" s="59"/>
      <c r="U22" s="59"/>
      <c r="V22" s="48"/>
      <c r="W22" s="48"/>
      <c r="X22" s="47"/>
    </row>
    <row r="23" spans="1:24" x14ac:dyDescent="0.3">
      <c r="A23" s="32" t="s">
        <v>105</v>
      </c>
      <c r="B23" s="32" t="s">
        <v>17</v>
      </c>
      <c r="C23" s="32" t="s">
        <v>63</v>
      </c>
      <c r="D23" s="67" t="s">
        <v>139</v>
      </c>
      <c r="E23" s="67">
        <v>97</v>
      </c>
      <c r="F23" s="85">
        <v>130.3782217689</v>
      </c>
      <c r="G23" s="86">
        <v>27136</v>
      </c>
      <c r="H23" s="23"/>
      <c r="I23" s="87">
        <v>-4.3662430759205062</v>
      </c>
      <c r="J23" s="87">
        <v>17.399999999999991</v>
      </c>
      <c r="K23" s="87">
        <v>-3.5503124140621511</v>
      </c>
      <c r="L23" s="87">
        <v>20.649300000000004</v>
      </c>
      <c r="M23" s="23"/>
      <c r="N23" s="87">
        <v>14.958972276259995</v>
      </c>
      <c r="O23" s="87">
        <v>17.447724157759989</v>
      </c>
      <c r="P23" s="6"/>
      <c r="Q23" s="85">
        <v>0.79</v>
      </c>
      <c r="R23" s="85" t="s">
        <v>115</v>
      </c>
      <c r="S23" s="85">
        <v>1.0900000000000001</v>
      </c>
      <c r="T23" s="59"/>
      <c r="U23" s="59"/>
      <c r="V23" s="48"/>
      <c r="W23" s="48"/>
      <c r="X23" s="47"/>
    </row>
    <row r="24" spans="1:24" x14ac:dyDescent="0.3">
      <c r="A24" s="32" t="s">
        <v>104</v>
      </c>
      <c r="B24" s="32" t="s">
        <v>16</v>
      </c>
      <c r="C24" s="32" t="s">
        <v>64</v>
      </c>
      <c r="D24" s="67" t="s">
        <v>139</v>
      </c>
      <c r="E24" s="67">
        <v>98</v>
      </c>
      <c r="F24" s="85">
        <v>253.90988808</v>
      </c>
      <c r="G24" s="86">
        <v>61381</v>
      </c>
      <c r="H24" s="23"/>
      <c r="I24" s="87">
        <v>-2.358230144333151</v>
      </c>
      <c r="J24" s="87">
        <v>23.799999999999997</v>
      </c>
      <c r="K24" s="87">
        <v>-2.6513665968337041</v>
      </c>
      <c r="L24" s="87">
        <v>26.344800000000014</v>
      </c>
      <c r="M24" s="23"/>
      <c r="N24" s="87">
        <v>16.506779456141761</v>
      </c>
      <c r="O24" s="87">
        <v>17.700487701962267</v>
      </c>
      <c r="P24" s="6"/>
      <c r="Q24" s="85">
        <v>0.79</v>
      </c>
      <c r="R24" s="85">
        <v>1.24</v>
      </c>
      <c r="S24" s="85" t="s">
        <v>115</v>
      </c>
      <c r="T24" s="59"/>
      <c r="U24" s="59"/>
    </row>
    <row r="25" spans="1:24" x14ac:dyDescent="0.3">
      <c r="A25" s="32" t="s">
        <v>106</v>
      </c>
      <c r="B25" s="32" t="s">
        <v>18</v>
      </c>
      <c r="C25" s="32" t="s">
        <v>129</v>
      </c>
      <c r="D25" s="67" t="s">
        <v>139</v>
      </c>
      <c r="E25" s="67">
        <v>90</v>
      </c>
      <c r="F25" s="85">
        <v>324.97999716000004</v>
      </c>
      <c r="G25" s="86">
        <v>97189</v>
      </c>
      <c r="H25" s="23"/>
      <c r="I25" s="87">
        <v>-3.2134212503129977</v>
      </c>
      <c r="J25" s="87">
        <v>20.041407867494819</v>
      </c>
      <c r="K25" s="87">
        <v>-3.3952799151689916</v>
      </c>
      <c r="L25" s="87">
        <v>20.78481531726295</v>
      </c>
      <c r="M25" s="23"/>
      <c r="N25" s="87">
        <v>14.33507838533237</v>
      </c>
      <c r="O25" s="87">
        <v>15.261313616794062</v>
      </c>
      <c r="P25" s="6"/>
      <c r="Q25" s="85">
        <v>0.75</v>
      </c>
      <c r="R25" s="85">
        <v>0.92930000000000001</v>
      </c>
      <c r="S25" s="85" t="s">
        <v>115</v>
      </c>
      <c r="T25" s="59"/>
      <c r="U25" s="59"/>
    </row>
    <row r="26" spans="1:24" x14ac:dyDescent="0.3">
      <c r="A26" s="32" t="s">
        <v>37</v>
      </c>
      <c r="B26" s="32" t="s">
        <v>20</v>
      </c>
      <c r="C26" s="32" t="s">
        <v>65</v>
      </c>
      <c r="D26" s="67" t="s">
        <v>139</v>
      </c>
      <c r="E26" s="67">
        <v>90</v>
      </c>
      <c r="F26" s="85">
        <v>121.13929936</v>
      </c>
      <c r="G26" s="86">
        <v>39621</v>
      </c>
      <c r="H26" s="23"/>
      <c r="I26" s="87">
        <v>-0.66926465604878471</v>
      </c>
      <c r="J26" s="87">
        <v>17.250000000000011</v>
      </c>
      <c r="K26" s="87">
        <v>-3.2164850743827689</v>
      </c>
      <c r="L26" s="87">
        <v>21.313199999999988</v>
      </c>
      <c r="M26" s="23"/>
      <c r="N26" s="87">
        <v>16.33764496973016</v>
      </c>
      <c r="O26" s="87">
        <v>17.299309962481129</v>
      </c>
      <c r="P26" s="6"/>
      <c r="Q26" s="85">
        <v>0.79</v>
      </c>
      <c r="R26" s="85" t="s">
        <v>115</v>
      </c>
      <c r="S26" s="85">
        <v>1.52</v>
      </c>
      <c r="T26" s="59"/>
      <c r="U26" s="59"/>
    </row>
    <row r="27" spans="1:24" s="47" customFormat="1" ht="18.600000000000001" customHeight="1" x14ac:dyDescent="0.3">
      <c r="A27" s="73" t="s">
        <v>66</v>
      </c>
      <c r="B27" s="73"/>
      <c r="C27" s="73"/>
      <c r="D27" s="81"/>
      <c r="E27" s="81"/>
      <c r="F27" s="82"/>
      <c r="G27" s="46" t="s">
        <v>122</v>
      </c>
      <c r="H27" s="81"/>
      <c r="I27" s="83">
        <v>-2.5632473011602737</v>
      </c>
      <c r="J27" s="83">
        <v>19.216649452768824</v>
      </c>
      <c r="K27" s="83">
        <v>-2.7020293313447143</v>
      </c>
      <c r="L27" s="83">
        <v>21.294922715431422</v>
      </c>
      <c r="M27" s="81"/>
      <c r="N27" s="81"/>
      <c r="O27" s="81"/>
      <c r="P27" s="84"/>
      <c r="Q27" s="81"/>
      <c r="R27" s="81"/>
      <c r="S27" s="81"/>
      <c r="T27" s="59"/>
      <c r="U27" s="59"/>
    </row>
    <row r="28" spans="1:24" x14ac:dyDescent="0.3">
      <c r="A28" s="32" t="s">
        <v>36</v>
      </c>
      <c r="B28" s="32" t="s">
        <v>24</v>
      </c>
      <c r="C28" s="32" t="s">
        <v>67</v>
      </c>
      <c r="D28" s="67" t="s">
        <v>139</v>
      </c>
      <c r="E28" s="67">
        <v>90</v>
      </c>
      <c r="F28" s="85">
        <v>81.398696889999997</v>
      </c>
      <c r="G28" s="86">
        <v>20496</v>
      </c>
      <c r="H28" s="23"/>
      <c r="I28" s="87">
        <v>-1.5975995458600289</v>
      </c>
      <c r="J28" s="87">
        <v>21.340000000000003</v>
      </c>
      <c r="K28" s="87">
        <v>-2.4638752863360813</v>
      </c>
      <c r="L28" s="87">
        <v>21.479000000000003</v>
      </c>
      <c r="M28" s="23"/>
      <c r="N28" s="87">
        <v>15.096652544638175</v>
      </c>
      <c r="O28" s="87">
        <v>16.386306964793018</v>
      </c>
      <c r="P28" s="6"/>
      <c r="Q28" s="85">
        <v>0.78</v>
      </c>
      <c r="R28" s="85">
        <v>1.56</v>
      </c>
      <c r="S28" s="85" t="s">
        <v>115</v>
      </c>
      <c r="T28" s="59"/>
      <c r="U28" s="59"/>
    </row>
    <row r="29" spans="1:24" x14ac:dyDescent="0.3">
      <c r="A29" s="32" t="s">
        <v>105</v>
      </c>
      <c r="B29" s="32" t="s">
        <v>22</v>
      </c>
      <c r="C29" s="32" t="s">
        <v>68</v>
      </c>
      <c r="D29" s="67" t="s">
        <v>139</v>
      </c>
      <c r="E29" s="88">
        <v>82.922500000000014</v>
      </c>
      <c r="F29" s="85">
        <v>120.39782167649999</v>
      </c>
      <c r="G29" s="86">
        <v>22925</v>
      </c>
      <c r="H29" s="23"/>
      <c r="I29" s="87">
        <v>-3.8584681060668147</v>
      </c>
      <c r="J29" s="87">
        <v>17.110000000000003</v>
      </c>
      <c r="K29" s="87">
        <v>-2.8689869772141496</v>
      </c>
      <c r="L29" s="87">
        <v>20.738900000000005</v>
      </c>
      <c r="M29" s="23"/>
      <c r="N29" s="87">
        <v>13.756753451799216</v>
      </c>
      <c r="O29" s="87">
        <v>16.186633784717092</v>
      </c>
      <c r="P29" s="6"/>
      <c r="Q29" s="85">
        <v>0.79</v>
      </c>
      <c r="R29" s="85" t="s">
        <v>115</v>
      </c>
      <c r="S29" s="85">
        <v>1.08</v>
      </c>
      <c r="T29" s="59"/>
      <c r="U29" s="59"/>
    </row>
    <row r="30" spans="1:24" x14ac:dyDescent="0.3">
      <c r="A30" s="32" t="s">
        <v>104</v>
      </c>
      <c r="B30" s="32" t="s">
        <v>21</v>
      </c>
      <c r="C30" s="32" t="s">
        <v>69</v>
      </c>
      <c r="D30" s="67" t="s">
        <v>139</v>
      </c>
      <c r="E30" s="67">
        <v>87.9</v>
      </c>
      <c r="F30" s="85">
        <v>241.85908219000001</v>
      </c>
      <c r="G30" s="86">
        <v>52569</v>
      </c>
      <c r="H30" s="23"/>
      <c r="I30" s="87">
        <v>-2.1355767675133475</v>
      </c>
      <c r="J30" s="87">
        <v>20.979999999999997</v>
      </c>
      <c r="K30" s="87">
        <v>-1.9103969572999202</v>
      </c>
      <c r="L30" s="87">
        <v>22.761099999999999</v>
      </c>
      <c r="M30" s="23"/>
      <c r="N30" s="87">
        <v>15.243864495450532</v>
      </c>
      <c r="O30" s="87">
        <v>15.694596459106128</v>
      </c>
      <c r="P30" s="6"/>
      <c r="Q30" s="85">
        <v>0.79</v>
      </c>
      <c r="R30" s="85">
        <v>1.2</v>
      </c>
      <c r="S30" s="85" t="s">
        <v>115</v>
      </c>
      <c r="T30" s="59"/>
      <c r="U30" s="59"/>
    </row>
    <row r="31" spans="1:24" x14ac:dyDescent="0.3">
      <c r="A31" s="32" t="s">
        <v>106</v>
      </c>
      <c r="B31" s="32" t="s">
        <v>23</v>
      </c>
      <c r="C31" s="32" t="s">
        <v>130</v>
      </c>
      <c r="D31" s="67" t="s">
        <v>139</v>
      </c>
      <c r="E31" s="67">
        <v>90</v>
      </c>
      <c r="F31" s="85">
        <v>347.52563864000001</v>
      </c>
      <c r="G31" s="86">
        <v>95619</v>
      </c>
      <c r="H31" s="23"/>
      <c r="I31" s="87">
        <v>-3.1608717351522264</v>
      </c>
      <c r="J31" s="87">
        <v>20.119686339248855</v>
      </c>
      <c r="K31" s="87">
        <v>-3.3952799151689916</v>
      </c>
      <c r="L31" s="87">
        <v>20.78481531726295</v>
      </c>
      <c r="M31" s="23"/>
      <c r="N31" s="87">
        <v>14.32156275738766</v>
      </c>
      <c r="O31" s="87">
        <v>15.261313616794062</v>
      </c>
      <c r="P31" s="6"/>
      <c r="Q31" s="85">
        <v>0.75</v>
      </c>
      <c r="R31" s="85">
        <v>0.92949999999999999</v>
      </c>
      <c r="S31" s="85" t="s">
        <v>115</v>
      </c>
      <c r="T31" s="59"/>
      <c r="U31" s="59"/>
    </row>
    <row r="32" spans="1:24" x14ac:dyDescent="0.3">
      <c r="A32" s="32" t="s">
        <v>37</v>
      </c>
      <c r="B32" s="32" t="s">
        <v>25</v>
      </c>
      <c r="C32" s="32" t="s">
        <v>70</v>
      </c>
      <c r="D32" s="67" t="s">
        <v>139</v>
      </c>
      <c r="E32" s="67">
        <v>78</v>
      </c>
      <c r="F32" s="85">
        <v>141.93297444999999</v>
      </c>
      <c r="G32" s="86">
        <v>40480</v>
      </c>
      <c r="H32" s="23"/>
      <c r="I32" s="87">
        <v>-1.2838187144580515</v>
      </c>
      <c r="J32" s="87">
        <v>14.569999999999993</v>
      </c>
      <c r="K32" s="87">
        <v>-2.3485189465360934</v>
      </c>
      <c r="L32" s="87">
        <v>20.411599999999996</v>
      </c>
      <c r="M32" s="23"/>
      <c r="N32" s="87">
        <v>14.782780060902454</v>
      </c>
      <c r="O32" s="87">
        <v>15.203157295224187</v>
      </c>
      <c r="P32" s="6"/>
      <c r="Q32" s="85">
        <v>0.79</v>
      </c>
      <c r="R32" s="85" t="s">
        <v>115</v>
      </c>
      <c r="S32" s="85">
        <v>1.48</v>
      </c>
      <c r="T32" s="59"/>
      <c r="U32" s="59"/>
    </row>
    <row r="33" spans="1:21" s="47" customFormat="1" ht="18.600000000000001" customHeight="1" x14ac:dyDescent="0.3">
      <c r="A33" s="73" t="s">
        <v>71</v>
      </c>
      <c r="B33" s="73"/>
      <c r="C33" s="73"/>
      <c r="D33" s="81"/>
      <c r="E33" s="81"/>
      <c r="F33" s="82"/>
      <c r="G33" s="46" t="s">
        <v>122</v>
      </c>
      <c r="H33" s="81"/>
      <c r="I33" s="83">
        <v>-1.0248687323773806</v>
      </c>
      <c r="J33" s="83">
        <v>13.994504675465272</v>
      </c>
      <c r="K33" s="83">
        <v>-0.89980429408770768</v>
      </c>
      <c r="L33" s="83">
        <v>16.030191497561155</v>
      </c>
      <c r="M33" s="81"/>
      <c r="N33" s="81"/>
      <c r="O33" s="81"/>
      <c r="P33" s="84"/>
      <c r="Q33" s="81"/>
      <c r="R33" s="81"/>
      <c r="S33" s="81"/>
      <c r="T33" s="59"/>
      <c r="U33" s="59"/>
    </row>
    <row r="34" spans="1:21" x14ac:dyDescent="0.3">
      <c r="A34" s="32" t="s">
        <v>36</v>
      </c>
      <c r="B34" s="32" t="s">
        <v>27</v>
      </c>
      <c r="C34" s="32" t="s">
        <v>72</v>
      </c>
      <c r="D34" s="67" t="s">
        <v>139</v>
      </c>
      <c r="E34" s="67">
        <v>55.000000000000007</v>
      </c>
      <c r="F34" s="85">
        <v>73.192578769999997</v>
      </c>
      <c r="G34" s="86">
        <v>18757</v>
      </c>
      <c r="H34" s="23"/>
      <c r="I34" s="87">
        <v>-0.19673252929603979</v>
      </c>
      <c r="J34" s="87">
        <v>16.680000000000007</v>
      </c>
      <c r="K34" s="87">
        <v>-1.4945608883686679</v>
      </c>
      <c r="L34" s="87">
        <v>17.4833</v>
      </c>
      <c r="M34" s="23"/>
      <c r="N34" s="87">
        <v>11.35503497389162</v>
      </c>
      <c r="O34" s="87">
        <v>11.901777629754665</v>
      </c>
      <c r="P34" s="6"/>
      <c r="Q34" s="85">
        <v>0.78</v>
      </c>
      <c r="R34" s="85">
        <v>1.53</v>
      </c>
      <c r="S34" s="85" t="s">
        <v>115</v>
      </c>
      <c r="T34" s="59"/>
      <c r="U34" s="59"/>
    </row>
    <row r="35" spans="1:21" x14ac:dyDescent="0.3">
      <c r="A35" s="32" t="s">
        <v>105</v>
      </c>
      <c r="B35" s="32" t="s">
        <v>29</v>
      </c>
      <c r="C35" s="32" t="s">
        <v>73</v>
      </c>
      <c r="D35" s="67" t="s">
        <v>139</v>
      </c>
      <c r="E35" s="88">
        <v>47.1</v>
      </c>
      <c r="F35" s="85">
        <v>88.60533966429999</v>
      </c>
      <c r="G35" s="86">
        <v>18102</v>
      </c>
      <c r="H35" s="23"/>
      <c r="I35" s="87">
        <v>-2.4360641525791094</v>
      </c>
      <c r="J35" s="87">
        <v>12.539999999999996</v>
      </c>
      <c r="K35" s="87">
        <v>-1.0493966546579192</v>
      </c>
      <c r="L35" s="87">
        <v>15.687899999999999</v>
      </c>
      <c r="M35" s="23"/>
      <c r="N35" s="87">
        <v>10.119487917181305</v>
      </c>
      <c r="O35" s="87">
        <v>11.377160927239185</v>
      </c>
      <c r="P35" s="6"/>
      <c r="Q35" s="85">
        <v>0.79</v>
      </c>
      <c r="R35" s="85" t="s">
        <v>115</v>
      </c>
      <c r="S35" s="85">
        <v>0.97</v>
      </c>
      <c r="T35" s="59"/>
      <c r="U35" s="59"/>
    </row>
    <row r="36" spans="1:21" x14ac:dyDescent="0.3">
      <c r="A36" s="32" t="s">
        <v>104</v>
      </c>
      <c r="B36" s="32" t="s">
        <v>28</v>
      </c>
      <c r="C36" s="32" t="s">
        <v>74</v>
      </c>
      <c r="D36" s="67" t="s">
        <v>139</v>
      </c>
      <c r="E36" s="67">
        <v>53.800000000000004</v>
      </c>
      <c r="F36" s="85">
        <v>209.38697949000002</v>
      </c>
      <c r="G36" s="86">
        <v>46615</v>
      </c>
      <c r="H36" s="23"/>
      <c r="I36" s="87">
        <v>-1.4114811945950545</v>
      </c>
      <c r="J36" s="87">
        <v>14.549999999999997</v>
      </c>
      <c r="K36" s="87">
        <v>-0.37810623540943666</v>
      </c>
      <c r="L36" s="87">
        <v>17.694699999999997</v>
      </c>
      <c r="M36" s="23"/>
      <c r="N36" s="87">
        <v>11.198268081416364</v>
      </c>
      <c r="O36" s="87">
        <v>11.137537925121437</v>
      </c>
      <c r="P36" s="6"/>
      <c r="Q36" s="85">
        <v>0.79</v>
      </c>
      <c r="R36" s="85">
        <v>1.1399999999999999</v>
      </c>
      <c r="S36" s="85" t="s">
        <v>115</v>
      </c>
      <c r="T36" s="59"/>
      <c r="U36" s="59"/>
    </row>
    <row r="37" spans="1:21" x14ac:dyDescent="0.3">
      <c r="A37" s="32" t="s">
        <v>106</v>
      </c>
      <c r="B37" s="32" t="s">
        <v>26</v>
      </c>
      <c r="C37" s="32" t="s">
        <v>131</v>
      </c>
      <c r="D37" s="67" t="s">
        <v>139</v>
      </c>
      <c r="E37" s="67">
        <v>54.999999999999986</v>
      </c>
      <c r="F37" s="85">
        <v>304.15250257999998</v>
      </c>
      <c r="G37" s="86">
        <v>84944</v>
      </c>
      <c r="H37" s="23"/>
      <c r="I37" s="87">
        <v>-1.2589613568805724</v>
      </c>
      <c r="J37" s="87">
        <v>15.244897959183668</v>
      </c>
      <c r="K37" s="87">
        <v>-1.3430526969911982</v>
      </c>
      <c r="L37" s="87">
        <v>16.703959894313837</v>
      </c>
      <c r="M37" s="23"/>
      <c r="N37" s="87">
        <v>9.8714229046038042</v>
      </c>
      <c r="O37" s="87">
        <v>10.843566121406221</v>
      </c>
      <c r="P37" s="6"/>
      <c r="Q37" s="85">
        <v>0.75</v>
      </c>
      <c r="R37" s="85">
        <v>0.85170000000000001</v>
      </c>
      <c r="S37" s="85" t="s">
        <v>115</v>
      </c>
      <c r="T37" s="59"/>
      <c r="U37" s="59"/>
    </row>
    <row r="38" spans="1:21" x14ac:dyDescent="0.3">
      <c r="A38" s="32" t="s">
        <v>37</v>
      </c>
      <c r="B38" s="32" t="s">
        <v>30</v>
      </c>
      <c r="C38" s="32" t="s">
        <v>75</v>
      </c>
      <c r="D38" s="67" t="s">
        <v>139</v>
      </c>
      <c r="E38" s="67">
        <v>39</v>
      </c>
      <c r="F38" s="85">
        <v>147.16507856999999</v>
      </c>
      <c r="G38" s="86">
        <v>39752</v>
      </c>
      <c r="H38" s="23"/>
      <c r="I38" s="87">
        <v>0.44679493024526451</v>
      </c>
      <c r="J38" s="87">
        <v>10.159999999999991</v>
      </c>
      <c r="K38" s="87">
        <v>-0.34012816785602418</v>
      </c>
      <c r="L38" s="87">
        <v>11.752799999999986</v>
      </c>
      <c r="M38" s="23"/>
      <c r="N38" s="87">
        <v>7.8375398254491291</v>
      </c>
      <c r="O38" s="87">
        <v>7.7074625483815868</v>
      </c>
      <c r="P38" s="6"/>
      <c r="Q38" s="85">
        <v>0.79</v>
      </c>
      <c r="R38" s="85" t="s">
        <v>115</v>
      </c>
      <c r="S38" s="85">
        <v>1.17</v>
      </c>
      <c r="T38" s="59"/>
      <c r="U38" s="59"/>
    </row>
    <row r="39" spans="1:21" s="47" customFormat="1" ht="18.600000000000001" customHeight="1" x14ac:dyDescent="0.3">
      <c r="A39" s="73" t="s">
        <v>76</v>
      </c>
      <c r="B39" s="73"/>
      <c r="C39" s="73"/>
      <c r="D39" s="81"/>
      <c r="E39" s="81"/>
      <c r="F39" s="82"/>
      <c r="G39" s="46" t="s">
        <v>122</v>
      </c>
      <c r="H39" s="81"/>
      <c r="I39" s="83">
        <v>4.8228120704972441E-2</v>
      </c>
      <c r="J39" s="83">
        <v>7.9033981689836601</v>
      </c>
      <c r="K39" s="83">
        <v>0.35951563089611183</v>
      </c>
      <c r="L39" s="83">
        <v>10.280154170694894</v>
      </c>
      <c r="M39" s="81"/>
      <c r="N39" s="81"/>
      <c r="O39" s="81"/>
      <c r="P39" s="84"/>
      <c r="Q39" s="81"/>
      <c r="R39" s="81"/>
      <c r="S39" s="81"/>
      <c r="T39" s="59"/>
      <c r="U39" s="59"/>
    </row>
    <row r="40" spans="1:21" x14ac:dyDescent="0.3">
      <c r="A40" s="32" t="s">
        <v>36</v>
      </c>
      <c r="B40" s="32" t="s">
        <v>32</v>
      </c>
      <c r="C40" s="32" t="s">
        <v>77</v>
      </c>
      <c r="D40" s="67" t="s">
        <v>139</v>
      </c>
      <c r="E40" s="67">
        <v>20</v>
      </c>
      <c r="F40" s="85">
        <v>32.260853390000001</v>
      </c>
      <c r="G40" s="86">
        <v>8493</v>
      </c>
      <c r="H40" s="23"/>
      <c r="I40" s="87">
        <v>-0.50283415615286486</v>
      </c>
      <c r="J40" s="87">
        <v>8.8300000000000054</v>
      </c>
      <c r="K40" s="87">
        <v>-0.17589139942270071</v>
      </c>
      <c r="L40" s="87">
        <v>13.0525</v>
      </c>
      <c r="M40" s="23"/>
      <c r="N40" s="87">
        <v>7.5176528595650414</v>
      </c>
      <c r="O40" s="87">
        <v>7.858109328448033</v>
      </c>
      <c r="P40" s="6"/>
      <c r="Q40" s="85">
        <v>0.78</v>
      </c>
      <c r="R40" s="85">
        <v>1.5</v>
      </c>
      <c r="S40" s="85" t="s">
        <v>115</v>
      </c>
      <c r="T40" s="59"/>
      <c r="U40" s="59"/>
    </row>
    <row r="41" spans="1:21" x14ac:dyDescent="0.3">
      <c r="A41" s="32" t="s">
        <v>105</v>
      </c>
      <c r="B41" s="32" t="s">
        <v>35</v>
      </c>
      <c r="C41" s="32" t="s">
        <v>78</v>
      </c>
      <c r="D41" s="67" t="s">
        <v>139</v>
      </c>
      <c r="E41" s="88">
        <v>10</v>
      </c>
      <c r="F41" s="85">
        <v>27.314800157499999</v>
      </c>
      <c r="G41" s="86">
        <v>5810</v>
      </c>
      <c r="H41" s="23"/>
      <c r="I41" s="87">
        <v>-0.44597231255227854</v>
      </c>
      <c r="J41" s="87">
        <v>7.1499999999999897</v>
      </c>
      <c r="K41" s="87">
        <v>6.0488434833927407E-2</v>
      </c>
      <c r="L41" s="87">
        <v>7.8543999999999947</v>
      </c>
      <c r="M41" s="23"/>
      <c r="N41" s="87">
        <v>5.0415542485668512</v>
      </c>
      <c r="O41" s="87">
        <v>5.369665894778846</v>
      </c>
      <c r="P41" s="6"/>
      <c r="Q41" s="85">
        <v>0.79</v>
      </c>
      <c r="R41" s="85" t="s">
        <v>115</v>
      </c>
      <c r="S41" s="85">
        <v>0.87</v>
      </c>
      <c r="T41" s="59"/>
      <c r="U41" s="59"/>
    </row>
    <row r="42" spans="1:21" x14ac:dyDescent="0.3">
      <c r="A42" s="32" t="s">
        <v>104</v>
      </c>
      <c r="B42" s="32" t="s">
        <v>33</v>
      </c>
      <c r="C42" s="32" t="s">
        <v>79</v>
      </c>
      <c r="D42" s="67" t="s">
        <v>139</v>
      </c>
      <c r="E42" s="67">
        <v>18.5</v>
      </c>
      <c r="F42" s="85">
        <v>89.566993799999992</v>
      </c>
      <c r="G42" s="86">
        <v>20101</v>
      </c>
      <c r="H42" s="23"/>
      <c r="I42" s="87">
        <v>-0.2842993396918625</v>
      </c>
      <c r="J42" s="87">
        <v>8.7299999999999933</v>
      </c>
      <c r="K42" s="87">
        <v>0.65056726181724756</v>
      </c>
      <c r="L42" s="87">
        <v>11.578299999999997</v>
      </c>
      <c r="M42" s="23"/>
      <c r="N42" s="87">
        <v>6.2862864663903011</v>
      </c>
      <c r="O42" s="87">
        <v>6.1069639988094684</v>
      </c>
      <c r="P42" s="6"/>
      <c r="Q42" s="85">
        <v>0.79</v>
      </c>
      <c r="R42" s="85">
        <v>0.98</v>
      </c>
      <c r="S42" s="85" t="s">
        <v>115</v>
      </c>
      <c r="T42" s="59"/>
      <c r="U42" s="59"/>
    </row>
    <row r="43" spans="1:21" x14ac:dyDescent="0.3">
      <c r="A43" s="32" t="s">
        <v>106</v>
      </c>
      <c r="B43" s="32" t="s">
        <v>31</v>
      </c>
      <c r="C43" s="32" t="s">
        <v>80</v>
      </c>
      <c r="D43" s="67" t="s">
        <v>139</v>
      </c>
      <c r="E43" s="67">
        <v>19.999999999999986</v>
      </c>
      <c r="F43" s="85">
        <v>124.99615318000001</v>
      </c>
      <c r="G43" s="86">
        <v>33468</v>
      </c>
      <c r="H43" s="23"/>
      <c r="I43" s="87">
        <v>0.30723396331810982</v>
      </c>
      <c r="J43" s="87">
        <v>7.7399999999999913</v>
      </c>
      <c r="K43" s="87">
        <v>0.44492636775583794</v>
      </c>
      <c r="L43" s="87">
        <v>11.252700000000004</v>
      </c>
      <c r="M43" s="23"/>
      <c r="N43" s="87">
        <v>4.8676429038359803</v>
      </c>
      <c r="O43" s="87">
        <v>6.1255887985536495</v>
      </c>
      <c r="P43" s="6"/>
      <c r="Q43" s="85">
        <v>0.75</v>
      </c>
      <c r="R43" s="85">
        <v>0.79359999999999997</v>
      </c>
      <c r="S43" s="85" t="s">
        <v>115</v>
      </c>
      <c r="T43" s="59"/>
      <c r="U43" s="59"/>
    </row>
    <row r="44" spans="1:21" x14ac:dyDescent="0.3">
      <c r="A44" s="32" t="s">
        <v>37</v>
      </c>
      <c r="B44" s="32" t="s">
        <v>34</v>
      </c>
      <c r="C44" s="32" t="s">
        <v>81</v>
      </c>
      <c r="D44" s="67" t="s">
        <v>139</v>
      </c>
      <c r="E44" s="67">
        <v>19</v>
      </c>
      <c r="F44" s="85">
        <v>69.654938510000008</v>
      </c>
      <c r="G44" s="86">
        <v>18650</v>
      </c>
      <c r="H44" s="23"/>
      <c r="I44" s="87">
        <v>0.46005069946484234</v>
      </c>
      <c r="J44" s="87">
        <v>7.0000000000000062</v>
      </c>
      <c r="K44" s="87">
        <v>0.19722882682235987</v>
      </c>
      <c r="L44" s="87">
        <v>6.532899999999997</v>
      </c>
      <c r="M44" s="23"/>
      <c r="N44" s="87">
        <v>4.5253379457488112</v>
      </c>
      <c r="O44" s="87">
        <v>3.9315037315452481</v>
      </c>
      <c r="P44" s="6"/>
      <c r="Q44" s="85">
        <v>0.79</v>
      </c>
      <c r="R44" s="85" t="s">
        <v>115</v>
      </c>
      <c r="S44" s="85">
        <v>1</v>
      </c>
    </row>
    <row r="45" spans="1:21" s="47" customFormat="1" ht="18.600000000000001" customHeight="1" x14ac:dyDescent="0.3">
      <c r="A45" s="73" t="s">
        <v>82</v>
      </c>
      <c r="B45" s="73"/>
      <c r="C45" s="73"/>
      <c r="D45" s="81"/>
      <c r="E45" s="81"/>
      <c r="F45" s="82"/>
      <c r="G45" s="46" t="s">
        <v>122</v>
      </c>
      <c r="H45" s="81"/>
      <c r="I45" s="83">
        <v>0.44747668727136214</v>
      </c>
      <c r="J45" s="83">
        <v>6.448487613224632</v>
      </c>
      <c r="K45" s="83">
        <v>0.89458327650495084</v>
      </c>
      <c r="L45" s="83">
        <v>7.8765377213268399</v>
      </c>
      <c r="M45" s="81"/>
      <c r="N45" s="81"/>
      <c r="O45" s="81"/>
      <c r="P45" s="84"/>
      <c r="Q45" s="81"/>
      <c r="R45" s="81"/>
      <c r="S45" s="81"/>
    </row>
    <row r="46" spans="1:21" x14ac:dyDescent="0.3">
      <c r="A46" s="32" t="s">
        <v>36</v>
      </c>
      <c r="B46" s="32" t="s">
        <v>41</v>
      </c>
      <c r="C46" s="32" t="s">
        <v>83</v>
      </c>
      <c r="D46" s="67" t="s">
        <v>139</v>
      </c>
      <c r="E46" s="88">
        <v>10</v>
      </c>
      <c r="F46" s="85">
        <v>2.1984772499999998</v>
      </c>
      <c r="G46" s="86">
        <v>1132</v>
      </c>
      <c r="H46" s="23"/>
      <c r="I46" s="87">
        <v>-0.66516769720815772</v>
      </c>
      <c r="J46" s="87">
        <v>6.030000000000002</v>
      </c>
      <c r="K46" s="87">
        <v>1.0353382697678493</v>
      </c>
      <c r="L46" s="87">
        <v>10.809800000000003</v>
      </c>
      <c r="M46" s="23"/>
      <c r="N46" s="87">
        <v>5.1982320427231681</v>
      </c>
      <c r="O46" s="87">
        <v>6.2133967399049732</v>
      </c>
      <c r="P46" s="6"/>
      <c r="Q46" s="85">
        <v>0.19</v>
      </c>
      <c r="R46" s="85">
        <v>0.52</v>
      </c>
      <c r="S46" s="85" t="s">
        <v>115</v>
      </c>
    </row>
    <row r="47" spans="1:21" x14ac:dyDescent="0.3">
      <c r="A47" s="32" t="s">
        <v>105</v>
      </c>
      <c r="B47" s="32" t="s">
        <v>39</v>
      </c>
      <c r="C47" s="32" t="s">
        <v>84</v>
      </c>
      <c r="D47" s="67" t="s">
        <v>139</v>
      </c>
      <c r="E47" s="88">
        <v>17</v>
      </c>
      <c r="F47" s="85">
        <v>4.1255900913999994</v>
      </c>
      <c r="G47" s="86">
        <v>976</v>
      </c>
      <c r="H47" s="23"/>
      <c r="I47" s="87">
        <v>0.66071096221851366</v>
      </c>
      <c r="J47" s="87">
        <v>8.1700000000000106</v>
      </c>
      <c r="K47" s="87">
        <v>-4.9730036942308153E-2</v>
      </c>
      <c r="L47" s="87">
        <v>8.331299999999997</v>
      </c>
      <c r="M47" s="23"/>
      <c r="N47" s="87">
        <v>4.313193241349806</v>
      </c>
      <c r="O47" s="87">
        <v>5.9593967185275671</v>
      </c>
      <c r="P47" s="6"/>
      <c r="Q47" s="85">
        <v>0.2</v>
      </c>
      <c r="R47" s="85" t="s">
        <v>115</v>
      </c>
      <c r="S47" s="85">
        <v>0.3</v>
      </c>
    </row>
    <row r="48" spans="1:21" x14ac:dyDescent="0.3">
      <c r="A48" s="32" t="s">
        <v>104</v>
      </c>
      <c r="B48" s="32" t="s">
        <v>38</v>
      </c>
      <c r="C48" s="32" t="s">
        <v>85</v>
      </c>
      <c r="D48" s="67" t="s">
        <v>139</v>
      </c>
      <c r="E48" s="88">
        <v>15</v>
      </c>
      <c r="F48" s="85">
        <v>12.42815105</v>
      </c>
      <c r="G48" s="86">
        <v>3053</v>
      </c>
      <c r="H48" s="23"/>
      <c r="I48" s="87">
        <v>0.21626704278328024</v>
      </c>
      <c r="J48" s="87">
        <v>6.5800000000000081</v>
      </c>
      <c r="K48" s="87">
        <v>0.61521001415825172</v>
      </c>
      <c r="L48" s="87">
        <v>7.4497999999999953</v>
      </c>
      <c r="M48" s="23"/>
      <c r="N48" s="87">
        <v>5.0785120464847431</v>
      </c>
      <c r="O48" s="87">
        <v>5.1666664181700659</v>
      </c>
      <c r="P48" s="6"/>
      <c r="Q48" s="85">
        <v>0.2</v>
      </c>
      <c r="R48" s="85">
        <v>0.39</v>
      </c>
      <c r="S48" s="85" t="s">
        <v>115</v>
      </c>
    </row>
    <row r="49" spans="1:19" x14ac:dyDescent="0.3">
      <c r="A49" s="32" t="s">
        <v>106</v>
      </c>
      <c r="B49" s="32" t="s">
        <v>40</v>
      </c>
      <c r="C49" s="32" t="s">
        <v>86</v>
      </c>
      <c r="D49" s="67" t="s">
        <v>139</v>
      </c>
      <c r="E49" s="88">
        <v>15</v>
      </c>
      <c r="F49" s="85">
        <v>15.793222009999999</v>
      </c>
      <c r="G49" s="86">
        <v>3380</v>
      </c>
      <c r="H49" s="23"/>
      <c r="I49" s="87">
        <v>0.23672000757504197</v>
      </c>
      <c r="J49" s="87">
        <v>5.8599999999999985</v>
      </c>
      <c r="K49" s="87">
        <v>0.8319530329799818</v>
      </c>
      <c r="L49" s="87">
        <v>9.5760999999999985</v>
      </c>
      <c r="M49" s="23"/>
      <c r="N49" s="87">
        <v>4.2324042826734143</v>
      </c>
      <c r="O49" s="87">
        <v>4.9980240493539956</v>
      </c>
      <c r="P49" s="6"/>
      <c r="Q49" s="85">
        <v>0.2</v>
      </c>
      <c r="R49" s="85">
        <v>0.2268</v>
      </c>
      <c r="S49" s="85" t="s">
        <v>115</v>
      </c>
    </row>
    <row r="50" spans="1:19" x14ac:dyDescent="0.3">
      <c r="A50" s="32" t="s">
        <v>37</v>
      </c>
      <c r="B50" s="32" t="s">
        <v>42</v>
      </c>
      <c r="C50" s="32" t="s">
        <v>132</v>
      </c>
      <c r="D50" s="67" t="s">
        <v>139</v>
      </c>
      <c r="E50" s="88">
        <v>10</v>
      </c>
      <c r="F50" s="85">
        <v>5.6496014900000002</v>
      </c>
      <c r="G50" s="86">
        <v>2805</v>
      </c>
      <c r="H50" s="23"/>
      <c r="I50" s="87">
        <v>1.8225190839694649</v>
      </c>
      <c r="J50" s="87">
        <v>6.7099999999999937</v>
      </c>
      <c r="K50" s="87">
        <v>2.3190429409916558</v>
      </c>
      <c r="L50" s="87">
        <v>2.5906999999999902</v>
      </c>
      <c r="M50" s="23"/>
      <c r="N50" s="87">
        <v>3.4359026990266566</v>
      </c>
      <c r="O50" s="87">
        <v>1.1651484418554006</v>
      </c>
      <c r="P50" s="6"/>
      <c r="Q50" s="85">
        <v>0.2</v>
      </c>
      <c r="R50" s="85" t="s">
        <v>115</v>
      </c>
      <c r="S50" s="85">
        <v>0.35</v>
      </c>
    </row>
    <row r="51" spans="1:19" x14ac:dyDescent="0.3">
      <c r="D51" s="8"/>
      <c r="E51" s="20"/>
      <c r="F51" s="21"/>
      <c r="G51" s="9"/>
      <c r="H51" s="7"/>
      <c r="I51" s="10"/>
      <c r="J51" s="10"/>
      <c r="K51" s="11"/>
      <c r="L51" s="11"/>
      <c r="M51" s="12"/>
      <c r="N51" s="13"/>
      <c r="O51" s="14"/>
      <c r="P51" s="1"/>
      <c r="Q51" s="14"/>
      <c r="R51" s="14"/>
      <c r="S51" s="14"/>
    </row>
    <row r="52" spans="1:19" s="43" customFormat="1" x14ac:dyDescent="0.3">
      <c r="A52" s="37"/>
      <c r="B52" s="37"/>
      <c r="C52" s="37"/>
      <c r="D52" s="37"/>
      <c r="E52" s="38"/>
      <c r="F52" s="39"/>
      <c r="G52" s="40" t="s">
        <v>138</v>
      </c>
      <c r="H52" s="41"/>
      <c r="I52" s="41">
        <v>-2.06902339163558</v>
      </c>
      <c r="J52" s="41">
        <v>17.430738992879917</v>
      </c>
      <c r="K52" s="41">
        <v>-2.248565032317333</v>
      </c>
      <c r="L52" s="41">
        <v>19.461750730479981</v>
      </c>
      <c r="M52" s="41"/>
      <c r="N52" s="41"/>
      <c r="O52" s="41"/>
      <c r="P52" s="42"/>
      <c r="Q52" s="41"/>
      <c r="R52" s="41"/>
      <c r="S52" s="41"/>
    </row>
    <row r="53" spans="1:19" x14ac:dyDescent="0.3">
      <c r="A53" s="89"/>
      <c r="B53" s="15"/>
      <c r="C53" s="15"/>
      <c r="D53" s="15"/>
      <c r="E53" s="15"/>
      <c r="F53" s="15"/>
      <c r="G53" s="15"/>
      <c r="H53" s="15"/>
      <c r="I53" s="15"/>
      <c r="J53" s="15"/>
      <c r="K53" s="15"/>
      <c r="L53" s="15"/>
      <c r="M53" s="15"/>
      <c r="N53" s="15"/>
      <c r="O53" s="1"/>
      <c r="P53" s="1"/>
    </row>
    <row r="54" spans="1:19" s="50" customFormat="1" ht="13.8" x14ac:dyDescent="0.3">
      <c r="A54" s="49" t="s">
        <v>98</v>
      </c>
      <c r="B54" s="49"/>
      <c r="C54" s="49"/>
      <c r="D54" s="49"/>
      <c r="E54" s="49"/>
      <c r="F54" s="49"/>
      <c r="G54" s="49"/>
      <c r="H54" s="49"/>
      <c r="I54" s="49"/>
      <c r="J54" s="49"/>
      <c r="K54" s="49"/>
      <c r="L54" s="49"/>
      <c r="M54" s="49"/>
      <c r="N54" s="49"/>
    </row>
    <row r="55" spans="1:19" s="50" customFormat="1" ht="13.8" x14ac:dyDescent="0.3">
      <c r="A55" s="49" t="s">
        <v>117</v>
      </c>
      <c r="B55" s="49"/>
      <c r="C55" s="49"/>
      <c r="D55" s="49"/>
      <c r="E55" s="49"/>
      <c r="F55" s="71"/>
      <c r="G55" s="71"/>
      <c r="H55" s="49"/>
      <c r="I55" s="49"/>
      <c r="J55" s="49"/>
      <c r="K55" s="49"/>
      <c r="L55" s="49"/>
      <c r="M55" s="49"/>
      <c r="N55" s="49"/>
    </row>
    <row r="56" spans="1:19" s="50" customFormat="1" ht="13.8" x14ac:dyDescent="0.3">
      <c r="A56" s="49" t="s">
        <v>119</v>
      </c>
      <c r="B56" s="49"/>
      <c r="C56" s="49"/>
      <c r="D56" s="49"/>
      <c r="E56" s="49"/>
      <c r="F56" s="49"/>
      <c r="G56" s="49"/>
      <c r="H56" s="49"/>
      <c r="I56" s="49"/>
      <c r="J56" s="49"/>
      <c r="K56" s="49"/>
      <c r="L56" s="49"/>
      <c r="M56" s="49"/>
      <c r="N56" s="49"/>
    </row>
    <row r="57" spans="1:19" s="50" customFormat="1" ht="13.8" x14ac:dyDescent="0.3">
      <c r="A57" s="49" t="s">
        <v>120</v>
      </c>
      <c r="B57" s="49"/>
      <c r="C57" s="49"/>
      <c r="D57" s="49"/>
      <c r="E57" s="49"/>
      <c r="F57" s="49"/>
      <c r="G57" s="49"/>
      <c r="H57" s="49"/>
      <c r="I57" s="49"/>
      <c r="J57" s="49"/>
      <c r="K57" s="49"/>
      <c r="L57" s="49"/>
      <c r="M57" s="49"/>
      <c r="N57" s="49"/>
    </row>
    <row r="58" spans="1:19" s="50" customFormat="1" ht="13.8" x14ac:dyDescent="0.3">
      <c r="A58" s="49" t="s">
        <v>142</v>
      </c>
      <c r="B58" s="51"/>
      <c r="C58" s="51"/>
      <c r="D58" s="51"/>
      <c r="E58" s="51"/>
      <c r="F58" s="51"/>
      <c r="G58" s="51"/>
      <c r="H58" s="51"/>
      <c r="I58" s="51"/>
      <c r="J58" s="51"/>
      <c r="K58" s="51"/>
      <c r="L58" s="51"/>
      <c r="M58" s="51"/>
      <c r="N58" s="51"/>
    </row>
    <row r="59" spans="1:19" s="50" customFormat="1" ht="13.8" x14ac:dyDescent="0.3">
      <c r="A59" s="52" t="s">
        <v>143</v>
      </c>
      <c r="B59" s="51"/>
      <c r="C59" s="51"/>
      <c r="D59" s="51"/>
      <c r="E59" s="51"/>
      <c r="F59" s="51"/>
      <c r="G59" s="51"/>
      <c r="H59" s="51"/>
      <c r="I59" s="51"/>
      <c r="J59" s="51"/>
      <c r="K59" s="51"/>
      <c r="L59" s="51"/>
      <c r="M59" s="51"/>
      <c r="N59" s="51"/>
    </row>
    <row r="60" spans="1:19" s="50" customFormat="1" ht="13.8" x14ac:dyDescent="0.3">
      <c r="A60" s="51" t="s">
        <v>125</v>
      </c>
      <c r="B60" s="51"/>
      <c r="C60" s="51"/>
      <c r="D60" s="51"/>
      <c r="E60" s="51"/>
      <c r="F60" s="51"/>
      <c r="G60" s="51"/>
      <c r="H60" s="51"/>
      <c r="I60" s="51"/>
      <c r="J60" s="51"/>
      <c r="K60" s="51"/>
      <c r="L60" s="51"/>
      <c r="M60" s="51"/>
      <c r="N60" s="51"/>
    </row>
    <row r="61" spans="1:19" s="50" customFormat="1" ht="13.8" x14ac:dyDescent="0.3">
      <c r="A61" s="51" t="s">
        <v>144</v>
      </c>
      <c r="B61" s="51"/>
      <c r="C61" s="51"/>
      <c r="D61" s="51"/>
      <c r="E61" s="51"/>
      <c r="F61" s="51"/>
      <c r="G61" s="51"/>
      <c r="H61" s="51"/>
      <c r="I61" s="51"/>
      <c r="J61" s="51"/>
      <c r="K61" s="51"/>
      <c r="L61" s="51"/>
      <c r="M61" s="51"/>
      <c r="N61" s="51"/>
    </row>
    <row r="62" spans="1:19" x14ac:dyDescent="0.3">
      <c r="A62" s="90" t="s">
        <v>140</v>
      </c>
      <c r="D62" s="7"/>
      <c r="E62" s="7"/>
      <c r="F62" s="7"/>
      <c r="G62" s="7"/>
      <c r="H62" s="7"/>
      <c r="I62" s="7"/>
      <c r="J62" s="7"/>
      <c r="K62" s="7"/>
      <c r="L62" s="7"/>
      <c r="M62" s="7"/>
      <c r="N62" s="7"/>
    </row>
    <row r="63" spans="1:19" x14ac:dyDescent="0.3">
      <c r="A63" s="49" t="s">
        <v>133</v>
      </c>
    </row>
    <row r="64" spans="1:19" x14ac:dyDescent="0.3">
      <c r="A64" s="49" t="s">
        <v>136</v>
      </c>
    </row>
    <row r="65" spans="1:16" x14ac:dyDescent="0.3">
      <c r="A65" s="89"/>
      <c r="E65" s="66"/>
      <c r="F65" s="66"/>
      <c r="G65" s="66"/>
    </row>
    <row r="66" spans="1:16" x14ac:dyDescent="0.3">
      <c r="A66" s="89"/>
      <c r="E66" s="66"/>
      <c r="F66" s="66"/>
      <c r="G66" s="66"/>
      <c r="I66" s="60"/>
      <c r="J66" s="60"/>
      <c r="K66" s="60"/>
      <c r="L66" s="60"/>
      <c r="M66" s="60"/>
      <c r="N66" s="60"/>
      <c r="O66" s="60"/>
      <c r="P66" s="60"/>
    </row>
    <row r="67" spans="1:16" x14ac:dyDescent="0.3">
      <c r="A67" s="89"/>
      <c r="E67" s="5"/>
      <c r="F67" s="66"/>
      <c r="G67" s="61"/>
      <c r="I67" s="63"/>
      <c r="J67" s="63"/>
      <c r="K67" s="62"/>
      <c r="L67" s="62"/>
      <c r="M67" s="60"/>
      <c r="N67" s="60"/>
      <c r="O67" s="60"/>
      <c r="P67" s="60"/>
    </row>
    <row r="68" spans="1:16" x14ac:dyDescent="0.3">
      <c r="A68" s="89"/>
      <c r="E68" s="48"/>
      <c r="F68" s="48"/>
      <c r="G68" s="48"/>
      <c r="I68" s="48"/>
      <c r="J68" s="59"/>
      <c r="K68" s="62"/>
      <c r="L68" s="62"/>
    </row>
    <row r="69" spans="1:16" x14ac:dyDescent="0.3">
      <c r="E69" s="5"/>
      <c r="F69" s="66"/>
      <c r="G69" s="61"/>
      <c r="I69" s="63"/>
      <c r="J69" s="63"/>
      <c r="K69" s="62"/>
    </row>
    <row r="70" spans="1:16" x14ac:dyDescent="0.3">
      <c r="E70" s="48"/>
      <c r="F70" s="48"/>
      <c r="G70" s="48"/>
      <c r="I70" s="48"/>
      <c r="J70" s="59"/>
      <c r="K70" s="62"/>
    </row>
    <row r="71" spans="1:16" x14ac:dyDescent="0.3">
      <c r="E71" s="5"/>
      <c r="F71" s="66"/>
      <c r="G71" s="61"/>
      <c r="I71" s="63"/>
      <c r="J71" s="63"/>
      <c r="K71" s="62"/>
    </row>
    <row r="72" spans="1:16" x14ac:dyDescent="0.3">
      <c r="E72" s="48"/>
      <c r="F72" s="48"/>
      <c r="G72" s="48"/>
      <c r="I72" s="48"/>
      <c r="J72" s="59"/>
      <c r="K72" s="62"/>
    </row>
  </sheetData>
  <mergeCells count="14">
    <mergeCell ref="Q1:S1"/>
    <mergeCell ref="D1:D2"/>
    <mergeCell ref="F1:F2"/>
    <mergeCell ref="G1:G2"/>
    <mergeCell ref="N1:O1"/>
    <mergeCell ref="I1:L1"/>
    <mergeCell ref="A33:C33"/>
    <mergeCell ref="A39:C39"/>
    <mergeCell ref="A45:C45"/>
    <mergeCell ref="A3:C3"/>
    <mergeCell ref="A9:C9"/>
    <mergeCell ref="A15:C15"/>
    <mergeCell ref="A21:C21"/>
    <mergeCell ref="A27:C27"/>
  </mergeCells>
  <conditionalFormatting sqref="I51:J51">
    <cfRule type="top10" dxfId="172" priority="316" percent="1" rank="10"/>
  </conditionalFormatting>
  <conditionalFormatting sqref="N46:O50 N4:O8 N10:O14 N16:O20 N22:O26 N28:O32 N34:O38 N40:O44">
    <cfRule type="cellIs" dxfId="171" priority="237" operator="greaterThanOrEqual">
      <formula>0</formula>
    </cfRule>
    <cfRule type="cellIs" dxfId="170" priority="238" operator="lessThan">
      <formula>0</formula>
    </cfRule>
  </conditionalFormatting>
  <conditionalFormatting sqref="I4:I8">
    <cfRule type="cellIs" dxfId="169" priority="119" operator="greaterThanOrEqual">
      <formula>0</formula>
    </cfRule>
    <cfRule type="cellIs" dxfId="168" priority="120" operator="lessThan">
      <formula>0</formula>
    </cfRule>
  </conditionalFormatting>
  <conditionalFormatting sqref="J4:L8">
    <cfRule type="cellIs" dxfId="167" priority="117" operator="greaterThanOrEqual">
      <formula>0</formula>
    </cfRule>
    <cfRule type="cellIs" dxfId="166" priority="118" operator="lessThan">
      <formula>0</formula>
    </cfRule>
  </conditionalFormatting>
  <conditionalFormatting sqref="I10:I14">
    <cfRule type="cellIs" dxfId="165" priority="115" operator="greaterThanOrEqual">
      <formula>0</formula>
    </cfRule>
    <cfRule type="cellIs" dxfId="164" priority="116" operator="lessThan">
      <formula>0</formula>
    </cfRule>
  </conditionalFormatting>
  <conditionalFormatting sqref="K10:K14">
    <cfRule type="cellIs" dxfId="163" priority="113" operator="greaterThanOrEqual">
      <formula>0</formula>
    </cfRule>
    <cfRule type="cellIs" dxfId="162" priority="114" operator="lessThan">
      <formula>0</formula>
    </cfRule>
  </conditionalFormatting>
  <conditionalFormatting sqref="I16:I20">
    <cfRule type="cellIs" dxfId="161" priority="111" operator="greaterThanOrEqual">
      <formula>0</formula>
    </cfRule>
    <cfRule type="cellIs" dxfId="160" priority="112" operator="lessThan">
      <formula>0</formula>
    </cfRule>
  </conditionalFormatting>
  <conditionalFormatting sqref="K16:K20">
    <cfRule type="cellIs" dxfId="159" priority="109" operator="greaterThanOrEqual">
      <formula>0</formula>
    </cfRule>
    <cfRule type="cellIs" dxfId="158" priority="110" operator="lessThan">
      <formula>0</formula>
    </cfRule>
  </conditionalFormatting>
  <conditionalFormatting sqref="I22:I26">
    <cfRule type="cellIs" dxfId="157" priority="107" operator="greaterThanOrEqual">
      <formula>0</formula>
    </cfRule>
    <cfRule type="cellIs" dxfId="156" priority="108" operator="lessThan">
      <formula>0</formula>
    </cfRule>
  </conditionalFormatting>
  <conditionalFormatting sqref="K22:K26">
    <cfRule type="cellIs" dxfId="155" priority="105" operator="greaterThanOrEqual">
      <formula>0</formula>
    </cfRule>
    <cfRule type="cellIs" dxfId="154" priority="106" operator="lessThan">
      <formula>0</formula>
    </cfRule>
  </conditionalFormatting>
  <conditionalFormatting sqref="I28:I32">
    <cfRule type="cellIs" dxfId="153" priority="103" operator="greaterThanOrEqual">
      <formula>0</formula>
    </cfRule>
    <cfRule type="cellIs" dxfId="152" priority="104" operator="lessThan">
      <formula>0</formula>
    </cfRule>
  </conditionalFormatting>
  <conditionalFormatting sqref="K28:K32">
    <cfRule type="cellIs" dxfId="151" priority="101" operator="greaterThanOrEqual">
      <formula>0</formula>
    </cfRule>
    <cfRule type="cellIs" dxfId="150" priority="102" operator="lessThan">
      <formula>0</formula>
    </cfRule>
  </conditionalFormatting>
  <conditionalFormatting sqref="I34:I38">
    <cfRule type="cellIs" dxfId="149" priority="99" operator="greaterThanOrEqual">
      <formula>0</formula>
    </cfRule>
    <cfRule type="cellIs" dxfId="148" priority="100" operator="lessThan">
      <formula>0</formula>
    </cfRule>
  </conditionalFormatting>
  <conditionalFormatting sqref="K34:K38">
    <cfRule type="cellIs" dxfId="147" priority="97" operator="greaterThanOrEqual">
      <formula>0</formula>
    </cfRule>
    <cfRule type="cellIs" dxfId="146" priority="98" operator="lessThan">
      <formula>0</formula>
    </cfRule>
  </conditionalFormatting>
  <conditionalFormatting sqref="I40:I44">
    <cfRule type="cellIs" dxfId="145" priority="95" operator="greaterThanOrEqual">
      <formula>0</formula>
    </cfRule>
    <cfRule type="cellIs" dxfId="144" priority="96" operator="lessThan">
      <formula>0</formula>
    </cfRule>
  </conditionalFormatting>
  <conditionalFormatting sqref="K40:K44">
    <cfRule type="cellIs" dxfId="143" priority="93" operator="greaterThanOrEqual">
      <formula>0</formula>
    </cfRule>
    <cfRule type="cellIs" dxfId="142" priority="94" operator="lessThan">
      <formula>0</formula>
    </cfRule>
  </conditionalFormatting>
  <conditionalFormatting sqref="I46:I50">
    <cfRule type="cellIs" dxfId="141" priority="91" operator="greaterThanOrEqual">
      <formula>0</formula>
    </cfRule>
    <cfRule type="cellIs" dxfId="140" priority="92" operator="lessThan">
      <formula>0</formula>
    </cfRule>
  </conditionalFormatting>
  <conditionalFormatting sqref="K46:K50">
    <cfRule type="cellIs" dxfId="139" priority="89" operator="greaterThanOrEqual">
      <formula>0</formula>
    </cfRule>
    <cfRule type="cellIs" dxfId="138" priority="90" operator="lessThan">
      <formula>0</formula>
    </cfRule>
  </conditionalFormatting>
  <conditionalFormatting sqref="J10:J14">
    <cfRule type="cellIs" dxfId="137" priority="87" operator="greaterThanOrEqual">
      <formula>0</formula>
    </cfRule>
    <cfRule type="cellIs" dxfId="136" priority="88" operator="lessThan">
      <formula>0</formula>
    </cfRule>
  </conditionalFormatting>
  <conditionalFormatting sqref="J16:J20">
    <cfRule type="cellIs" dxfId="135" priority="85" operator="greaterThanOrEqual">
      <formula>0</formula>
    </cfRule>
    <cfRule type="cellIs" dxfId="134" priority="86" operator="lessThan">
      <formula>0</formula>
    </cfRule>
  </conditionalFormatting>
  <conditionalFormatting sqref="J22:J26">
    <cfRule type="cellIs" dxfId="133" priority="83" operator="greaterThanOrEqual">
      <formula>0</formula>
    </cfRule>
    <cfRule type="cellIs" dxfId="132" priority="84" operator="lessThan">
      <formula>0</formula>
    </cfRule>
  </conditionalFormatting>
  <conditionalFormatting sqref="J28:J32">
    <cfRule type="cellIs" dxfId="131" priority="81" operator="greaterThanOrEqual">
      <formula>0</formula>
    </cfRule>
    <cfRule type="cellIs" dxfId="130" priority="82" operator="lessThan">
      <formula>0</formula>
    </cfRule>
  </conditionalFormatting>
  <conditionalFormatting sqref="J34:J38">
    <cfRule type="cellIs" dxfId="129" priority="79" operator="greaterThanOrEqual">
      <formula>0</formula>
    </cfRule>
    <cfRule type="cellIs" dxfId="128" priority="80" operator="lessThan">
      <formula>0</formula>
    </cfRule>
  </conditionalFormatting>
  <conditionalFormatting sqref="J40:J44">
    <cfRule type="cellIs" dxfId="127" priority="77" operator="greaterThanOrEqual">
      <formula>0</formula>
    </cfRule>
    <cfRule type="cellIs" dxfId="126" priority="78" operator="lessThan">
      <formula>0</formula>
    </cfRule>
  </conditionalFormatting>
  <conditionalFormatting sqref="J46:J50">
    <cfRule type="cellIs" dxfId="125" priority="75" operator="greaterThanOrEqual">
      <formula>0</formula>
    </cfRule>
    <cfRule type="cellIs" dxfId="124" priority="76" operator="lessThan">
      <formula>0</formula>
    </cfRule>
  </conditionalFormatting>
  <conditionalFormatting sqref="L10:L14">
    <cfRule type="cellIs" dxfId="123" priority="73" operator="greaterThanOrEqual">
      <formula>0</formula>
    </cfRule>
    <cfRule type="cellIs" dxfId="122" priority="74" operator="lessThan">
      <formula>0</formula>
    </cfRule>
  </conditionalFormatting>
  <conditionalFormatting sqref="L16:L20">
    <cfRule type="cellIs" dxfId="121" priority="71" operator="greaterThanOrEqual">
      <formula>0</formula>
    </cfRule>
    <cfRule type="cellIs" dxfId="120" priority="72" operator="lessThan">
      <formula>0</formula>
    </cfRule>
  </conditionalFormatting>
  <conditionalFormatting sqref="L22:L26">
    <cfRule type="cellIs" dxfId="119" priority="69" operator="greaterThanOrEqual">
      <formula>0</formula>
    </cfRule>
    <cfRule type="cellIs" dxfId="118" priority="70" operator="lessThan">
      <formula>0</formula>
    </cfRule>
  </conditionalFormatting>
  <conditionalFormatting sqref="L28:L32">
    <cfRule type="cellIs" dxfId="117" priority="67" operator="greaterThanOrEqual">
      <formula>0</formula>
    </cfRule>
    <cfRule type="cellIs" dxfId="116" priority="68" operator="lessThan">
      <formula>0</formula>
    </cfRule>
  </conditionalFormatting>
  <conditionalFormatting sqref="L34:L38">
    <cfRule type="cellIs" dxfId="115" priority="65" operator="greaterThanOrEqual">
      <formula>0</formula>
    </cfRule>
    <cfRule type="cellIs" dxfId="114" priority="66" operator="lessThan">
      <formula>0</formula>
    </cfRule>
  </conditionalFormatting>
  <conditionalFormatting sqref="L40:L44">
    <cfRule type="cellIs" dxfId="113" priority="63" operator="greaterThanOrEqual">
      <formula>0</formula>
    </cfRule>
    <cfRule type="cellIs" dxfId="112" priority="64" operator="lessThan">
      <formula>0</formula>
    </cfRule>
  </conditionalFormatting>
  <conditionalFormatting sqref="L46:L50">
    <cfRule type="cellIs" dxfId="111" priority="61" operator="greaterThanOrEqual">
      <formula>0</formula>
    </cfRule>
    <cfRule type="cellIs" dxfId="110" priority="62" operator="lessThan">
      <formula>0</formula>
    </cfRule>
  </conditionalFormatting>
  <conditionalFormatting sqref="I3">
    <cfRule type="cellIs" dxfId="109" priority="59" operator="greaterThanOrEqual">
      <formula>0</formula>
    </cfRule>
    <cfRule type="cellIs" dxfId="108" priority="60" operator="lessThan">
      <formula>0</formula>
    </cfRule>
  </conditionalFormatting>
  <conditionalFormatting sqref="J3:L3">
    <cfRule type="cellIs" dxfId="107" priority="57" operator="greaterThanOrEqual">
      <formula>0</formula>
    </cfRule>
    <cfRule type="cellIs" dxfId="106" priority="58" operator="lessThan">
      <formula>0</formula>
    </cfRule>
  </conditionalFormatting>
  <conditionalFormatting sqref="I9">
    <cfRule type="cellIs" dxfId="105" priority="27" operator="greaterThanOrEqual">
      <formula>0</formula>
    </cfRule>
    <cfRule type="cellIs" dxfId="104" priority="28" operator="lessThan">
      <formula>0</formula>
    </cfRule>
  </conditionalFormatting>
  <conditionalFormatting sqref="J9:L9">
    <cfRule type="cellIs" dxfId="103" priority="25" operator="greaterThanOrEqual">
      <formula>0</formula>
    </cfRule>
    <cfRule type="cellIs" dxfId="102" priority="26" operator="lessThan">
      <formula>0</formula>
    </cfRule>
  </conditionalFormatting>
  <conditionalFormatting sqref="I15">
    <cfRule type="cellIs" dxfId="101" priority="23" operator="greaterThanOrEqual">
      <formula>0</formula>
    </cfRule>
    <cfRule type="cellIs" dxfId="100" priority="24" operator="lessThan">
      <formula>0</formula>
    </cfRule>
  </conditionalFormatting>
  <conditionalFormatting sqref="J15:L15">
    <cfRule type="cellIs" dxfId="99" priority="21" operator="greaterThanOrEqual">
      <formula>0</formula>
    </cfRule>
    <cfRule type="cellIs" dxfId="98" priority="22" operator="lessThan">
      <formula>0</formula>
    </cfRule>
  </conditionalFormatting>
  <conditionalFormatting sqref="I21">
    <cfRule type="cellIs" dxfId="97" priority="19" operator="greaterThanOrEqual">
      <formula>0</formula>
    </cfRule>
    <cfRule type="cellIs" dxfId="96" priority="20" operator="lessThan">
      <formula>0</formula>
    </cfRule>
  </conditionalFormatting>
  <conditionalFormatting sqref="J21:L21">
    <cfRule type="cellIs" dxfId="95" priority="17" operator="greaterThanOrEqual">
      <formula>0</formula>
    </cfRule>
    <cfRule type="cellIs" dxfId="94" priority="18" operator="lessThan">
      <formula>0</formula>
    </cfRule>
  </conditionalFormatting>
  <conditionalFormatting sqref="I27">
    <cfRule type="cellIs" dxfId="93" priority="15" operator="greaterThanOrEqual">
      <formula>0</formula>
    </cfRule>
    <cfRule type="cellIs" dxfId="92" priority="16" operator="lessThan">
      <formula>0</formula>
    </cfRule>
  </conditionalFormatting>
  <conditionalFormatting sqref="J27:L27">
    <cfRule type="cellIs" dxfId="91" priority="13" operator="greaterThanOrEqual">
      <formula>0</formula>
    </cfRule>
    <cfRule type="cellIs" dxfId="90" priority="14" operator="lessThan">
      <formula>0</formula>
    </cfRule>
  </conditionalFormatting>
  <conditionalFormatting sqref="I33">
    <cfRule type="cellIs" dxfId="89" priority="11" operator="greaterThanOrEqual">
      <formula>0</formula>
    </cfRule>
    <cfRule type="cellIs" dxfId="88" priority="12" operator="lessThan">
      <formula>0</formula>
    </cfRule>
  </conditionalFormatting>
  <conditionalFormatting sqref="J33:L33">
    <cfRule type="cellIs" dxfId="87" priority="9" operator="greaterThanOrEqual">
      <formula>0</formula>
    </cfRule>
    <cfRule type="cellIs" dxfId="86" priority="10" operator="lessThan">
      <formula>0</formula>
    </cfRule>
  </conditionalFormatting>
  <conditionalFormatting sqref="I39">
    <cfRule type="cellIs" dxfId="85" priority="7" operator="greaterThanOrEqual">
      <formula>0</formula>
    </cfRule>
    <cfRule type="cellIs" dxfId="84" priority="8" operator="lessThan">
      <formula>0</formula>
    </cfRule>
  </conditionalFormatting>
  <conditionalFormatting sqref="J39:L39">
    <cfRule type="cellIs" dxfId="83" priority="5" operator="greaterThanOrEqual">
      <formula>0</formula>
    </cfRule>
    <cfRule type="cellIs" dxfId="82" priority="6" operator="lessThan">
      <formula>0</formula>
    </cfRule>
  </conditionalFormatting>
  <conditionalFormatting sqref="I45">
    <cfRule type="cellIs" dxfId="81" priority="3" operator="greaterThanOrEqual">
      <formula>0</formula>
    </cfRule>
    <cfRule type="cellIs" dxfId="80" priority="4" operator="lessThan">
      <formula>0</formula>
    </cfRule>
  </conditionalFormatting>
  <conditionalFormatting sqref="J45:L45">
    <cfRule type="cellIs" dxfId="79" priority="1" operator="greaterThanOrEqual">
      <formula>0</formula>
    </cfRule>
    <cfRule type="cellIs" dxfId="78" priority="2" operator="lessThan">
      <formula>0</formula>
    </cfRule>
  </conditionalFormatting>
  <hyperlinks>
    <hyperlink ref="E1" location="Strategijų_palyginimas!A1" display="Strategija "/>
    <hyperlink ref="A3" location="'1996-2002'!A1" display="Tikslinės pensijų fondų dalyvių grupės pensijų fondai, 1996-2002"/>
    <hyperlink ref="A9" location="'1989-1995'!A1" display="Tikslinės pensijų fondų dalyvių grupės pensijų fondai, 1989-1995"/>
    <hyperlink ref="A15" location="'1982-1988'!A1" display="Tikslinės pensijų fondų dalyvių grupės pensijų fondai, 1982-1988"/>
    <hyperlink ref="A21" location="'1975-1981'!A1" display="Tikslinės pensijų fondų dalyvių grupės pensijų fondai, 1975-1981"/>
    <hyperlink ref="A27" location="'1968-1974'!A1" display="Tikslinės pensijų fondų dalyvių grupės pensijų fondai, 1968-1974"/>
    <hyperlink ref="A33" location="'1961-1967'!A1" display="Tikslinės pensijų fondų dalyvių grupės pensijų fondai, 1961-1967"/>
    <hyperlink ref="A39" location="'1954-1960'!A1" display="Tikslinės pensijų fondų dalyvių grupės pensijų fondai, 1954-1960"/>
    <hyperlink ref="A45" location="TIF!A1" display="Pensijų turto išsaugojimo pensijų fondai"/>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45.6640625" style="16" customWidth="1"/>
    <col min="2" max="2" width="14.88671875" style="16" bestFit="1" customWidth="1"/>
    <col min="3" max="3" width="67.5546875" style="16" customWidth="1"/>
    <col min="4" max="4" width="15.5546875" style="16" customWidth="1"/>
    <col min="5" max="5" width="16.109375" style="16" bestFit="1" customWidth="1"/>
    <col min="6" max="6" width="17" style="16" customWidth="1"/>
    <col min="7" max="7" width="17.88671875" style="16" customWidth="1"/>
    <col min="8" max="8" width="1.33203125" style="16" customWidth="1"/>
    <col min="9" max="9" width="16.6640625" style="16" customWidth="1"/>
    <col min="10" max="10" width="17.44140625" style="16" customWidth="1"/>
    <col min="11" max="11" width="17.33203125" style="16" customWidth="1"/>
    <col min="12" max="12" width="16.77734375" style="16" customWidth="1"/>
    <col min="13" max="13" width="1.33203125" style="16" customWidth="1"/>
    <col min="14" max="14" width="15.88671875" style="16" customWidth="1"/>
    <col min="15" max="15" width="18.109375" style="16" customWidth="1"/>
    <col min="16" max="16" width="1.33203125" style="16" customWidth="1"/>
    <col min="17" max="17" width="15.21875" style="16" customWidth="1"/>
    <col min="18" max="18" width="14.44140625" style="16" customWidth="1"/>
    <col min="19" max="19" width="17.3320312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4" t="s">
        <v>116</v>
      </c>
      <c r="J2" s="24" t="s">
        <v>108</v>
      </c>
      <c r="K2" s="24" t="s">
        <v>118</v>
      </c>
      <c r="L2" s="24" t="s">
        <v>109</v>
      </c>
      <c r="M2" s="30"/>
      <c r="N2" s="24" t="s">
        <v>110</v>
      </c>
      <c r="O2" s="24" t="s">
        <v>111</v>
      </c>
      <c r="P2" s="30"/>
      <c r="Q2" s="24" t="s">
        <v>134</v>
      </c>
      <c r="R2" s="24" t="s">
        <v>135</v>
      </c>
      <c r="S2" s="24" t="s">
        <v>137</v>
      </c>
    </row>
    <row r="3" spans="1:21" ht="28.95" customHeight="1" x14ac:dyDescent="0.3">
      <c r="A3" s="73" t="s">
        <v>46</v>
      </c>
      <c r="B3" s="73"/>
      <c r="C3" s="73"/>
      <c r="D3" s="44"/>
      <c r="E3" s="44"/>
      <c r="F3" s="45"/>
      <c r="G3" s="70" t="s">
        <v>122</v>
      </c>
      <c r="H3" s="45"/>
      <c r="I3" s="68">
        <v>-3.0804576138373085</v>
      </c>
      <c r="J3" s="68">
        <v>19.105169953011664</v>
      </c>
      <c r="K3" s="68">
        <v>-3.1918863793232579</v>
      </c>
      <c r="L3" s="68">
        <v>21.293009276761076</v>
      </c>
      <c r="M3" s="45"/>
      <c r="N3" s="45"/>
      <c r="O3" s="45"/>
      <c r="P3" s="45"/>
      <c r="Q3" s="45"/>
      <c r="R3" s="45"/>
      <c r="S3" s="45"/>
    </row>
    <row r="4" spans="1:21" customFormat="1" ht="14.4" x14ac:dyDescent="0.3">
      <c r="A4" s="32" t="s">
        <v>36</v>
      </c>
      <c r="B4" s="32" t="s">
        <v>4</v>
      </c>
      <c r="C4" s="32" t="s">
        <v>47</v>
      </c>
      <c r="D4" s="67" t="s">
        <v>139</v>
      </c>
      <c r="E4" s="34">
        <v>90</v>
      </c>
      <c r="F4" s="33">
        <v>2.82350842</v>
      </c>
      <c r="G4" s="35">
        <v>8894</v>
      </c>
      <c r="H4" s="22"/>
      <c r="I4" s="36">
        <v>-0.7551152971744135</v>
      </c>
      <c r="J4" s="36">
        <v>22.229999999999993</v>
      </c>
      <c r="K4" s="36">
        <v>-2.4639555768593113</v>
      </c>
      <c r="L4" s="36">
        <v>21.478899999999989</v>
      </c>
      <c r="M4" s="23"/>
      <c r="N4" s="36">
        <v>15.199678346239679</v>
      </c>
      <c r="O4" s="36">
        <v>16.386312395012752</v>
      </c>
      <c r="P4" s="23"/>
      <c r="Q4" s="36">
        <v>0.78</v>
      </c>
      <c r="R4" s="36">
        <v>1.2</v>
      </c>
      <c r="S4" s="36" t="s">
        <v>115</v>
      </c>
      <c r="T4" s="59"/>
      <c r="U4" s="59"/>
    </row>
    <row r="5" spans="1:21" customFormat="1" ht="14.4" x14ac:dyDescent="0.3">
      <c r="A5" s="32" t="s">
        <v>105</v>
      </c>
      <c r="B5" s="32" t="s">
        <v>2</v>
      </c>
      <c r="C5" s="32" t="s">
        <v>48</v>
      </c>
      <c r="D5" s="67" t="s">
        <v>139</v>
      </c>
      <c r="E5" s="34">
        <v>97</v>
      </c>
      <c r="F5" s="33">
        <v>6.9004335252999995</v>
      </c>
      <c r="G5" s="35">
        <v>12780</v>
      </c>
      <c r="H5" s="22"/>
      <c r="I5" s="36">
        <v>-4.1081345965370826</v>
      </c>
      <c r="J5" s="36">
        <v>17.409999999999993</v>
      </c>
      <c r="K5" s="36">
        <v>-3.5503124140621511</v>
      </c>
      <c r="L5" s="36">
        <v>20.649300000000004</v>
      </c>
      <c r="M5" s="23"/>
      <c r="N5" s="36">
        <v>14.636708988340391</v>
      </c>
      <c r="O5" s="36">
        <v>17.447724157759989</v>
      </c>
      <c r="P5" s="23"/>
      <c r="Q5" s="36">
        <v>0.79</v>
      </c>
      <c r="R5" s="36" t="s">
        <v>115</v>
      </c>
      <c r="S5" s="36">
        <v>1.1000000000000001</v>
      </c>
      <c r="T5" s="59"/>
      <c r="U5" s="59"/>
    </row>
    <row r="6" spans="1:21" customFormat="1" ht="14.4" x14ac:dyDescent="0.3">
      <c r="A6" s="32" t="s">
        <v>104</v>
      </c>
      <c r="B6" s="32" t="s">
        <v>1</v>
      </c>
      <c r="C6" s="69" t="s">
        <v>49</v>
      </c>
      <c r="D6" s="67" t="s">
        <v>139</v>
      </c>
      <c r="E6" s="34">
        <v>98</v>
      </c>
      <c r="F6" s="33">
        <v>9.2618676300000011</v>
      </c>
      <c r="G6" s="35">
        <v>14259</v>
      </c>
      <c r="H6" s="22"/>
      <c r="I6" s="36">
        <v>-2.8148740503798453</v>
      </c>
      <c r="J6" s="36">
        <v>21.530000000000005</v>
      </c>
      <c r="K6" s="36">
        <v>-2.6511952876088873</v>
      </c>
      <c r="L6" s="36">
        <v>22.890600000000006</v>
      </c>
      <c r="M6" s="23"/>
      <c r="N6" s="36">
        <v>16.214545892442203</v>
      </c>
      <c r="O6" s="36">
        <v>17.074726438039534</v>
      </c>
      <c r="P6" s="23"/>
      <c r="Q6" s="36">
        <v>0.79</v>
      </c>
      <c r="R6" s="36">
        <v>1.0900000000000001</v>
      </c>
      <c r="S6" s="36" t="s">
        <v>115</v>
      </c>
      <c r="T6" s="59"/>
      <c r="U6" s="59"/>
    </row>
    <row r="7" spans="1:21" customFormat="1" ht="14.4" x14ac:dyDescent="0.3">
      <c r="A7" s="32" t="s">
        <v>106</v>
      </c>
      <c r="B7" s="32" t="s">
        <v>3</v>
      </c>
      <c r="C7" s="32" t="s">
        <v>126</v>
      </c>
      <c r="D7" s="67" t="s">
        <v>139</v>
      </c>
      <c r="E7" s="34">
        <v>90</v>
      </c>
      <c r="F7" s="33">
        <v>21.694780530000003</v>
      </c>
      <c r="G7" s="35">
        <v>34509</v>
      </c>
      <c r="H7" s="22"/>
      <c r="I7" s="36">
        <v>-3.8927622841965603</v>
      </c>
      <c r="J7" s="36">
        <v>18.406790060333368</v>
      </c>
      <c r="K7" s="36">
        <v>-3.3952799151689916</v>
      </c>
      <c r="L7" s="36">
        <v>20.78481531726295</v>
      </c>
      <c r="M7" s="23"/>
      <c r="N7" s="36">
        <v>14.277089272422755</v>
      </c>
      <c r="O7" s="36">
        <v>15.261313616794062</v>
      </c>
      <c r="P7" s="23"/>
      <c r="Q7" s="36">
        <v>0.75</v>
      </c>
      <c r="R7" s="36">
        <v>0.92730000000000001</v>
      </c>
      <c r="S7" s="36" t="s">
        <v>115</v>
      </c>
      <c r="T7" s="59"/>
      <c r="U7" s="59"/>
    </row>
    <row r="8" spans="1:21" customFormat="1" ht="14.4" x14ac:dyDescent="0.3">
      <c r="A8" s="32" t="s">
        <v>37</v>
      </c>
      <c r="B8" s="32" t="s">
        <v>5</v>
      </c>
      <c r="C8" s="32" t="s">
        <v>50</v>
      </c>
      <c r="D8" s="67" t="s">
        <v>139</v>
      </c>
      <c r="E8" s="34">
        <v>90</v>
      </c>
      <c r="F8" s="33">
        <v>7.2058668899999994</v>
      </c>
      <c r="G8" s="35">
        <v>14631</v>
      </c>
      <c r="H8" s="22"/>
      <c r="I8" s="36">
        <v>-0.90323659780880972</v>
      </c>
      <c r="J8" s="36">
        <v>18.490000000000006</v>
      </c>
      <c r="K8" s="36">
        <v>-3.2164850743827689</v>
      </c>
      <c r="L8" s="36">
        <v>21.313199999999988</v>
      </c>
      <c r="M8" s="23"/>
      <c r="N8" s="36">
        <v>16.260940606631202</v>
      </c>
      <c r="O8" s="36">
        <v>17.299309962481129</v>
      </c>
      <c r="P8" s="23"/>
      <c r="Q8" s="36">
        <v>0.79</v>
      </c>
      <c r="R8" s="36" t="s">
        <v>115</v>
      </c>
      <c r="S8" s="36">
        <v>1.46</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4</v>
      </c>
      <c r="B34" s="33">
        <v>15.199678346239679</v>
      </c>
      <c r="C34" s="33">
        <v>22.229999999999993</v>
      </c>
    </row>
    <row r="35" spans="1:3" x14ac:dyDescent="0.3">
      <c r="A35" s="32" t="s">
        <v>2</v>
      </c>
      <c r="B35" s="33">
        <v>14.636708988340391</v>
      </c>
      <c r="C35" s="33">
        <v>17.409999999999993</v>
      </c>
    </row>
    <row r="36" spans="1:3" x14ac:dyDescent="0.3">
      <c r="A36" s="32" t="s">
        <v>1</v>
      </c>
      <c r="B36" s="33">
        <v>16.214545892442203</v>
      </c>
      <c r="C36" s="33">
        <v>21.530000000000005</v>
      </c>
    </row>
    <row r="37" spans="1:3" x14ac:dyDescent="0.3">
      <c r="A37" s="32" t="s">
        <v>3</v>
      </c>
      <c r="B37" s="33">
        <v>14.277089272422755</v>
      </c>
      <c r="C37" s="33">
        <v>18.406790060333368</v>
      </c>
    </row>
    <row r="38" spans="1:3" x14ac:dyDescent="0.3">
      <c r="A38" s="32" t="s">
        <v>5</v>
      </c>
      <c r="B38" s="33">
        <v>16.260940606631202</v>
      </c>
      <c r="C38" s="33">
        <v>18.490000000000006</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4</v>
      </c>
      <c r="B64" s="33">
        <v>8.8940000000000001</v>
      </c>
      <c r="C64" s="33">
        <v>22.229999999999993</v>
      </c>
      <c r="D64" s="33">
        <v>2.82350842</v>
      </c>
    </row>
    <row r="65" spans="1:4" x14ac:dyDescent="0.3">
      <c r="A65" s="32" t="s">
        <v>2</v>
      </c>
      <c r="B65" s="33">
        <v>12.78</v>
      </c>
      <c r="C65" s="33">
        <v>17.409999999999993</v>
      </c>
      <c r="D65" s="33">
        <v>6.9004335252999995</v>
      </c>
    </row>
    <row r="66" spans="1:4" x14ac:dyDescent="0.3">
      <c r="A66" s="32" t="s">
        <v>1</v>
      </c>
      <c r="B66" s="33">
        <v>14.259</v>
      </c>
      <c r="C66" s="33">
        <v>21.530000000000005</v>
      </c>
      <c r="D66" s="33">
        <v>9.2618676300000011</v>
      </c>
    </row>
    <row r="67" spans="1:4" x14ac:dyDescent="0.3">
      <c r="A67" s="32" t="s">
        <v>3</v>
      </c>
      <c r="B67" s="33">
        <v>34.509</v>
      </c>
      <c r="C67" s="33">
        <v>18.406790060333368</v>
      </c>
      <c r="D67" s="33">
        <v>21.694780530000003</v>
      </c>
    </row>
    <row r="68" spans="1:4" x14ac:dyDescent="0.3">
      <c r="A68" s="32" t="s">
        <v>5</v>
      </c>
      <c r="B68" s="33">
        <v>14.631</v>
      </c>
      <c r="C68" s="33">
        <v>18.490000000000006</v>
      </c>
      <c r="D68" s="33">
        <v>7.2058668899999994</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0!A1" display="Grįžti į pagrindinį puslapį"/>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activeCell="J25" sqref="J25"/>
    </sheetView>
  </sheetViews>
  <sheetFormatPr defaultRowHeight="15.6" x14ac:dyDescent="0.3"/>
  <cols>
    <col min="1" max="1" width="45.6640625" style="16" customWidth="1"/>
    <col min="2" max="2" width="14.88671875" style="16" bestFit="1" customWidth="1"/>
    <col min="3" max="3" width="78.109375" style="16" customWidth="1"/>
    <col min="4" max="4" width="13.109375" style="16" customWidth="1"/>
    <col min="5" max="5" width="16.109375" style="16" bestFit="1" customWidth="1"/>
    <col min="6" max="6" width="19.33203125" style="16" customWidth="1"/>
    <col min="7" max="7" width="13.6640625" style="16" customWidth="1"/>
    <col min="8" max="8" width="1.6640625" style="16" customWidth="1"/>
    <col min="9" max="9" width="16.88671875" style="16" customWidth="1"/>
    <col min="10" max="10" width="15.6640625" style="16" customWidth="1"/>
    <col min="11" max="11" width="13.77734375" style="16" customWidth="1"/>
    <col min="12" max="12" width="15.77734375" style="16" customWidth="1"/>
    <col min="13" max="13" width="1.6640625" style="16" customWidth="1"/>
    <col min="14" max="14" width="19.33203125" style="16" customWidth="1"/>
    <col min="15" max="15" width="15.6640625" style="16" customWidth="1"/>
    <col min="16" max="16" width="1.6640625" style="16" customWidth="1"/>
    <col min="17" max="17" width="9.109375" style="16" customWidth="1"/>
    <col min="18" max="18" width="12.6640625" style="16" customWidth="1"/>
    <col min="19" max="19" width="13"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51</v>
      </c>
      <c r="B3" s="73">
        <v>0</v>
      </c>
      <c r="C3" s="73">
        <v>0</v>
      </c>
      <c r="D3" s="44"/>
      <c r="E3" s="44"/>
      <c r="F3" s="45"/>
      <c r="G3" s="70" t="s">
        <v>122</v>
      </c>
      <c r="H3" s="45"/>
      <c r="I3" s="68">
        <v>-2.85084717281052</v>
      </c>
      <c r="J3" s="68">
        <v>19.389819197401621</v>
      </c>
      <c r="K3" s="68">
        <v>-3.1784683046370592</v>
      </c>
      <c r="L3" s="68">
        <v>21.302157973899632</v>
      </c>
      <c r="M3" s="45"/>
      <c r="N3" s="45"/>
      <c r="O3" s="45"/>
      <c r="P3" s="45"/>
      <c r="Q3" s="45"/>
      <c r="R3" s="45"/>
      <c r="S3" s="45"/>
    </row>
    <row r="4" spans="1:21" customFormat="1" ht="14.4" x14ac:dyDescent="0.3">
      <c r="A4" s="32" t="s">
        <v>36</v>
      </c>
      <c r="B4" s="32" t="s">
        <v>9</v>
      </c>
      <c r="C4" s="32" t="s">
        <v>52</v>
      </c>
      <c r="D4" s="67" t="s">
        <v>139</v>
      </c>
      <c r="E4" s="34">
        <v>90</v>
      </c>
      <c r="F4" s="33">
        <v>24.497875059999998</v>
      </c>
      <c r="G4" s="35">
        <v>18631</v>
      </c>
      <c r="H4" s="22"/>
      <c r="I4" s="36">
        <v>-1.2243574150652803</v>
      </c>
      <c r="J4" s="36">
        <v>21.819999999999993</v>
      </c>
      <c r="K4" s="36">
        <v>-2.4638752863360813</v>
      </c>
      <c r="L4" s="36">
        <v>21.479000000000003</v>
      </c>
      <c r="M4" s="22"/>
      <c r="N4" s="36">
        <v>15.183871444843744</v>
      </c>
      <c r="O4" s="36">
        <v>16.386306964793018</v>
      </c>
      <c r="P4" s="23"/>
      <c r="Q4" s="36">
        <v>0.78</v>
      </c>
      <c r="R4" s="36">
        <v>1.37</v>
      </c>
      <c r="S4" s="36" t="s">
        <v>115</v>
      </c>
      <c r="T4" s="59"/>
      <c r="U4" s="59"/>
    </row>
    <row r="5" spans="1:21" customFormat="1" ht="14.4" x14ac:dyDescent="0.3">
      <c r="A5" s="32" t="s">
        <v>105</v>
      </c>
      <c r="B5" s="32" t="s">
        <v>7</v>
      </c>
      <c r="C5" s="32" t="s">
        <v>53</v>
      </c>
      <c r="D5" s="67" t="s">
        <v>139</v>
      </c>
      <c r="E5" s="34">
        <v>97</v>
      </c>
      <c r="F5" s="33">
        <v>51.860682622799999</v>
      </c>
      <c r="G5" s="35">
        <v>33081</v>
      </c>
      <c r="H5" s="22"/>
      <c r="I5" s="36">
        <v>-4.2768527587332628</v>
      </c>
      <c r="J5" s="36">
        <v>17.280000000000008</v>
      </c>
      <c r="K5" s="36">
        <v>-3.5503124140621511</v>
      </c>
      <c r="L5" s="36">
        <v>20.649300000000004</v>
      </c>
      <c r="M5" s="22"/>
      <c r="N5" s="36">
        <v>14.963669948284835</v>
      </c>
      <c r="O5" s="36">
        <v>17.447724157759989</v>
      </c>
      <c r="P5" s="23"/>
      <c r="Q5" s="36">
        <v>0.79</v>
      </c>
      <c r="R5" s="36" t="s">
        <v>115</v>
      </c>
      <c r="S5" s="36">
        <v>1.08</v>
      </c>
      <c r="T5" s="59"/>
      <c r="U5" s="59"/>
    </row>
    <row r="6" spans="1:21" customFormat="1" ht="14.4" x14ac:dyDescent="0.3">
      <c r="A6" s="32" t="s">
        <v>104</v>
      </c>
      <c r="B6" s="32" t="s">
        <v>6</v>
      </c>
      <c r="C6" s="32" t="s">
        <v>54</v>
      </c>
      <c r="D6" s="67" t="s">
        <v>139</v>
      </c>
      <c r="E6" s="34">
        <v>98</v>
      </c>
      <c r="F6" s="33">
        <v>63.300053829999996</v>
      </c>
      <c r="G6" s="35">
        <v>40337</v>
      </c>
      <c r="H6" s="22"/>
      <c r="I6" s="36">
        <v>-2.5760747061664757</v>
      </c>
      <c r="J6" s="36">
        <v>21.019999999999996</v>
      </c>
      <c r="K6" s="36">
        <v>-2.6511952876088873</v>
      </c>
      <c r="L6" s="36">
        <v>22.890600000000006</v>
      </c>
      <c r="M6" s="22"/>
      <c r="N6" s="36">
        <v>16.094344929793866</v>
      </c>
      <c r="O6" s="36">
        <v>17.074726438039534</v>
      </c>
      <c r="P6" s="23"/>
      <c r="Q6" s="36">
        <v>0.79</v>
      </c>
      <c r="R6" s="36">
        <v>1.25</v>
      </c>
      <c r="S6" s="36" t="s">
        <v>115</v>
      </c>
      <c r="T6" s="59"/>
      <c r="U6" s="59"/>
    </row>
    <row r="7" spans="1:21" customFormat="1" ht="14.4" x14ac:dyDescent="0.3">
      <c r="A7" s="32" t="s">
        <v>106</v>
      </c>
      <c r="B7" s="32" t="s">
        <v>8</v>
      </c>
      <c r="C7" s="32" t="s">
        <v>127</v>
      </c>
      <c r="D7" s="67" t="s">
        <v>139</v>
      </c>
      <c r="E7" s="34">
        <v>90</v>
      </c>
      <c r="F7" s="33">
        <v>138.20203821999999</v>
      </c>
      <c r="G7" s="35">
        <v>88862</v>
      </c>
      <c r="H7" s="22"/>
      <c r="I7" s="36">
        <v>-3.3874323761964198</v>
      </c>
      <c r="J7" s="36">
        <v>19.707125915231515</v>
      </c>
      <c r="K7" s="36">
        <v>-3.3952799151689916</v>
      </c>
      <c r="L7" s="36">
        <v>20.78481531726295</v>
      </c>
      <c r="M7" s="22"/>
      <c r="N7" s="36">
        <v>14.255450012005772</v>
      </c>
      <c r="O7" s="36">
        <v>15.261313616794062</v>
      </c>
      <c r="P7" s="23"/>
      <c r="Q7" s="36">
        <v>0.75</v>
      </c>
      <c r="R7" s="36">
        <v>0.93179999999999996</v>
      </c>
      <c r="S7" s="36" t="s">
        <v>115</v>
      </c>
      <c r="T7" s="59"/>
      <c r="U7" s="59"/>
    </row>
    <row r="8" spans="1:21" customFormat="1" ht="14.4" x14ac:dyDescent="0.3">
      <c r="A8" s="32" t="s">
        <v>37</v>
      </c>
      <c r="B8" s="32" t="s">
        <v>10</v>
      </c>
      <c r="C8" s="32" t="s">
        <v>55</v>
      </c>
      <c r="D8" s="67" t="s">
        <v>139</v>
      </c>
      <c r="E8" s="34">
        <v>90</v>
      </c>
      <c r="F8" s="33">
        <v>42.99484211</v>
      </c>
      <c r="G8" s="35">
        <v>31690</v>
      </c>
      <c r="H8" s="22"/>
      <c r="I8" s="36">
        <v>-0.73728813559321704</v>
      </c>
      <c r="J8" s="36">
        <v>17.130000000000003</v>
      </c>
      <c r="K8" s="36">
        <v>-3.2164850743827689</v>
      </c>
      <c r="L8" s="36">
        <v>21.313199999999988</v>
      </c>
      <c r="M8" s="22"/>
      <c r="N8" s="36">
        <v>16.242846316391134</v>
      </c>
      <c r="O8" s="36">
        <v>17.299309962481129</v>
      </c>
      <c r="P8" s="23"/>
      <c r="Q8" s="36">
        <v>0.79</v>
      </c>
      <c r="R8" s="36" t="s">
        <v>115</v>
      </c>
      <c r="S8" s="36">
        <v>1.5</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9</v>
      </c>
      <c r="B34" s="33">
        <v>15.183871444843744</v>
      </c>
      <c r="C34" s="33">
        <v>21.819999999999993</v>
      </c>
    </row>
    <row r="35" spans="1:3" x14ac:dyDescent="0.3">
      <c r="A35" s="32" t="s">
        <v>7</v>
      </c>
      <c r="B35" s="33">
        <v>14.963669948284835</v>
      </c>
      <c r="C35" s="33">
        <v>17.280000000000008</v>
      </c>
    </row>
    <row r="36" spans="1:3" x14ac:dyDescent="0.3">
      <c r="A36" s="32" t="s">
        <v>6</v>
      </c>
      <c r="B36" s="33">
        <v>16.094344929793866</v>
      </c>
      <c r="C36" s="33">
        <v>21.019999999999996</v>
      </c>
    </row>
    <row r="37" spans="1:3" x14ac:dyDescent="0.3">
      <c r="A37" s="32" t="s">
        <v>8</v>
      </c>
      <c r="B37" s="33">
        <v>14.255450012005772</v>
      </c>
      <c r="C37" s="33">
        <v>19.707125915231515</v>
      </c>
    </row>
    <row r="38" spans="1:3" x14ac:dyDescent="0.3">
      <c r="A38" s="32" t="s">
        <v>10</v>
      </c>
      <c r="B38" s="33">
        <v>16.242846316391134</v>
      </c>
      <c r="C38" s="33">
        <v>17.130000000000003</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9</v>
      </c>
      <c r="B64" s="33">
        <v>18.631</v>
      </c>
      <c r="C64" s="33">
        <v>21.819999999999993</v>
      </c>
      <c r="D64" s="33">
        <v>24.497875059999998</v>
      </c>
    </row>
    <row r="65" spans="1:4" x14ac:dyDescent="0.3">
      <c r="A65" s="32" t="s">
        <v>7</v>
      </c>
      <c r="B65" s="33">
        <v>33.081000000000003</v>
      </c>
      <c r="C65" s="33">
        <v>17.280000000000008</v>
      </c>
      <c r="D65" s="33">
        <v>51.860682622799999</v>
      </c>
    </row>
    <row r="66" spans="1:4" x14ac:dyDescent="0.3">
      <c r="A66" s="32" t="s">
        <v>6</v>
      </c>
      <c r="B66" s="33">
        <v>40.337000000000003</v>
      </c>
      <c r="C66" s="33">
        <v>21.019999999999996</v>
      </c>
      <c r="D66" s="33">
        <v>63.300053829999996</v>
      </c>
    </row>
    <row r="67" spans="1:4" x14ac:dyDescent="0.3">
      <c r="A67" s="32" t="s">
        <v>8</v>
      </c>
      <c r="B67" s="33">
        <v>88.861999999999995</v>
      </c>
      <c r="C67" s="33">
        <v>19.707125915231515</v>
      </c>
      <c r="D67" s="33">
        <v>138.20203821999999</v>
      </c>
    </row>
    <row r="68" spans="1:4" x14ac:dyDescent="0.3">
      <c r="A68" s="32" t="s">
        <v>10</v>
      </c>
      <c r="B68" s="33">
        <v>31.69</v>
      </c>
      <c r="C68" s="33">
        <v>17.130000000000003</v>
      </c>
      <c r="D68" s="33">
        <v>42.99484211</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activeCell="I37" sqref="I37"/>
    </sheetView>
  </sheetViews>
  <sheetFormatPr defaultRowHeight="15.6" x14ac:dyDescent="0.3"/>
  <cols>
    <col min="1" max="1" width="39.33203125" style="16" customWidth="1"/>
    <col min="2" max="2" width="14.88671875" style="16" bestFit="1" customWidth="1"/>
    <col min="3" max="3" width="64.109375" style="16" customWidth="1"/>
    <col min="4" max="4" width="13.77734375" style="16" customWidth="1"/>
    <col min="5" max="5" width="16.109375" style="16" bestFit="1" customWidth="1"/>
    <col min="6" max="6" width="19.33203125" style="16" customWidth="1"/>
    <col min="7" max="7" width="15.109375" style="16" customWidth="1"/>
    <col min="8" max="8" width="1.44140625" style="16" customWidth="1"/>
    <col min="9" max="9" width="16" style="16" customWidth="1"/>
    <col min="10" max="10" width="18.33203125" style="16" customWidth="1"/>
    <col min="11" max="11" width="17.44140625" style="16" customWidth="1"/>
    <col min="12" max="12" width="16.88671875" style="16" customWidth="1"/>
    <col min="13" max="13" width="1.44140625" style="16" customWidth="1"/>
    <col min="14" max="14" width="19.6640625" style="16" customWidth="1"/>
    <col min="15" max="15" width="22.21875" style="16" customWidth="1"/>
    <col min="16" max="16" width="1.44140625" style="16" customWidth="1"/>
    <col min="17" max="18" width="8.88671875" style="16"/>
    <col min="19" max="19" width="14.554687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56</v>
      </c>
      <c r="B3" s="73"/>
      <c r="C3" s="73"/>
      <c r="D3" s="44"/>
      <c r="E3" s="44"/>
      <c r="F3" s="45"/>
      <c r="G3" s="70" t="s">
        <v>122</v>
      </c>
      <c r="H3" s="45"/>
      <c r="I3" s="68">
        <v>-2.6599352580488351</v>
      </c>
      <c r="J3" s="68">
        <v>19.590652915773788</v>
      </c>
      <c r="K3" s="68">
        <v>-3.1189789585101648</v>
      </c>
      <c r="L3" s="68">
        <v>21.449531808470663</v>
      </c>
      <c r="M3" s="45"/>
      <c r="N3" s="45"/>
      <c r="O3" s="45"/>
      <c r="P3" s="45"/>
      <c r="Q3" s="45"/>
      <c r="R3" s="45"/>
      <c r="S3" s="45"/>
    </row>
    <row r="4" spans="1:21" customFormat="1" ht="14.4" x14ac:dyDescent="0.3">
      <c r="A4" s="32" t="s">
        <v>36</v>
      </c>
      <c r="B4" s="32" t="s">
        <v>14</v>
      </c>
      <c r="C4" s="32" t="s">
        <v>57</v>
      </c>
      <c r="D4" s="67" t="s">
        <v>139</v>
      </c>
      <c r="E4" s="34">
        <v>90</v>
      </c>
      <c r="F4" s="33">
        <v>59.603819829999999</v>
      </c>
      <c r="G4" s="35">
        <v>26779</v>
      </c>
      <c r="H4" s="22"/>
      <c r="I4" s="36">
        <v>-1.5600877549362013</v>
      </c>
      <c r="J4" s="36">
        <v>21.150000000000002</v>
      </c>
      <c r="K4" s="36">
        <v>-2.4638752863360813</v>
      </c>
      <c r="L4" s="36">
        <v>21.479000000000003</v>
      </c>
      <c r="M4" s="22"/>
      <c r="N4" s="36">
        <v>15.085455123669355</v>
      </c>
      <c r="O4" s="36">
        <v>16.386306964793018</v>
      </c>
      <c r="P4" s="23"/>
      <c r="Q4" s="36">
        <v>0.78</v>
      </c>
      <c r="R4" s="36">
        <v>1.5</v>
      </c>
      <c r="S4" s="36" t="s">
        <v>115</v>
      </c>
      <c r="T4" s="59"/>
      <c r="U4" s="59"/>
    </row>
    <row r="5" spans="1:21" customFormat="1" ht="14.4" x14ac:dyDescent="0.3">
      <c r="A5" s="32" t="s">
        <v>105</v>
      </c>
      <c r="B5" s="32" t="s">
        <v>12</v>
      </c>
      <c r="C5" s="32" t="s">
        <v>58</v>
      </c>
      <c r="D5" s="67" t="s">
        <v>139</v>
      </c>
      <c r="E5" s="34">
        <v>97</v>
      </c>
      <c r="F5" s="33">
        <v>114.4872197926</v>
      </c>
      <c r="G5" s="35">
        <v>42317</v>
      </c>
      <c r="H5" s="22"/>
      <c r="I5" s="36">
        <v>-4.2986981085728289</v>
      </c>
      <c r="J5" s="36">
        <v>16.880000000000006</v>
      </c>
      <c r="K5" s="36">
        <v>-3.5503124140621511</v>
      </c>
      <c r="L5" s="36">
        <v>20.649300000000004</v>
      </c>
      <c r="M5" s="22"/>
      <c r="N5" s="36">
        <v>14.858226649099821</v>
      </c>
      <c r="O5" s="36">
        <v>17.447724157759989</v>
      </c>
      <c r="P5" s="23"/>
      <c r="Q5" s="36">
        <v>0.79</v>
      </c>
      <c r="R5" s="36" t="s">
        <v>115</v>
      </c>
      <c r="S5" s="36">
        <v>1.0900000000000001</v>
      </c>
      <c r="T5" s="59"/>
      <c r="U5" s="59"/>
    </row>
    <row r="6" spans="1:21" customFormat="1" ht="26.4" x14ac:dyDescent="0.3">
      <c r="A6" s="32" t="s">
        <v>104</v>
      </c>
      <c r="B6" s="32" t="s">
        <v>11</v>
      </c>
      <c r="C6" s="32" t="s">
        <v>59</v>
      </c>
      <c r="D6" s="67" t="s">
        <v>139</v>
      </c>
      <c r="E6" s="34">
        <v>98</v>
      </c>
      <c r="F6" s="33">
        <v>178.17777849999999</v>
      </c>
      <c r="G6" s="35">
        <v>70254</v>
      </c>
      <c r="H6" s="22"/>
      <c r="I6" s="36">
        <v>-2.3920747422680466</v>
      </c>
      <c r="J6" s="36">
        <v>21.189999999999998</v>
      </c>
      <c r="K6" s="36">
        <v>-2.6511952876088873</v>
      </c>
      <c r="L6" s="36">
        <v>22.890600000000006</v>
      </c>
      <c r="M6" s="22"/>
      <c r="N6" s="36">
        <v>16.029568505195705</v>
      </c>
      <c r="O6" s="36">
        <v>17.074726438039534</v>
      </c>
      <c r="P6" s="23"/>
      <c r="Q6" s="36">
        <v>0.79</v>
      </c>
      <c r="R6" s="36">
        <v>1.23</v>
      </c>
      <c r="S6" s="36" t="s">
        <v>115</v>
      </c>
      <c r="T6" s="59"/>
      <c r="U6" s="59"/>
    </row>
    <row r="7" spans="1:21" customFormat="1" ht="14.4" x14ac:dyDescent="0.3">
      <c r="A7" s="32" t="s">
        <v>106</v>
      </c>
      <c r="B7" s="32" t="s">
        <v>13</v>
      </c>
      <c r="C7" s="32" t="s">
        <v>128</v>
      </c>
      <c r="D7" s="67" t="s">
        <v>139</v>
      </c>
      <c r="E7" s="34">
        <v>90</v>
      </c>
      <c r="F7" s="33">
        <v>232.83504734000002</v>
      </c>
      <c r="G7" s="35">
        <v>106015</v>
      </c>
      <c r="H7" s="22"/>
      <c r="I7" s="36">
        <v>-3.173413293353311</v>
      </c>
      <c r="J7" s="36">
        <v>20.030975735673717</v>
      </c>
      <c r="K7" s="36">
        <v>-3.3952799151689916</v>
      </c>
      <c r="L7" s="36">
        <v>20.78481531726295</v>
      </c>
      <c r="M7" s="22"/>
      <c r="N7" s="36">
        <v>14.272380135758873</v>
      </c>
      <c r="O7" s="36">
        <v>15.261313616794062</v>
      </c>
      <c r="P7" s="23"/>
      <c r="Q7" s="36">
        <v>0.75</v>
      </c>
      <c r="R7" s="36">
        <v>0.92930000000000001</v>
      </c>
      <c r="S7" s="36" t="s">
        <v>115</v>
      </c>
      <c r="T7" s="59"/>
      <c r="U7" s="59"/>
    </row>
    <row r="8" spans="1:21" customFormat="1" ht="14.4" x14ac:dyDescent="0.3">
      <c r="A8" s="32" t="s">
        <v>37</v>
      </c>
      <c r="B8" s="32" t="s">
        <v>15</v>
      </c>
      <c r="C8" s="32" t="s">
        <v>60</v>
      </c>
      <c r="D8" s="67" t="s">
        <v>139</v>
      </c>
      <c r="E8" s="34">
        <v>90</v>
      </c>
      <c r="F8" s="33">
        <v>89.026437110000003</v>
      </c>
      <c r="G8" s="35">
        <v>44663</v>
      </c>
      <c r="H8" s="22"/>
      <c r="I8" s="36">
        <v>-0.48202959830867531</v>
      </c>
      <c r="J8" s="36">
        <v>17.680000000000007</v>
      </c>
      <c r="K8" s="36">
        <v>-3.2164850743827689</v>
      </c>
      <c r="L8" s="36">
        <v>21.313199999999988</v>
      </c>
      <c r="M8" s="22"/>
      <c r="N8" s="36">
        <v>16.240887723842306</v>
      </c>
      <c r="O8" s="36">
        <v>17.299309962481129</v>
      </c>
      <c r="P8" s="23"/>
      <c r="Q8" s="36">
        <v>0.79</v>
      </c>
      <c r="R8" s="36" t="s">
        <v>115</v>
      </c>
      <c r="S8" s="36">
        <v>1.52</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14</v>
      </c>
      <c r="B34" s="33">
        <v>15.085455123669355</v>
      </c>
      <c r="C34" s="33">
        <v>21.150000000000002</v>
      </c>
    </row>
    <row r="35" spans="1:3" x14ac:dyDescent="0.3">
      <c r="A35" s="32" t="s">
        <v>12</v>
      </c>
      <c r="B35" s="33">
        <v>14.858226649099821</v>
      </c>
      <c r="C35" s="33">
        <v>16.880000000000006</v>
      </c>
    </row>
    <row r="36" spans="1:3" x14ac:dyDescent="0.3">
      <c r="A36" s="32" t="s">
        <v>11</v>
      </c>
      <c r="B36" s="33">
        <v>16.029568505195705</v>
      </c>
      <c r="C36" s="33">
        <v>21.189999999999998</v>
      </c>
    </row>
    <row r="37" spans="1:3" x14ac:dyDescent="0.3">
      <c r="A37" s="32" t="s">
        <v>13</v>
      </c>
      <c r="B37" s="33">
        <v>14.272380135758873</v>
      </c>
      <c r="C37" s="33">
        <v>20.030975735673717</v>
      </c>
    </row>
    <row r="38" spans="1:3" x14ac:dyDescent="0.3">
      <c r="A38" s="32" t="s">
        <v>15</v>
      </c>
      <c r="B38" s="33">
        <v>16.240887723842306</v>
      </c>
      <c r="C38" s="33">
        <v>17.680000000000007</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14</v>
      </c>
      <c r="B64" s="33">
        <v>26.779</v>
      </c>
      <c r="C64" s="33">
        <v>21.150000000000002</v>
      </c>
      <c r="D64" s="33">
        <v>59.603819829999999</v>
      </c>
    </row>
    <row r="65" spans="1:4" x14ac:dyDescent="0.3">
      <c r="A65" s="32" t="s">
        <v>12</v>
      </c>
      <c r="B65" s="33">
        <v>42.317</v>
      </c>
      <c r="C65" s="33">
        <v>16.880000000000006</v>
      </c>
      <c r="D65" s="33">
        <v>114.4872197926</v>
      </c>
    </row>
    <row r="66" spans="1:4" x14ac:dyDescent="0.3">
      <c r="A66" s="32" t="s">
        <v>11</v>
      </c>
      <c r="B66" s="33">
        <v>70.254000000000005</v>
      </c>
      <c r="C66" s="33">
        <v>21.189999999999998</v>
      </c>
      <c r="D66" s="33">
        <v>178.17777849999999</v>
      </c>
    </row>
    <row r="67" spans="1:4" x14ac:dyDescent="0.3">
      <c r="A67" s="32" t="s">
        <v>13</v>
      </c>
      <c r="B67" s="33">
        <v>106.015</v>
      </c>
      <c r="C67" s="33">
        <v>20.030975735673717</v>
      </c>
      <c r="D67" s="33">
        <v>232.83504734000002</v>
      </c>
    </row>
    <row r="68" spans="1:4" x14ac:dyDescent="0.3">
      <c r="A68" s="32" t="s">
        <v>15</v>
      </c>
      <c r="B68" s="33">
        <v>44.662999999999997</v>
      </c>
      <c r="C68" s="33">
        <v>17.680000000000007</v>
      </c>
      <c r="D68" s="33">
        <v>89.026437110000003</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sqref="A1:XFD1048576"/>
    </sheetView>
  </sheetViews>
  <sheetFormatPr defaultRowHeight="15.6" x14ac:dyDescent="0.3"/>
  <cols>
    <col min="1" max="1" width="39.21875" style="16" customWidth="1"/>
    <col min="2" max="2" width="14.88671875" style="16" bestFit="1" customWidth="1"/>
    <col min="3" max="3" width="67.109375" style="16" customWidth="1"/>
    <col min="4" max="4" width="13.44140625" style="16" customWidth="1"/>
    <col min="5" max="5" width="15.109375" style="16" customWidth="1"/>
    <col min="6" max="6" width="13" style="16" customWidth="1"/>
    <col min="7" max="7" width="14.33203125" style="16" customWidth="1"/>
    <col min="8" max="8" width="1.109375" style="16" customWidth="1"/>
    <col min="9" max="9" width="18.44140625" style="16" customWidth="1"/>
    <col min="10" max="10" width="17.44140625" style="16" customWidth="1"/>
    <col min="11" max="11" width="18.44140625" style="16" customWidth="1"/>
    <col min="12" max="12" width="17.33203125" style="16" customWidth="1"/>
    <col min="13" max="13" width="1.109375" style="16" customWidth="1"/>
    <col min="14" max="14" width="18.44140625" style="16" customWidth="1"/>
    <col min="15" max="15" width="18.21875" style="16" customWidth="1"/>
    <col min="16" max="16" width="1.109375" style="16" customWidth="1"/>
    <col min="17" max="18" width="8.88671875" style="16"/>
    <col min="19" max="19" width="12.3320312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61</v>
      </c>
      <c r="B3" s="73"/>
      <c r="C3" s="73"/>
      <c r="D3" s="44"/>
      <c r="E3" s="44"/>
      <c r="F3" s="45"/>
      <c r="G3" s="70" t="s">
        <v>122</v>
      </c>
      <c r="H3" s="45"/>
      <c r="I3" s="68">
        <v>-2.6508505580417077</v>
      </c>
      <c r="J3" s="68">
        <v>20.413097355266121</v>
      </c>
      <c r="K3" s="68">
        <v>-3.1051419433878107</v>
      </c>
      <c r="L3" s="68">
        <v>22.448543875752385</v>
      </c>
      <c r="M3" s="45"/>
      <c r="N3" s="45"/>
      <c r="O3" s="45"/>
      <c r="P3" s="45"/>
      <c r="Q3" s="45"/>
      <c r="R3" s="45"/>
      <c r="S3" s="45"/>
    </row>
    <row r="4" spans="1:21" customFormat="1" ht="14.4" x14ac:dyDescent="0.3">
      <c r="A4" s="32" t="s">
        <v>36</v>
      </c>
      <c r="B4" s="32" t="s">
        <v>19</v>
      </c>
      <c r="C4" s="32" t="s">
        <v>62</v>
      </c>
      <c r="D4" s="67" t="s">
        <v>139</v>
      </c>
      <c r="E4" s="34">
        <v>90</v>
      </c>
      <c r="F4" s="33">
        <v>78.905635369999999</v>
      </c>
      <c r="G4" s="35">
        <v>21965</v>
      </c>
      <c r="H4" s="22"/>
      <c r="I4" s="36">
        <v>-1.4832925835370769</v>
      </c>
      <c r="J4" s="36">
        <v>20.88000000000001</v>
      </c>
      <c r="K4" s="36">
        <v>-2.4638752863360813</v>
      </c>
      <c r="L4" s="36">
        <v>21.479000000000003</v>
      </c>
      <c r="M4" s="23"/>
      <c r="N4" s="36">
        <v>15.016280653178626</v>
      </c>
      <c r="O4" s="36">
        <v>16.386306964793018</v>
      </c>
      <c r="P4" s="23"/>
      <c r="Q4" s="36">
        <v>0.78</v>
      </c>
      <c r="R4" s="36">
        <v>1.51</v>
      </c>
      <c r="S4" s="36" t="s">
        <v>115</v>
      </c>
      <c r="T4" s="59"/>
      <c r="U4" s="59"/>
    </row>
    <row r="5" spans="1:21" customFormat="1" ht="14.4" x14ac:dyDescent="0.3">
      <c r="A5" s="32" t="s">
        <v>105</v>
      </c>
      <c r="B5" s="32" t="s">
        <v>17</v>
      </c>
      <c r="C5" s="32" t="s">
        <v>63</v>
      </c>
      <c r="D5" s="67" t="s">
        <v>139</v>
      </c>
      <c r="E5" s="34">
        <v>97</v>
      </c>
      <c r="F5" s="33">
        <v>130.3782217689</v>
      </c>
      <c r="G5" s="35">
        <v>27136</v>
      </c>
      <c r="H5" s="22"/>
      <c r="I5" s="36">
        <v>-4.3662430759205062</v>
      </c>
      <c r="J5" s="36">
        <v>17.399999999999991</v>
      </c>
      <c r="K5" s="36">
        <v>-3.5503124140621511</v>
      </c>
      <c r="L5" s="36">
        <v>20.649300000000004</v>
      </c>
      <c r="M5" s="23"/>
      <c r="N5" s="36">
        <v>14.958972276259995</v>
      </c>
      <c r="O5" s="36">
        <v>17.447724157759989</v>
      </c>
      <c r="P5" s="23"/>
      <c r="Q5" s="36">
        <v>0.79</v>
      </c>
      <c r="R5" s="36" t="s">
        <v>115</v>
      </c>
      <c r="S5" s="36">
        <v>1.0900000000000001</v>
      </c>
      <c r="T5" s="59"/>
      <c r="U5" s="59"/>
    </row>
    <row r="6" spans="1:21" customFormat="1" ht="14.4" x14ac:dyDescent="0.3">
      <c r="A6" s="32" t="s">
        <v>104</v>
      </c>
      <c r="B6" s="32" t="s">
        <v>16</v>
      </c>
      <c r="C6" s="32" t="s">
        <v>64</v>
      </c>
      <c r="D6" s="67" t="s">
        <v>139</v>
      </c>
      <c r="E6" s="34">
        <v>98</v>
      </c>
      <c r="F6" s="33">
        <v>253.90988808</v>
      </c>
      <c r="G6" s="35">
        <v>61381</v>
      </c>
      <c r="H6" s="22"/>
      <c r="I6" s="36">
        <v>-2.358230144333151</v>
      </c>
      <c r="J6" s="36">
        <v>23.799999999999997</v>
      </c>
      <c r="K6" s="36">
        <v>-2.6513665968337041</v>
      </c>
      <c r="L6" s="36">
        <v>26.344800000000014</v>
      </c>
      <c r="M6" s="23"/>
      <c r="N6" s="36">
        <v>16.506779456141761</v>
      </c>
      <c r="O6" s="36">
        <v>17.700487701962267</v>
      </c>
      <c r="P6" s="23"/>
      <c r="Q6" s="36">
        <v>0.79</v>
      </c>
      <c r="R6" s="36">
        <v>1.24</v>
      </c>
      <c r="S6" s="36" t="s">
        <v>115</v>
      </c>
      <c r="T6" s="59"/>
      <c r="U6" s="59"/>
    </row>
    <row r="7" spans="1:21" customFormat="1" ht="14.4" x14ac:dyDescent="0.3">
      <c r="A7" s="32" t="s">
        <v>106</v>
      </c>
      <c r="B7" s="32" t="s">
        <v>18</v>
      </c>
      <c r="C7" s="32" t="s">
        <v>129</v>
      </c>
      <c r="D7" s="67" t="s">
        <v>139</v>
      </c>
      <c r="E7" s="34">
        <v>90</v>
      </c>
      <c r="F7" s="33">
        <v>324.97999716000004</v>
      </c>
      <c r="G7" s="35">
        <v>97189</v>
      </c>
      <c r="H7" s="22"/>
      <c r="I7" s="36">
        <v>-3.2134212503129977</v>
      </c>
      <c r="J7" s="36">
        <v>20.041407867494819</v>
      </c>
      <c r="K7" s="36">
        <v>-3.3952799151689916</v>
      </c>
      <c r="L7" s="36">
        <v>20.78481531726295</v>
      </c>
      <c r="M7" s="23"/>
      <c r="N7" s="36">
        <v>14.33507838533237</v>
      </c>
      <c r="O7" s="36">
        <v>15.261313616794062</v>
      </c>
      <c r="P7" s="23"/>
      <c r="Q7" s="36">
        <v>0.75</v>
      </c>
      <c r="R7" s="36">
        <v>0.92930000000000001</v>
      </c>
      <c r="S7" s="36" t="s">
        <v>115</v>
      </c>
      <c r="T7" s="59"/>
      <c r="U7" s="59"/>
    </row>
    <row r="8" spans="1:21" customFormat="1" ht="14.4" x14ac:dyDescent="0.3">
      <c r="A8" s="32" t="s">
        <v>37</v>
      </c>
      <c r="B8" s="32" t="s">
        <v>20</v>
      </c>
      <c r="C8" s="32" t="s">
        <v>65</v>
      </c>
      <c r="D8" s="67" t="s">
        <v>139</v>
      </c>
      <c r="E8" s="34">
        <v>90</v>
      </c>
      <c r="F8" s="33">
        <v>121.13929936</v>
      </c>
      <c r="G8" s="35">
        <v>39621</v>
      </c>
      <c r="H8" s="22"/>
      <c r="I8" s="36">
        <v>-0.66926465604878471</v>
      </c>
      <c r="J8" s="36">
        <v>17.250000000000011</v>
      </c>
      <c r="K8" s="36">
        <v>-3.2164850743827689</v>
      </c>
      <c r="L8" s="36">
        <v>21.313199999999988</v>
      </c>
      <c r="M8" s="23"/>
      <c r="N8" s="36">
        <v>16.33764496973016</v>
      </c>
      <c r="O8" s="36">
        <v>17.299309962481129</v>
      </c>
      <c r="P8" s="23"/>
      <c r="Q8" s="36">
        <v>0.79</v>
      </c>
      <c r="R8" s="36" t="s">
        <v>115</v>
      </c>
      <c r="S8" s="36">
        <v>1.52</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19</v>
      </c>
      <c r="B34" s="33">
        <v>15.016280653178626</v>
      </c>
      <c r="C34" s="33">
        <v>20.88000000000001</v>
      </c>
    </row>
    <row r="35" spans="1:3" x14ac:dyDescent="0.3">
      <c r="A35" s="32" t="s">
        <v>17</v>
      </c>
      <c r="B35" s="33">
        <v>14.958972276259995</v>
      </c>
      <c r="C35" s="33">
        <v>17.399999999999991</v>
      </c>
    </row>
    <row r="36" spans="1:3" x14ac:dyDescent="0.3">
      <c r="A36" s="32" t="s">
        <v>16</v>
      </c>
      <c r="B36" s="33">
        <v>16.506779456141761</v>
      </c>
      <c r="C36" s="33">
        <v>23.799999999999997</v>
      </c>
    </row>
    <row r="37" spans="1:3" x14ac:dyDescent="0.3">
      <c r="A37" s="32" t="s">
        <v>18</v>
      </c>
      <c r="B37" s="33">
        <v>14.33507838533237</v>
      </c>
      <c r="C37" s="33">
        <v>20.041407867494819</v>
      </c>
    </row>
    <row r="38" spans="1:3" x14ac:dyDescent="0.3">
      <c r="A38" s="32" t="s">
        <v>20</v>
      </c>
      <c r="B38" s="33">
        <v>16.33764496973016</v>
      </c>
      <c r="C38" s="33">
        <v>17.250000000000011</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17</v>
      </c>
      <c r="B64" s="33">
        <v>27.135999999999999</v>
      </c>
      <c r="C64" s="33">
        <v>17.399999999999991</v>
      </c>
      <c r="D64" s="33">
        <v>130.3782217689</v>
      </c>
    </row>
    <row r="65" spans="1:4" x14ac:dyDescent="0.3">
      <c r="A65" s="32" t="s">
        <v>19</v>
      </c>
      <c r="B65" s="33">
        <v>21.965</v>
      </c>
      <c r="C65" s="33">
        <v>20.88000000000001</v>
      </c>
      <c r="D65" s="33">
        <v>78.905635369999999</v>
      </c>
    </row>
    <row r="66" spans="1:4" x14ac:dyDescent="0.3">
      <c r="A66" s="32" t="s">
        <v>16</v>
      </c>
      <c r="B66" s="33">
        <v>61.381</v>
      </c>
      <c r="C66" s="33">
        <v>23.799999999999997</v>
      </c>
      <c r="D66" s="33">
        <v>253.90988808</v>
      </c>
    </row>
    <row r="67" spans="1:4" x14ac:dyDescent="0.3">
      <c r="A67" s="32" t="s">
        <v>18</v>
      </c>
      <c r="B67" s="33">
        <v>97.188999999999993</v>
      </c>
      <c r="C67" s="33">
        <v>20.041407867494819</v>
      </c>
      <c r="D67" s="33">
        <v>324.97999716000004</v>
      </c>
    </row>
    <row r="68" spans="1:4" x14ac:dyDescent="0.3">
      <c r="A68" s="32" t="s">
        <v>20</v>
      </c>
      <c r="B68" s="33">
        <v>39.621000000000002</v>
      </c>
      <c r="C68" s="33">
        <v>17.250000000000011</v>
      </c>
      <c r="D68" s="33">
        <v>121.13929936</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sqref="A1:XFD1048576"/>
    </sheetView>
  </sheetViews>
  <sheetFormatPr defaultRowHeight="15.6" x14ac:dyDescent="0.3"/>
  <cols>
    <col min="1" max="1" width="41.21875" style="16" customWidth="1"/>
    <col min="2" max="2" width="14.88671875" style="16" bestFit="1" customWidth="1"/>
    <col min="3" max="3" width="68.33203125" style="16" customWidth="1"/>
    <col min="4" max="4" width="13.44140625" style="16" customWidth="1"/>
    <col min="5" max="5" width="17.5546875" style="16" customWidth="1"/>
    <col min="6" max="6" width="17" style="16" customWidth="1"/>
    <col min="7" max="7" width="13.33203125" style="16" customWidth="1"/>
    <col min="8" max="8" width="1.88671875" style="16" customWidth="1"/>
    <col min="9" max="9" width="16.77734375" style="16" customWidth="1"/>
    <col min="10" max="10" width="17" style="16" customWidth="1"/>
    <col min="11" max="11" width="18.77734375" style="16" customWidth="1"/>
    <col min="12" max="12" width="15.44140625" style="16" customWidth="1"/>
    <col min="13" max="13" width="1.88671875" style="16" customWidth="1"/>
    <col min="14" max="14" width="17.88671875" style="16" customWidth="1"/>
    <col min="15" max="15" width="16.33203125" style="16" customWidth="1"/>
    <col min="16" max="16" width="1.88671875" style="16" customWidth="1"/>
    <col min="17" max="17" width="8.88671875" style="16"/>
    <col min="18" max="18" width="10.6640625" style="16" customWidth="1"/>
    <col min="19" max="19" width="12.554687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66</v>
      </c>
      <c r="B3" s="73"/>
      <c r="C3" s="73"/>
      <c r="D3" s="44"/>
      <c r="E3" s="44"/>
      <c r="F3" s="45"/>
      <c r="G3" s="70" t="s">
        <v>122</v>
      </c>
      <c r="H3" s="45"/>
      <c r="I3" s="68">
        <v>-2.5632473011602737</v>
      </c>
      <c r="J3" s="68">
        <v>19.216649452768824</v>
      </c>
      <c r="K3" s="68">
        <v>-2.7020293313447143</v>
      </c>
      <c r="L3" s="68">
        <v>21.294922715431422</v>
      </c>
      <c r="M3" s="45"/>
      <c r="N3" s="45"/>
      <c r="O3" s="45"/>
      <c r="P3" s="45"/>
      <c r="Q3" s="45"/>
      <c r="R3" s="45"/>
      <c r="S3" s="45"/>
    </row>
    <row r="4" spans="1:21" customFormat="1" ht="14.4" x14ac:dyDescent="0.3">
      <c r="A4" s="32" t="s">
        <v>36</v>
      </c>
      <c r="B4" s="32" t="s">
        <v>24</v>
      </c>
      <c r="C4" s="32" t="s">
        <v>67</v>
      </c>
      <c r="D4" s="67" t="s">
        <v>139</v>
      </c>
      <c r="E4" s="34">
        <v>90</v>
      </c>
      <c r="F4" s="33">
        <v>81.398696889999997</v>
      </c>
      <c r="G4" s="35">
        <v>20496</v>
      </c>
      <c r="H4" s="22"/>
      <c r="I4" s="36">
        <v>-1.5975995458600289</v>
      </c>
      <c r="J4" s="36">
        <v>21.340000000000003</v>
      </c>
      <c r="K4" s="36">
        <v>-2.4638752863360813</v>
      </c>
      <c r="L4" s="36">
        <v>21.479000000000003</v>
      </c>
      <c r="M4" s="23"/>
      <c r="N4" s="36">
        <v>15.096652544638175</v>
      </c>
      <c r="O4" s="36">
        <v>16.386306964793018</v>
      </c>
      <c r="P4" s="23"/>
      <c r="Q4" s="36">
        <v>0.78</v>
      </c>
      <c r="R4" s="36">
        <v>1.56</v>
      </c>
      <c r="S4" s="36" t="s">
        <v>115</v>
      </c>
      <c r="T4" s="59"/>
      <c r="U4" s="59"/>
    </row>
    <row r="5" spans="1:21" customFormat="1" ht="14.4" x14ac:dyDescent="0.3">
      <c r="A5" s="32" t="s">
        <v>105</v>
      </c>
      <c r="B5" s="32" t="s">
        <v>22</v>
      </c>
      <c r="C5" s="32" t="s">
        <v>68</v>
      </c>
      <c r="D5" s="67" t="s">
        <v>139</v>
      </c>
      <c r="E5" s="34">
        <v>82.922500000000014</v>
      </c>
      <c r="F5" s="33">
        <v>120.39782167649999</v>
      </c>
      <c r="G5" s="35">
        <v>22925</v>
      </c>
      <c r="H5" s="22"/>
      <c r="I5" s="36">
        <v>-3.8584681060668147</v>
      </c>
      <c r="J5" s="36">
        <v>17.110000000000003</v>
      </c>
      <c r="K5" s="36">
        <v>-2.8689869772141496</v>
      </c>
      <c r="L5" s="36">
        <v>20.738900000000005</v>
      </c>
      <c r="M5" s="23"/>
      <c r="N5" s="36">
        <v>13.756753451799216</v>
      </c>
      <c r="O5" s="36">
        <v>16.186633784717092</v>
      </c>
      <c r="P5" s="23"/>
      <c r="Q5" s="36">
        <v>0.79</v>
      </c>
      <c r="R5" s="36" t="s">
        <v>115</v>
      </c>
      <c r="S5" s="36">
        <v>1.08</v>
      </c>
      <c r="T5" s="59"/>
      <c r="U5" s="59"/>
    </row>
    <row r="6" spans="1:21" customFormat="1" ht="14.4" x14ac:dyDescent="0.3">
      <c r="A6" s="32" t="s">
        <v>104</v>
      </c>
      <c r="B6" s="32" t="s">
        <v>21</v>
      </c>
      <c r="C6" s="32" t="s">
        <v>69</v>
      </c>
      <c r="D6" s="67" t="s">
        <v>139</v>
      </c>
      <c r="E6" s="34">
        <v>87.9</v>
      </c>
      <c r="F6" s="33">
        <v>241.85908219000001</v>
      </c>
      <c r="G6" s="35">
        <v>52569</v>
      </c>
      <c r="H6" s="22"/>
      <c r="I6" s="36">
        <v>-2.1355767675133475</v>
      </c>
      <c r="J6" s="36">
        <v>20.979999999999997</v>
      </c>
      <c r="K6" s="36">
        <v>-1.9103969572999202</v>
      </c>
      <c r="L6" s="36">
        <v>22.761099999999999</v>
      </c>
      <c r="M6" s="23"/>
      <c r="N6" s="36">
        <v>15.243864495450532</v>
      </c>
      <c r="O6" s="36">
        <v>15.694596459106128</v>
      </c>
      <c r="P6" s="23"/>
      <c r="Q6" s="36">
        <v>0.79</v>
      </c>
      <c r="R6" s="36">
        <v>1.2</v>
      </c>
      <c r="S6" s="36" t="s">
        <v>115</v>
      </c>
      <c r="T6" s="59"/>
      <c r="U6" s="59"/>
    </row>
    <row r="7" spans="1:21" customFormat="1" ht="14.4" x14ac:dyDescent="0.3">
      <c r="A7" s="32" t="s">
        <v>106</v>
      </c>
      <c r="B7" s="32" t="s">
        <v>23</v>
      </c>
      <c r="C7" s="32" t="s">
        <v>130</v>
      </c>
      <c r="D7" s="67" t="s">
        <v>139</v>
      </c>
      <c r="E7" s="34">
        <v>90</v>
      </c>
      <c r="F7" s="33">
        <v>347.52563864000001</v>
      </c>
      <c r="G7" s="35">
        <v>95619</v>
      </c>
      <c r="H7" s="22"/>
      <c r="I7" s="36">
        <v>-3.1608717351522264</v>
      </c>
      <c r="J7" s="36">
        <v>20.119686339248855</v>
      </c>
      <c r="K7" s="36">
        <v>-3.3952799151689916</v>
      </c>
      <c r="L7" s="36">
        <v>20.78481531726295</v>
      </c>
      <c r="M7" s="23"/>
      <c r="N7" s="36">
        <v>14.32156275738766</v>
      </c>
      <c r="O7" s="36">
        <v>15.261313616794062</v>
      </c>
      <c r="P7" s="23"/>
      <c r="Q7" s="36">
        <v>0.75</v>
      </c>
      <c r="R7" s="36">
        <v>0.92949999999999999</v>
      </c>
      <c r="S7" s="36" t="s">
        <v>115</v>
      </c>
      <c r="T7" s="59"/>
      <c r="U7" s="59"/>
    </row>
    <row r="8" spans="1:21" customFormat="1" ht="14.4" x14ac:dyDescent="0.3">
      <c r="A8" s="32" t="s">
        <v>37</v>
      </c>
      <c r="B8" s="32" t="s">
        <v>25</v>
      </c>
      <c r="C8" s="32" t="s">
        <v>70</v>
      </c>
      <c r="D8" s="67" t="s">
        <v>139</v>
      </c>
      <c r="E8" s="34">
        <v>78</v>
      </c>
      <c r="F8" s="33">
        <v>141.93297444999999</v>
      </c>
      <c r="G8" s="35">
        <v>40480</v>
      </c>
      <c r="H8" s="22"/>
      <c r="I8" s="36">
        <v>-1.2838187144580515</v>
      </c>
      <c r="J8" s="36">
        <v>14.569999999999993</v>
      </c>
      <c r="K8" s="36">
        <v>-2.3485189465360934</v>
      </c>
      <c r="L8" s="36">
        <v>20.411599999999996</v>
      </c>
      <c r="M8" s="23"/>
      <c r="N8" s="36">
        <v>14.782780060902454</v>
      </c>
      <c r="O8" s="36">
        <v>15.203157295224187</v>
      </c>
      <c r="P8" s="23"/>
      <c r="Q8" s="36">
        <v>0.79</v>
      </c>
      <c r="R8" s="36" t="s">
        <v>115</v>
      </c>
      <c r="S8" s="36">
        <v>1.48</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24</v>
      </c>
      <c r="B34" s="33">
        <v>15.096652544638175</v>
      </c>
      <c r="C34" s="33">
        <v>21.340000000000003</v>
      </c>
    </row>
    <row r="35" spans="1:3" x14ac:dyDescent="0.3">
      <c r="A35" s="32" t="s">
        <v>22</v>
      </c>
      <c r="B35" s="33">
        <v>13.756753451799216</v>
      </c>
      <c r="C35" s="33">
        <v>17.110000000000003</v>
      </c>
    </row>
    <row r="36" spans="1:3" x14ac:dyDescent="0.3">
      <c r="A36" s="32" t="s">
        <v>21</v>
      </c>
      <c r="B36" s="33">
        <v>15.243864495450532</v>
      </c>
      <c r="C36" s="33">
        <v>20.979999999999997</v>
      </c>
    </row>
    <row r="37" spans="1:3" x14ac:dyDescent="0.3">
      <c r="A37" s="32" t="s">
        <v>23</v>
      </c>
      <c r="B37" s="33">
        <v>14.32156275738766</v>
      </c>
      <c r="C37" s="33">
        <v>20.119686339248855</v>
      </c>
    </row>
    <row r="38" spans="1:3" x14ac:dyDescent="0.3">
      <c r="A38" s="32" t="s">
        <v>25</v>
      </c>
      <c r="B38" s="33">
        <v>14.782780060902454</v>
      </c>
      <c r="C38" s="33">
        <v>14.569999999999993</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22</v>
      </c>
      <c r="B64" s="33">
        <v>22.925000000000001</v>
      </c>
      <c r="C64" s="33">
        <v>17.110000000000003</v>
      </c>
      <c r="D64" s="33">
        <v>120.39782167649999</v>
      </c>
    </row>
    <row r="65" spans="1:4" x14ac:dyDescent="0.3">
      <c r="A65" s="32" t="s">
        <v>24</v>
      </c>
      <c r="B65" s="33">
        <v>20.495999999999999</v>
      </c>
      <c r="C65" s="33">
        <v>21.340000000000003</v>
      </c>
      <c r="D65" s="33">
        <v>81.398696889999997</v>
      </c>
    </row>
    <row r="66" spans="1:4" x14ac:dyDescent="0.3">
      <c r="A66" s="32" t="s">
        <v>21</v>
      </c>
      <c r="B66" s="33">
        <v>52.569000000000003</v>
      </c>
      <c r="C66" s="33">
        <v>20.979999999999997</v>
      </c>
      <c r="D66" s="33">
        <v>241.85908219000001</v>
      </c>
    </row>
    <row r="67" spans="1:4" x14ac:dyDescent="0.3">
      <c r="A67" s="32" t="s">
        <v>23</v>
      </c>
      <c r="B67" s="33">
        <v>95.619</v>
      </c>
      <c r="C67" s="33">
        <v>20.119686339248855</v>
      </c>
      <c r="D67" s="33">
        <v>347.52563864000001</v>
      </c>
    </row>
    <row r="68" spans="1:4" x14ac:dyDescent="0.3">
      <c r="A68" s="32" t="s">
        <v>25</v>
      </c>
      <c r="B68" s="33">
        <v>40.479999999999997</v>
      </c>
      <c r="C68" s="33">
        <v>14.569999999999993</v>
      </c>
      <c r="D68" s="33">
        <v>141.93297444999999</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sqref="A1:XFD1048576"/>
    </sheetView>
  </sheetViews>
  <sheetFormatPr defaultRowHeight="15.6" x14ac:dyDescent="0.3"/>
  <cols>
    <col min="1" max="1" width="39.77734375" style="16" customWidth="1"/>
    <col min="2" max="2" width="14.88671875" style="16" bestFit="1" customWidth="1"/>
    <col min="3" max="3" width="64.6640625" style="16" customWidth="1"/>
    <col min="4" max="4" width="17.44140625" style="16" customWidth="1"/>
    <col min="5" max="5" width="16.109375" style="16" bestFit="1" customWidth="1"/>
    <col min="6" max="6" width="19.33203125" style="16" customWidth="1"/>
    <col min="7" max="7" width="13.6640625" style="16" customWidth="1"/>
    <col min="8" max="8" width="1.44140625" style="16" customWidth="1"/>
    <col min="9" max="9" width="17.21875" style="16" customWidth="1"/>
    <col min="10" max="10" width="17" style="16" customWidth="1"/>
    <col min="11" max="11" width="18.44140625" style="16" customWidth="1"/>
    <col min="12" max="12" width="17.109375" style="16" customWidth="1"/>
    <col min="13" max="13" width="1.44140625" style="16" customWidth="1"/>
    <col min="14" max="14" width="16" style="16" customWidth="1"/>
    <col min="15" max="15" width="18.88671875" style="16" customWidth="1"/>
    <col min="16" max="16" width="1.44140625" style="16" customWidth="1"/>
    <col min="17" max="17" width="8.88671875" style="16"/>
    <col min="18" max="18" width="11" style="16" customWidth="1"/>
    <col min="19" max="19" width="13.2187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71</v>
      </c>
      <c r="B3" s="73"/>
      <c r="C3" s="73"/>
      <c r="D3" s="44"/>
      <c r="E3" s="44"/>
      <c r="F3" s="45"/>
      <c r="G3" s="70" t="s">
        <v>122</v>
      </c>
      <c r="H3" s="45"/>
      <c r="I3" s="68">
        <v>-1.0248687323773806</v>
      </c>
      <c r="J3" s="68">
        <v>13.994504675465272</v>
      </c>
      <c r="K3" s="68">
        <v>-0.89980429408770768</v>
      </c>
      <c r="L3" s="68">
        <v>16.030191497561155</v>
      </c>
      <c r="M3" s="45"/>
      <c r="N3" s="45"/>
      <c r="O3" s="45"/>
      <c r="P3" s="45"/>
      <c r="Q3" s="45"/>
      <c r="R3" s="45"/>
      <c r="S3" s="45"/>
    </row>
    <row r="4" spans="1:21" customFormat="1" x14ac:dyDescent="0.3">
      <c r="A4" s="32" t="s">
        <v>36</v>
      </c>
      <c r="B4" s="32" t="s">
        <v>27</v>
      </c>
      <c r="C4" s="32" t="s">
        <v>72</v>
      </c>
      <c r="D4" s="67" t="s">
        <v>139</v>
      </c>
      <c r="E4" s="34">
        <v>55.000000000000007</v>
      </c>
      <c r="F4" s="33">
        <v>73.192578769999997</v>
      </c>
      <c r="G4" s="35">
        <v>18757</v>
      </c>
      <c r="H4" s="22"/>
      <c r="I4" s="36">
        <v>-0.19673252929603979</v>
      </c>
      <c r="J4" s="36">
        <v>16.680000000000007</v>
      </c>
      <c r="K4" s="36">
        <v>-1.4945608883686679</v>
      </c>
      <c r="L4" s="36">
        <v>17.4833</v>
      </c>
      <c r="M4" s="23"/>
      <c r="N4" s="36">
        <v>11.35503497389162</v>
      </c>
      <c r="O4" s="36">
        <v>11.901777629754665</v>
      </c>
      <c r="P4" s="23"/>
      <c r="Q4" s="36">
        <v>0.78</v>
      </c>
      <c r="R4" s="36">
        <v>1.53</v>
      </c>
      <c r="S4" s="36" t="s">
        <v>115</v>
      </c>
      <c r="T4" s="16"/>
      <c r="U4" s="59"/>
    </row>
    <row r="5" spans="1:21" customFormat="1" x14ac:dyDescent="0.3">
      <c r="A5" s="32" t="s">
        <v>105</v>
      </c>
      <c r="B5" s="32" t="s">
        <v>29</v>
      </c>
      <c r="C5" s="32" t="s">
        <v>73</v>
      </c>
      <c r="D5" s="67" t="s">
        <v>139</v>
      </c>
      <c r="E5" s="34">
        <v>47.1</v>
      </c>
      <c r="F5" s="33">
        <v>88.60533966429999</v>
      </c>
      <c r="G5" s="35">
        <v>18102</v>
      </c>
      <c r="H5" s="22"/>
      <c r="I5" s="36">
        <v>-2.4360641525791094</v>
      </c>
      <c r="J5" s="36">
        <v>12.539999999999996</v>
      </c>
      <c r="K5" s="36">
        <v>-1.0493966546579192</v>
      </c>
      <c r="L5" s="36">
        <v>15.687899999999999</v>
      </c>
      <c r="M5" s="23"/>
      <c r="N5" s="36">
        <v>10.119487917181305</v>
      </c>
      <c r="O5" s="36">
        <v>11.377160927239185</v>
      </c>
      <c r="P5" s="23"/>
      <c r="Q5" s="36">
        <v>0.79</v>
      </c>
      <c r="R5" s="36" t="s">
        <v>115</v>
      </c>
      <c r="S5" s="36">
        <v>0.97</v>
      </c>
      <c r="T5" s="16"/>
      <c r="U5" s="59"/>
    </row>
    <row r="6" spans="1:21" customFormat="1" x14ac:dyDescent="0.3">
      <c r="A6" s="32" t="s">
        <v>104</v>
      </c>
      <c r="B6" s="32" t="s">
        <v>28</v>
      </c>
      <c r="C6" s="32" t="s">
        <v>74</v>
      </c>
      <c r="D6" s="67" t="s">
        <v>139</v>
      </c>
      <c r="E6" s="34">
        <v>53.800000000000004</v>
      </c>
      <c r="F6" s="33">
        <v>209.38697949000002</v>
      </c>
      <c r="G6" s="35">
        <v>46615</v>
      </c>
      <c r="H6" s="22"/>
      <c r="I6" s="36">
        <v>-1.4114811945950545</v>
      </c>
      <c r="J6" s="36">
        <v>14.549999999999997</v>
      </c>
      <c r="K6" s="36">
        <v>-0.37810623540943666</v>
      </c>
      <c r="L6" s="36">
        <v>17.694699999999997</v>
      </c>
      <c r="M6" s="23"/>
      <c r="N6" s="36">
        <v>11.198268081416364</v>
      </c>
      <c r="O6" s="36">
        <v>11.137537925121437</v>
      </c>
      <c r="P6" s="23"/>
      <c r="Q6" s="36">
        <v>0.79</v>
      </c>
      <c r="R6" s="36">
        <v>1.1399999999999999</v>
      </c>
      <c r="S6" s="36" t="s">
        <v>115</v>
      </c>
      <c r="T6" s="16"/>
      <c r="U6" s="59"/>
    </row>
    <row r="7" spans="1:21" customFormat="1" x14ac:dyDescent="0.3">
      <c r="A7" s="32" t="s">
        <v>106</v>
      </c>
      <c r="B7" s="32" t="s">
        <v>26</v>
      </c>
      <c r="C7" s="32" t="s">
        <v>131</v>
      </c>
      <c r="D7" s="67" t="s">
        <v>139</v>
      </c>
      <c r="E7" s="34">
        <v>54.999999999999986</v>
      </c>
      <c r="F7" s="33">
        <v>304.15250257999998</v>
      </c>
      <c r="G7" s="35">
        <v>84944</v>
      </c>
      <c r="H7" s="22"/>
      <c r="I7" s="36">
        <v>-1.2589613568805724</v>
      </c>
      <c r="J7" s="36">
        <v>15.244897959183668</v>
      </c>
      <c r="K7" s="36">
        <v>-1.3430526969911982</v>
      </c>
      <c r="L7" s="36">
        <v>16.703959894313837</v>
      </c>
      <c r="M7" s="23"/>
      <c r="N7" s="36">
        <v>9.8714229046038042</v>
      </c>
      <c r="O7" s="36">
        <v>10.843566121406221</v>
      </c>
      <c r="P7" s="23"/>
      <c r="Q7" s="36">
        <v>0.75</v>
      </c>
      <c r="R7" s="36">
        <v>0.85170000000000001</v>
      </c>
      <c r="S7" s="36" t="s">
        <v>115</v>
      </c>
      <c r="T7" s="16"/>
      <c r="U7" s="59"/>
    </row>
    <row r="8" spans="1:21" customFormat="1" x14ac:dyDescent="0.3">
      <c r="A8" s="32" t="s">
        <v>37</v>
      </c>
      <c r="B8" s="32" t="s">
        <v>30</v>
      </c>
      <c r="C8" s="32" t="s">
        <v>75</v>
      </c>
      <c r="D8" s="67" t="s">
        <v>139</v>
      </c>
      <c r="E8" s="34">
        <v>39</v>
      </c>
      <c r="F8" s="33">
        <v>147.16507856999999</v>
      </c>
      <c r="G8" s="35">
        <v>39752</v>
      </c>
      <c r="H8" s="22"/>
      <c r="I8" s="36">
        <v>0.44679493024526451</v>
      </c>
      <c r="J8" s="36">
        <v>10.159999999999991</v>
      </c>
      <c r="K8" s="36">
        <v>-0.34012816785602418</v>
      </c>
      <c r="L8" s="36">
        <v>11.752799999999986</v>
      </c>
      <c r="M8" s="23"/>
      <c r="N8" s="36">
        <v>7.8375398254491291</v>
      </c>
      <c r="O8" s="36">
        <v>7.7074625483815868</v>
      </c>
      <c r="P8" s="23"/>
      <c r="Q8" s="36">
        <v>0.79</v>
      </c>
      <c r="R8" s="36" t="s">
        <v>115</v>
      </c>
      <c r="S8" s="36">
        <v>1.17</v>
      </c>
      <c r="T8" s="16"/>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27</v>
      </c>
      <c r="B34" s="33">
        <v>11.35503497389162</v>
      </c>
      <c r="C34" s="33">
        <v>16.680000000000007</v>
      </c>
    </row>
    <row r="35" spans="1:3" x14ac:dyDescent="0.3">
      <c r="A35" s="32" t="s">
        <v>29</v>
      </c>
      <c r="B35" s="33">
        <v>10.119487917181305</v>
      </c>
      <c r="C35" s="33">
        <v>12.539999999999996</v>
      </c>
    </row>
    <row r="36" spans="1:3" x14ac:dyDescent="0.3">
      <c r="A36" s="32" t="s">
        <v>28</v>
      </c>
      <c r="B36" s="33">
        <v>11.198268081416364</v>
      </c>
      <c r="C36" s="33">
        <v>14.549999999999997</v>
      </c>
    </row>
    <row r="37" spans="1:3" x14ac:dyDescent="0.3">
      <c r="A37" s="32" t="s">
        <v>26</v>
      </c>
      <c r="B37" s="33">
        <v>9.8714229046038042</v>
      </c>
      <c r="C37" s="33">
        <v>15.244897959183668</v>
      </c>
    </row>
    <row r="38" spans="1:3" x14ac:dyDescent="0.3">
      <c r="A38" s="32" t="s">
        <v>30</v>
      </c>
      <c r="B38" s="33">
        <v>7.8375398254491291</v>
      </c>
      <c r="C38" s="33">
        <v>10.159999999999991</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27</v>
      </c>
      <c r="B64" s="33">
        <v>18.757000000000001</v>
      </c>
      <c r="C64" s="33">
        <v>16.680000000000007</v>
      </c>
      <c r="D64" s="33">
        <v>73.192578769999997</v>
      </c>
    </row>
    <row r="65" spans="1:4" x14ac:dyDescent="0.3">
      <c r="A65" s="32" t="s">
        <v>29</v>
      </c>
      <c r="B65" s="33">
        <v>18.102</v>
      </c>
      <c r="C65" s="33">
        <v>12.539999999999996</v>
      </c>
      <c r="D65" s="33">
        <v>88.60533966429999</v>
      </c>
    </row>
    <row r="66" spans="1:4" x14ac:dyDescent="0.3">
      <c r="A66" s="32" t="s">
        <v>28</v>
      </c>
      <c r="B66" s="33">
        <v>46.615000000000002</v>
      </c>
      <c r="C66" s="33">
        <v>14.549999999999997</v>
      </c>
      <c r="D66" s="33">
        <v>209.38697949000002</v>
      </c>
    </row>
    <row r="67" spans="1:4" x14ac:dyDescent="0.3">
      <c r="A67" s="32" t="s">
        <v>26</v>
      </c>
      <c r="B67" s="33">
        <v>84.944000000000003</v>
      </c>
      <c r="C67" s="33">
        <v>15.244897959183668</v>
      </c>
      <c r="D67" s="33">
        <v>304.15250257999998</v>
      </c>
    </row>
    <row r="68" spans="1:4" x14ac:dyDescent="0.3">
      <c r="A68" s="32" t="s">
        <v>30</v>
      </c>
      <c r="B68" s="33">
        <v>39.752000000000002</v>
      </c>
      <c r="C68" s="33">
        <v>10.159999999999991</v>
      </c>
      <c r="D68" s="33">
        <v>147.16507856999999</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activeCell="G30" sqref="G30"/>
    </sheetView>
  </sheetViews>
  <sheetFormatPr defaultRowHeight="15.6" x14ac:dyDescent="0.3"/>
  <cols>
    <col min="1" max="1" width="39.33203125" style="16" customWidth="1"/>
    <col min="2" max="2" width="14.88671875" style="16" bestFit="1" customWidth="1"/>
    <col min="3" max="3" width="64.77734375" style="16" customWidth="1"/>
    <col min="4" max="4" width="17.44140625" style="16" customWidth="1"/>
    <col min="5" max="5" width="16.109375" style="16" bestFit="1" customWidth="1"/>
    <col min="6" max="6" width="19.33203125" style="16" customWidth="1"/>
    <col min="7" max="7" width="13.6640625" style="16" customWidth="1"/>
    <col min="8" max="8" width="1.5546875" style="16" customWidth="1"/>
    <col min="9" max="9" width="18.44140625" style="16" customWidth="1"/>
    <col min="10" max="10" width="17.6640625" style="16" customWidth="1"/>
    <col min="11" max="11" width="18" style="16" customWidth="1"/>
    <col min="12" max="12" width="19.109375" style="16" customWidth="1"/>
    <col min="13" max="13" width="1.5546875" style="16" customWidth="1"/>
    <col min="14" max="14" width="23.33203125" style="16" customWidth="1"/>
    <col min="15" max="15" width="21" style="16" customWidth="1"/>
    <col min="16" max="16" width="1.5546875" style="16" customWidth="1"/>
    <col min="17" max="17" width="8.88671875" style="16"/>
    <col min="18" max="19" width="11.44140625" style="16" customWidth="1"/>
    <col min="20" max="16384" width="8.88671875" style="16"/>
  </cols>
  <sheetData>
    <row r="1" spans="1:21"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21"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21" ht="28.95" customHeight="1" x14ac:dyDescent="0.3">
      <c r="A3" s="73" t="s">
        <v>76</v>
      </c>
      <c r="B3" s="73"/>
      <c r="C3" s="73"/>
      <c r="D3" s="44"/>
      <c r="E3" s="44"/>
      <c r="F3" s="45"/>
      <c r="G3" s="70" t="s">
        <v>122</v>
      </c>
      <c r="H3" s="45"/>
      <c r="I3" s="68">
        <v>4.8228120704972441E-2</v>
      </c>
      <c r="J3" s="68">
        <v>7.9033981689836601</v>
      </c>
      <c r="K3" s="68">
        <v>0.35951563089611183</v>
      </c>
      <c r="L3" s="68">
        <v>10.280154170694894</v>
      </c>
      <c r="M3" s="45"/>
      <c r="N3" s="45"/>
      <c r="O3" s="45"/>
      <c r="P3" s="45"/>
      <c r="Q3" s="45"/>
      <c r="R3" s="45"/>
      <c r="S3" s="45"/>
    </row>
    <row r="4" spans="1:21" customFormat="1" ht="14.4" x14ac:dyDescent="0.3">
      <c r="A4" s="32" t="s">
        <v>36</v>
      </c>
      <c r="B4" s="32" t="s">
        <v>32</v>
      </c>
      <c r="C4" s="32" t="s">
        <v>77</v>
      </c>
      <c r="D4" s="67" t="s">
        <v>139</v>
      </c>
      <c r="E4" s="34">
        <v>20</v>
      </c>
      <c r="F4" s="33">
        <v>32.260853390000001</v>
      </c>
      <c r="G4" s="35">
        <v>8493</v>
      </c>
      <c r="H4" s="22"/>
      <c r="I4" s="36">
        <v>-0.50283415615286486</v>
      </c>
      <c r="J4" s="36">
        <v>8.8300000000000054</v>
      </c>
      <c r="K4" s="36">
        <v>-0.17589139942270071</v>
      </c>
      <c r="L4" s="36">
        <v>13.0525</v>
      </c>
      <c r="M4" s="23"/>
      <c r="N4" s="36">
        <v>7.5176528595650414</v>
      </c>
      <c r="O4" s="36">
        <v>7.858109328448033</v>
      </c>
      <c r="P4" s="23"/>
      <c r="Q4" s="36">
        <v>0.78</v>
      </c>
      <c r="R4" s="36">
        <v>1.5</v>
      </c>
      <c r="S4" s="36" t="s">
        <v>115</v>
      </c>
      <c r="T4" s="59"/>
      <c r="U4" s="59"/>
    </row>
    <row r="5" spans="1:21" customFormat="1" ht="14.4" x14ac:dyDescent="0.3">
      <c r="A5" s="32" t="s">
        <v>105</v>
      </c>
      <c r="B5" s="32" t="s">
        <v>35</v>
      </c>
      <c r="C5" s="32" t="s">
        <v>78</v>
      </c>
      <c r="D5" s="67" t="s">
        <v>139</v>
      </c>
      <c r="E5" s="34">
        <v>10</v>
      </c>
      <c r="F5" s="33">
        <v>27.314800157499999</v>
      </c>
      <c r="G5" s="35">
        <v>5810</v>
      </c>
      <c r="H5" s="22"/>
      <c r="I5" s="36">
        <v>-0.44597231255227854</v>
      </c>
      <c r="J5" s="36">
        <v>7.1499999999999897</v>
      </c>
      <c r="K5" s="36">
        <v>6.0488434833927407E-2</v>
      </c>
      <c r="L5" s="36">
        <v>7.8543999999999947</v>
      </c>
      <c r="M5" s="23"/>
      <c r="N5" s="36">
        <v>5.0415542485668512</v>
      </c>
      <c r="O5" s="36">
        <v>5.369665894778846</v>
      </c>
      <c r="P5" s="23"/>
      <c r="Q5" s="36">
        <v>0.79</v>
      </c>
      <c r="R5" s="36" t="s">
        <v>115</v>
      </c>
      <c r="S5" s="36">
        <v>0.87</v>
      </c>
      <c r="T5" s="59"/>
      <c r="U5" s="59"/>
    </row>
    <row r="6" spans="1:21" customFormat="1" ht="30" customHeight="1" x14ac:dyDescent="0.3">
      <c r="A6" s="32" t="s">
        <v>104</v>
      </c>
      <c r="B6" s="32" t="s">
        <v>33</v>
      </c>
      <c r="C6" s="32" t="s">
        <v>79</v>
      </c>
      <c r="D6" s="67" t="s">
        <v>139</v>
      </c>
      <c r="E6" s="34">
        <v>18.5</v>
      </c>
      <c r="F6" s="33">
        <v>89.566993799999992</v>
      </c>
      <c r="G6" s="35">
        <v>20101</v>
      </c>
      <c r="H6" s="22"/>
      <c r="I6" s="36">
        <v>-0.2842993396918625</v>
      </c>
      <c r="J6" s="36">
        <v>8.7299999999999933</v>
      </c>
      <c r="K6" s="36">
        <v>0.65056726181724756</v>
      </c>
      <c r="L6" s="36">
        <v>11.578299999999997</v>
      </c>
      <c r="M6" s="23"/>
      <c r="N6" s="36">
        <v>6.2862864663903011</v>
      </c>
      <c r="O6" s="36">
        <v>6.1069639988094684</v>
      </c>
      <c r="P6" s="23"/>
      <c r="Q6" s="36">
        <v>0.79</v>
      </c>
      <c r="R6" s="36">
        <v>0.98</v>
      </c>
      <c r="S6" s="36" t="s">
        <v>115</v>
      </c>
      <c r="T6" s="59"/>
      <c r="U6" s="59"/>
    </row>
    <row r="7" spans="1:21" customFormat="1" ht="14.4" x14ac:dyDescent="0.3">
      <c r="A7" s="32" t="s">
        <v>106</v>
      </c>
      <c r="B7" s="32" t="s">
        <v>31</v>
      </c>
      <c r="C7" s="32" t="s">
        <v>80</v>
      </c>
      <c r="D7" s="67" t="s">
        <v>139</v>
      </c>
      <c r="E7" s="34">
        <v>19.999999999999986</v>
      </c>
      <c r="F7" s="33">
        <v>124.99615318000001</v>
      </c>
      <c r="G7" s="35">
        <v>33468</v>
      </c>
      <c r="H7" s="22"/>
      <c r="I7" s="36">
        <v>0.30723396331810982</v>
      </c>
      <c r="J7" s="36">
        <v>7.7399999999999913</v>
      </c>
      <c r="K7" s="36">
        <v>0.44492636775583794</v>
      </c>
      <c r="L7" s="36">
        <v>11.252700000000004</v>
      </c>
      <c r="M7" s="23"/>
      <c r="N7" s="36">
        <v>4.8676429038359803</v>
      </c>
      <c r="O7" s="36">
        <v>6.1255887985536495</v>
      </c>
      <c r="P7" s="23"/>
      <c r="Q7" s="36">
        <v>0.75</v>
      </c>
      <c r="R7" s="36">
        <v>0.79359999999999997</v>
      </c>
      <c r="S7" s="36" t="s">
        <v>115</v>
      </c>
      <c r="T7" s="59"/>
      <c r="U7" s="59"/>
    </row>
    <row r="8" spans="1:21" customFormat="1" ht="14.4" x14ac:dyDescent="0.3">
      <c r="A8" s="32" t="s">
        <v>37</v>
      </c>
      <c r="B8" s="32" t="s">
        <v>34</v>
      </c>
      <c r="C8" s="32" t="s">
        <v>81</v>
      </c>
      <c r="D8" s="67" t="s">
        <v>139</v>
      </c>
      <c r="E8" s="34">
        <v>19</v>
      </c>
      <c r="F8" s="33">
        <v>69.654938510000008</v>
      </c>
      <c r="G8" s="35">
        <v>18650</v>
      </c>
      <c r="H8" s="22"/>
      <c r="I8" s="36">
        <v>0.46005069946484234</v>
      </c>
      <c r="J8" s="36">
        <v>7.0000000000000062</v>
      </c>
      <c r="K8" s="36">
        <v>0.19722882682235987</v>
      </c>
      <c r="L8" s="36">
        <v>6.532899999999997</v>
      </c>
      <c r="M8" s="23"/>
      <c r="N8" s="36">
        <v>4.5253379457488112</v>
      </c>
      <c r="O8" s="36">
        <v>3.9315037315452481</v>
      </c>
      <c r="P8" s="23"/>
      <c r="Q8" s="36">
        <v>0.79</v>
      </c>
      <c r="R8" s="36" t="s">
        <v>115</v>
      </c>
      <c r="S8" s="36">
        <v>1</v>
      </c>
      <c r="T8" s="59"/>
      <c r="U8" s="59"/>
    </row>
    <row r="9" spans="1:21" x14ac:dyDescent="0.3">
      <c r="A9" s="17"/>
      <c r="B9" s="17"/>
      <c r="C9" s="17"/>
      <c r="D9" s="17"/>
      <c r="E9" s="17"/>
      <c r="F9" s="17"/>
      <c r="G9" s="17"/>
      <c r="H9" s="17"/>
      <c r="I9" s="17"/>
      <c r="J9" s="17"/>
      <c r="K9" s="17"/>
      <c r="L9" s="17"/>
      <c r="M9" s="17"/>
      <c r="N9" s="17"/>
      <c r="O9" s="17"/>
      <c r="P9" s="17"/>
    </row>
    <row r="10" spans="1:21" s="55" customFormat="1" ht="13.8" x14ac:dyDescent="0.3">
      <c r="A10" s="53" t="s">
        <v>141</v>
      </c>
      <c r="B10" s="49"/>
      <c r="C10" s="49"/>
      <c r="D10" s="54"/>
      <c r="E10" s="54"/>
      <c r="F10" s="54"/>
      <c r="G10" s="54"/>
      <c r="H10" s="54"/>
      <c r="I10" s="54"/>
      <c r="J10" s="54"/>
      <c r="K10" s="54"/>
      <c r="L10" s="54"/>
      <c r="M10" s="54"/>
    </row>
    <row r="11" spans="1:21" s="55" customFormat="1" ht="13.8" x14ac:dyDescent="0.3">
      <c r="A11" s="49" t="s">
        <v>117</v>
      </c>
      <c r="B11" s="53"/>
      <c r="C11" s="53"/>
    </row>
    <row r="12" spans="1:21" s="55" customFormat="1" ht="13.8" x14ac:dyDescent="0.3">
      <c r="A12" s="53" t="s">
        <v>119</v>
      </c>
      <c r="B12" s="53"/>
      <c r="C12" s="53"/>
    </row>
    <row r="13" spans="1:21" s="55" customFormat="1" ht="13.8" x14ac:dyDescent="0.3">
      <c r="A13" s="53" t="s">
        <v>120</v>
      </c>
      <c r="B13" s="53"/>
      <c r="C13" s="53"/>
    </row>
    <row r="14" spans="1:21" s="55" customFormat="1" ht="13.8" x14ac:dyDescent="0.3">
      <c r="A14" s="53" t="s">
        <v>142</v>
      </c>
      <c r="B14" s="54"/>
      <c r="C14" s="54"/>
    </row>
    <row r="15" spans="1:21" s="55" customFormat="1" ht="13.8" x14ac:dyDescent="0.3">
      <c r="A15" s="56" t="s">
        <v>143</v>
      </c>
      <c r="B15" s="54"/>
      <c r="C15" s="54"/>
    </row>
    <row r="16" spans="1:21" s="55" customFormat="1" ht="13.8" x14ac:dyDescent="0.3">
      <c r="A16" s="56" t="s">
        <v>125</v>
      </c>
    </row>
    <row r="17" spans="1:5" s="55" customFormat="1" ht="13.8" x14ac:dyDescent="0.3">
      <c r="A17" s="56" t="s">
        <v>144</v>
      </c>
    </row>
    <row r="18" spans="1:5" s="55" customFormat="1" ht="13.8" x14ac:dyDescent="0.3">
      <c r="A18" s="56" t="s">
        <v>140</v>
      </c>
    </row>
    <row r="19" spans="1:5" s="55" customFormat="1" ht="13.8" x14ac:dyDescent="0.3">
      <c r="A19" s="56" t="s">
        <v>133</v>
      </c>
    </row>
    <row r="20" spans="1:5" s="55" customFormat="1" ht="13.8" x14ac:dyDescent="0.3">
      <c r="A20" s="56" t="s">
        <v>136</v>
      </c>
    </row>
    <row r="21" spans="1:5" s="55" customFormat="1" ht="13.8"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32</v>
      </c>
      <c r="B34" s="33">
        <v>7.5176528595650414</v>
      </c>
      <c r="C34" s="33">
        <v>8.8300000000000054</v>
      </c>
    </row>
    <row r="35" spans="1:3" x14ac:dyDescent="0.3">
      <c r="A35" s="32" t="s">
        <v>35</v>
      </c>
      <c r="B35" s="33">
        <v>5.0415542485668512</v>
      </c>
      <c r="C35" s="33">
        <v>7.1499999999999897</v>
      </c>
    </row>
    <row r="36" spans="1:3" x14ac:dyDescent="0.3">
      <c r="A36" s="32" t="s">
        <v>33</v>
      </c>
      <c r="B36" s="33">
        <v>6.2862864663903011</v>
      </c>
      <c r="C36" s="33">
        <v>8.7299999999999933</v>
      </c>
    </row>
    <row r="37" spans="1:3" x14ac:dyDescent="0.3">
      <c r="A37" s="32" t="s">
        <v>31</v>
      </c>
      <c r="B37" s="33">
        <v>4.8676429038359803</v>
      </c>
      <c r="C37" s="33">
        <v>7.7399999999999913</v>
      </c>
    </row>
    <row r="38" spans="1:3" x14ac:dyDescent="0.3">
      <c r="A38" s="32" t="s">
        <v>34</v>
      </c>
      <c r="B38" s="33">
        <v>4.5253379457488112</v>
      </c>
      <c r="C38" s="33">
        <v>7.0000000000000062</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32</v>
      </c>
      <c r="B64" s="33">
        <v>8.4930000000000003</v>
      </c>
      <c r="C64" s="33">
        <v>8.8300000000000054</v>
      </c>
      <c r="D64" s="33">
        <v>32.260853390000001</v>
      </c>
    </row>
    <row r="65" spans="1:4" x14ac:dyDescent="0.3">
      <c r="A65" s="32" t="s">
        <v>35</v>
      </c>
      <c r="B65" s="33">
        <v>5.81</v>
      </c>
      <c r="C65" s="33">
        <v>7.1499999999999897</v>
      </c>
      <c r="D65" s="33">
        <v>27.314800157499999</v>
      </c>
    </row>
    <row r="66" spans="1:4" x14ac:dyDescent="0.3">
      <c r="A66" s="32" t="s">
        <v>33</v>
      </c>
      <c r="B66" s="33">
        <v>20.100999999999999</v>
      </c>
      <c r="C66" s="33">
        <v>8.7299999999999933</v>
      </c>
      <c r="D66" s="33">
        <v>89.566993799999992</v>
      </c>
    </row>
    <row r="67" spans="1:4" x14ac:dyDescent="0.3">
      <c r="A67" s="32" t="s">
        <v>31</v>
      </c>
      <c r="B67" s="33">
        <v>33.468000000000004</v>
      </c>
      <c r="C67" s="33">
        <v>7.7399999999999913</v>
      </c>
      <c r="D67" s="33">
        <v>124.99615318000001</v>
      </c>
    </row>
    <row r="68" spans="1:4" x14ac:dyDescent="0.3">
      <c r="A68" s="32" t="s">
        <v>34</v>
      </c>
      <c r="B68" s="33">
        <v>18.649999999999999</v>
      </c>
      <c r="C68" s="33">
        <v>7.0000000000000062</v>
      </c>
      <c r="D68" s="33">
        <v>69.654938510000008</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showGridLines="0" zoomScale="70" zoomScaleNormal="70" workbookViewId="0">
      <selection sqref="A1:XFD1048576"/>
    </sheetView>
  </sheetViews>
  <sheetFormatPr defaultRowHeight="15.6" x14ac:dyDescent="0.3"/>
  <cols>
    <col min="1" max="1" width="43.5546875" style="16" customWidth="1"/>
    <col min="2" max="2" width="14.88671875" style="16" bestFit="1" customWidth="1"/>
    <col min="3" max="3" width="50" style="16" customWidth="1"/>
    <col min="4" max="4" width="16" style="16" customWidth="1"/>
    <col min="5" max="5" width="16.109375" style="16" bestFit="1" customWidth="1"/>
    <col min="6" max="6" width="19.33203125" style="16" customWidth="1"/>
    <col min="7" max="7" width="12.21875" style="16" customWidth="1"/>
    <col min="8" max="8" width="3.33203125" style="16" customWidth="1"/>
    <col min="9" max="9" width="17.5546875" style="16" customWidth="1"/>
    <col min="10" max="10" width="14" style="16" customWidth="1"/>
    <col min="11" max="11" width="15" style="16" customWidth="1"/>
    <col min="12" max="12" width="17.21875" style="16" customWidth="1"/>
    <col min="13" max="13" width="3.33203125" style="16" customWidth="1"/>
    <col min="14" max="14" width="17.77734375" style="16" customWidth="1"/>
    <col min="15" max="15" width="17.109375" style="16" customWidth="1"/>
    <col min="16" max="16" width="3.33203125" style="16" customWidth="1"/>
    <col min="17" max="17" width="8.88671875" style="16"/>
    <col min="18" max="18" width="11.109375" style="16" customWidth="1"/>
    <col min="19" max="19" width="12.33203125" style="16" customWidth="1"/>
    <col min="20" max="16384" width="8.88671875" style="16"/>
  </cols>
  <sheetData>
    <row r="1" spans="1:19" ht="22.2" customHeight="1" x14ac:dyDescent="0.3">
      <c r="A1" s="25">
        <v>44104</v>
      </c>
      <c r="B1" s="26"/>
      <c r="C1" s="58" t="s">
        <v>92</v>
      </c>
      <c r="D1" s="76" t="s">
        <v>107</v>
      </c>
      <c r="E1" s="31" t="s">
        <v>91</v>
      </c>
      <c r="F1" s="76" t="s">
        <v>124</v>
      </c>
      <c r="G1" s="76" t="s">
        <v>87</v>
      </c>
      <c r="H1" s="28"/>
      <c r="I1" s="74" t="s">
        <v>88</v>
      </c>
      <c r="J1" s="75">
        <v>0</v>
      </c>
      <c r="K1" s="75">
        <v>0</v>
      </c>
      <c r="L1" s="75">
        <v>0</v>
      </c>
      <c r="M1" s="29"/>
      <c r="N1" s="78" t="s">
        <v>121</v>
      </c>
      <c r="O1" s="79">
        <v>0</v>
      </c>
      <c r="P1" s="29"/>
      <c r="Q1" s="74" t="s">
        <v>114</v>
      </c>
      <c r="R1" s="75">
        <v>0</v>
      </c>
      <c r="S1" s="75">
        <v>0</v>
      </c>
    </row>
    <row r="2" spans="1:19" ht="92.4" customHeight="1" x14ac:dyDescent="0.3">
      <c r="A2" s="24" t="s">
        <v>43</v>
      </c>
      <c r="B2" s="24" t="s">
        <v>44</v>
      </c>
      <c r="C2" s="24" t="s">
        <v>45</v>
      </c>
      <c r="D2" s="77">
        <v>0</v>
      </c>
      <c r="E2" s="24" t="s">
        <v>123</v>
      </c>
      <c r="F2" s="77">
        <v>0</v>
      </c>
      <c r="G2" s="77">
        <v>0</v>
      </c>
      <c r="H2" s="28"/>
      <c r="I2" s="65" t="s">
        <v>116</v>
      </c>
      <c r="J2" s="24" t="s">
        <v>108</v>
      </c>
      <c r="K2" s="24" t="s">
        <v>118</v>
      </c>
      <c r="L2" s="24" t="s">
        <v>109</v>
      </c>
      <c r="M2" s="30"/>
      <c r="N2" s="24" t="s">
        <v>110</v>
      </c>
      <c r="O2" s="24" t="s">
        <v>111</v>
      </c>
      <c r="P2" s="30"/>
      <c r="Q2" s="24" t="s">
        <v>134</v>
      </c>
      <c r="R2" s="24" t="s">
        <v>135</v>
      </c>
      <c r="S2" s="24" t="s">
        <v>137</v>
      </c>
    </row>
    <row r="3" spans="1:19" ht="28.95" customHeight="1" x14ac:dyDescent="0.3">
      <c r="A3" s="73" t="s">
        <v>82</v>
      </c>
      <c r="B3" s="73"/>
      <c r="C3" s="73"/>
      <c r="D3" s="44"/>
      <c r="E3" s="44"/>
      <c r="F3" s="45"/>
      <c r="G3" s="70" t="s">
        <v>122</v>
      </c>
      <c r="H3" s="45"/>
      <c r="I3" s="68">
        <v>0.44747668727136214</v>
      </c>
      <c r="J3" s="68">
        <v>6.448487613224632</v>
      </c>
      <c r="K3" s="68">
        <v>0.89458327650495084</v>
      </c>
      <c r="L3" s="68">
        <v>7.8765377213268399</v>
      </c>
      <c r="M3" s="45"/>
      <c r="N3" s="45"/>
      <c r="O3" s="45"/>
      <c r="P3" s="45"/>
      <c r="Q3" s="45"/>
      <c r="R3" s="45"/>
      <c r="S3" s="45"/>
    </row>
    <row r="4" spans="1:19" customFormat="1" ht="14.4" x14ac:dyDescent="0.3">
      <c r="A4" s="32" t="s">
        <v>36</v>
      </c>
      <c r="B4" s="32" t="s">
        <v>41</v>
      </c>
      <c r="C4" s="32" t="s">
        <v>83</v>
      </c>
      <c r="D4" s="67" t="s">
        <v>139</v>
      </c>
      <c r="E4" s="34">
        <v>10</v>
      </c>
      <c r="F4" s="33">
        <v>2.1984772499999998</v>
      </c>
      <c r="G4" s="35">
        <v>1132</v>
      </c>
      <c r="H4" s="22"/>
      <c r="I4" s="36">
        <v>-0.66516769720815772</v>
      </c>
      <c r="J4" s="36">
        <v>6.030000000000002</v>
      </c>
      <c r="K4" s="36">
        <v>1.0353382697678493</v>
      </c>
      <c r="L4" s="36">
        <v>10.809800000000003</v>
      </c>
      <c r="M4" s="23"/>
      <c r="N4" s="36">
        <v>5.1982320427231681</v>
      </c>
      <c r="O4" s="36">
        <v>6.2133967399049732</v>
      </c>
      <c r="P4" s="23"/>
      <c r="Q4" s="36">
        <v>0.19</v>
      </c>
      <c r="R4" s="36">
        <v>0.52</v>
      </c>
      <c r="S4" s="36" t="s">
        <v>115</v>
      </c>
    </row>
    <row r="5" spans="1:19" customFormat="1" ht="14.4" x14ac:dyDescent="0.3">
      <c r="A5" s="32" t="s">
        <v>105</v>
      </c>
      <c r="B5" s="32" t="s">
        <v>39</v>
      </c>
      <c r="C5" s="32" t="s">
        <v>84</v>
      </c>
      <c r="D5" s="67" t="s">
        <v>139</v>
      </c>
      <c r="E5" s="34">
        <v>17</v>
      </c>
      <c r="F5" s="33">
        <v>4.1255900913999994</v>
      </c>
      <c r="G5" s="35">
        <v>976</v>
      </c>
      <c r="H5" s="22"/>
      <c r="I5" s="36">
        <v>0.66071096221851366</v>
      </c>
      <c r="J5" s="36">
        <v>8.1700000000000106</v>
      </c>
      <c r="K5" s="36">
        <v>-4.9730036942308153E-2</v>
      </c>
      <c r="L5" s="36">
        <v>8.331299999999997</v>
      </c>
      <c r="M5" s="23"/>
      <c r="N5" s="36">
        <v>4.313193241349806</v>
      </c>
      <c r="O5" s="36">
        <v>5.9593967185275671</v>
      </c>
      <c r="P5" s="23"/>
      <c r="Q5" s="36">
        <v>0.2</v>
      </c>
      <c r="R5" s="36" t="s">
        <v>115</v>
      </c>
      <c r="S5" s="36">
        <v>0.3</v>
      </c>
    </row>
    <row r="6" spans="1:19" customFormat="1" ht="14.4" x14ac:dyDescent="0.3">
      <c r="A6" s="32" t="s">
        <v>104</v>
      </c>
      <c r="B6" s="32" t="s">
        <v>38</v>
      </c>
      <c r="C6" s="32" t="s">
        <v>85</v>
      </c>
      <c r="D6" s="67" t="s">
        <v>139</v>
      </c>
      <c r="E6" s="34">
        <v>15</v>
      </c>
      <c r="F6" s="33">
        <v>12.42815105</v>
      </c>
      <c r="G6" s="35">
        <v>3053</v>
      </c>
      <c r="H6" s="22"/>
      <c r="I6" s="36">
        <v>0.21626704278328024</v>
      </c>
      <c r="J6" s="36">
        <v>6.5800000000000081</v>
      </c>
      <c r="K6" s="36">
        <v>0.61521001415825172</v>
      </c>
      <c r="L6" s="36">
        <v>7.4497999999999953</v>
      </c>
      <c r="M6" s="23"/>
      <c r="N6" s="36">
        <v>5.0785120464847431</v>
      </c>
      <c r="O6" s="36">
        <v>5.1666664181700659</v>
      </c>
      <c r="P6" s="23"/>
      <c r="Q6" s="36">
        <v>0.2</v>
      </c>
      <c r="R6" s="36">
        <v>0.39</v>
      </c>
      <c r="S6" s="36" t="s">
        <v>115</v>
      </c>
    </row>
    <row r="7" spans="1:19" customFormat="1" ht="14.4" x14ac:dyDescent="0.3">
      <c r="A7" s="32" t="s">
        <v>106</v>
      </c>
      <c r="B7" s="32" t="s">
        <v>40</v>
      </c>
      <c r="C7" s="32" t="s">
        <v>86</v>
      </c>
      <c r="D7" s="67" t="s">
        <v>139</v>
      </c>
      <c r="E7" s="34">
        <v>15</v>
      </c>
      <c r="F7" s="33">
        <v>15.793222009999999</v>
      </c>
      <c r="G7" s="35">
        <v>3380</v>
      </c>
      <c r="H7" s="22"/>
      <c r="I7" s="36">
        <v>0.23672000757504197</v>
      </c>
      <c r="J7" s="36">
        <v>5.8599999999999985</v>
      </c>
      <c r="K7" s="36">
        <v>0.8319530329799818</v>
      </c>
      <c r="L7" s="36">
        <v>9.5760999999999985</v>
      </c>
      <c r="M7" s="23"/>
      <c r="N7" s="36">
        <v>4.2324042826734143</v>
      </c>
      <c r="O7" s="36">
        <v>4.9980240493539956</v>
      </c>
      <c r="P7" s="23"/>
      <c r="Q7" s="36">
        <v>0.2</v>
      </c>
      <c r="R7" s="36">
        <v>0.2268</v>
      </c>
      <c r="S7" s="36" t="s">
        <v>115</v>
      </c>
    </row>
    <row r="8" spans="1:19" customFormat="1" ht="14.4" x14ac:dyDescent="0.3">
      <c r="A8" s="32" t="s">
        <v>37</v>
      </c>
      <c r="B8" s="32" t="s">
        <v>42</v>
      </c>
      <c r="C8" s="69" t="s">
        <v>132</v>
      </c>
      <c r="D8" s="67" t="s">
        <v>139</v>
      </c>
      <c r="E8" s="34">
        <v>10</v>
      </c>
      <c r="F8" s="33">
        <v>5.6496014900000002</v>
      </c>
      <c r="G8" s="35">
        <v>2805</v>
      </c>
      <c r="H8" s="22"/>
      <c r="I8" s="36">
        <v>1.8225190839694649</v>
      </c>
      <c r="J8" s="36">
        <v>6.7099999999999937</v>
      </c>
      <c r="K8" s="36">
        <v>2.3190429409916558</v>
      </c>
      <c r="L8" s="36">
        <v>2.5906999999999902</v>
      </c>
      <c r="M8" s="23"/>
      <c r="N8" s="36">
        <v>3.4359026990266566</v>
      </c>
      <c r="O8" s="36">
        <v>1.1651484418554006</v>
      </c>
      <c r="P8" s="23"/>
      <c r="Q8" s="36">
        <v>0.2</v>
      </c>
      <c r="R8" s="36" t="s">
        <v>115</v>
      </c>
      <c r="S8" s="36">
        <v>0.35</v>
      </c>
    </row>
    <row r="9" spans="1:19" x14ac:dyDescent="0.3">
      <c r="A9" s="17"/>
      <c r="B9" s="17"/>
      <c r="C9" s="17"/>
      <c r="D9" s="17"/>
      <c r="E9" s="17"/>
      <c r="F9" s="17"/>
      <c r="G9" s="17"/>
      <c r="H9" s="17"/>
      <c r="I9" s="17"/>
      <c r="J9" s="17"/>
      <c r="K9" s="17"/>
      <c r="L9" s="17"/>
      <c r="M9" s="17"/>
      <c r="N9" s="17"/>
      <c r="O9" s="17"/>
      <c r="P9" s="17"/>
    </row>
    <row r="10" spans="1:19" s="55" customFormat="1" ht="13.8" x14ac:dyDescent="0.3">
      <c r="A10" s="53" t="s">
        <v>141</v>
      </c>
      <c r="B10" s="49"/>
      <c r="C10" s="49"/>
      <c r="D10" s="54"/>
      <c r="E10" s="54"/>
      <c r="F10" s="54"/>
      <c r="G10" s="54"/>
      <c r="H10" s="54"/>
      <c r="I10" s="54"/>
      <c r="J10" s="54"/>
      <c r="K10" s="54"/>
      <c r="L10" s="54"/>
      <c r="M10" s="54"/>
    </row>
    <row r="11" spans="1:19" s="55" customFormat="1" ht="13.8" x14ac:dyDescent="0.3">
      <c r="A11" s="49" t="s">
        <v>117</v>
      </c>
      <c r="B11" s="53"/>
      <c r="C11" s="53"/>
    </row>
    <row r="12" spans="1:19" s="55" customFormat="1" ht="13.8" x14ac:dyDescent="0.3">
      <c r="A12" s="53" t="s">
        <v>119</v>
      </c>
      <c r="B12" s="53"/>
      <c r="C12" s="53"/>
    </row>
    <row r="13" spans="1:19" s="55" customFormat="1" ht="13.8" x14ac:dyDescent="0.3">
      <c r="A13" s="53" t="s">
        <v>120</v>
      </c>
      <c r="B13" s="53"/>
      <c r="C13" s="53"/>
    </row>
    <row r="14" spans="1:19" s="55" customFormat="1" ht="13.8" x14ac:dyDescent="0.3">
      <c r="A14" s="53" t="s">
        <v>142</v>
      </c>
      <c r="B14" s="54"/>
      <c r="C14" s="54"/>
    </row>
    <row r="15" spans="1:19" s="55" customFormat="1" ht="13.8" x14ac:dyDescent="0.3">
      <c r="A15" s="56" t="s">
        <v>143</v>
      </c>
      <c r="B15" s="54"/>
      <c r="C15" s="54"/>
    </row>
    <row r="16" spans="1:19" s="55" customFormat="1" ht="13.8" x14ac:dyDescent="0.3">
      <c r="A16" s="56" t="s">
        <v>125</v>
      </c>
    </row>
    <row r="17" spans="1:5" s="55" customFormat="1" ht="13.8" x14ac:dyDescent="0.3">
      <c r="A17" s="56" t="s">
        <v>144</v>
      </c>
    </row>
    <row r="18" spans="1:5" x14ac:dyDescent="0.3">
      <c r="A18" s="56" t="s">
        <v>140</v>
      </c>
    </row>
    <row r="19" spans="1:5" x14ac:dyDescent="0.3">
      <c r="A19" s="56" t="s">
        <v>133</v>
      </c>
    </row>
    <row r="20" spans="1:5" x14ac:dyDescent="0.3">
      <c r="A20" s="56" t="s">
        <v>136</v>
      </c>
    </row>
    <row r="21" spans="1:5" x14ac:dyDescent="0.3">
      <c r="A21" s="56"/>
    </row>
    <row r="22" spans="1:5" x14ac:dyDescent="0.3">
      <c r="A22" s="56"/>
    </row>
    <row r="23" spans="1:5" x14ac:dyDescent="0.3">
      <c r="A23" s="37" t="s">
        <v>112</v>
      </c>
      <c r="B23" s="37"/>
      <c r="C23" s="37"/>
      <c r="D23" s="37"/>
      <c r="E23" s="37"/>
    </row>
    <row r="24" spans="1:5" s="55" customFormat="1" ht="13.8" x14ac:dyDescent="0.3">
      <c r="A24" s="53" t="s">
        <v>99</v>
      </c>
      <c r="B24" s="54"/>
      <c r="C24" s="54"/>
    </row>
    <row r="25" spans="1:5" s="55" customFormat="1" ht="13.8" x14ac:dyDescent="0.3">
      <c r="A25" s="53" t="s">
        <v>100</v>
      </c>
      <c r="B25" s="54"/>
      <c r="C25" s="54"/>
    </row>
    <row r="26" spans="1:5" x14ac:dyDescent="0.3">
      <c r="A26" s="18"/>
      <c r="B26" s="18"/>
      <c r="C26" s="18"/>
    </row>
    <row r="33" spans="1:3" x14ac:dyDescent="0.3">
      <c r="A33" s="37" t="s">
        <v>0</v>
      </c>
      <c r="B33" s="37" t="s">
        <v>89</v>
      </c>
      <c r="C33" s="37" t="s">
        <v>88</v>
      </c>
    </row>
    <row r="34" spans="1:3" x14ac:dyDescent="0.3">
      <c r="A34" s="32" t="s">
        <v>41</v>
      </c>
      <c r="B34" s="33">
        <v>5.1982320427231681</v>
      </c>
      <c r="C34" s="33">
        <v>6.030000000000002</v>
      </c>
    </row>
    <row r="35" spans="1:3" x14ac:dyDescent="0.3">
      <c r="A35" s="32" t="s">
        <v>39</v>
      </c>
      <c r="B35" s="33">
        <v>4.313193241349806</v>
      </c>
      <c r="C35" s="33">
        <v>8.1700000000000106</v>
      </c>
    </row>
    <row r="36" spans="1:3" x14ac:dyDescent="0.3">
      <c r="A36" s="32" t="s">
        <v>38</v>
      </c>
      <c r="B36" s="33">
        <v>5.0785120464847431</v>
      </c>
      <c r="C36" s="33">
        <v>6.5800000000000081</v>
      </c>
    </row>
    <row r="37" spans="1:3" x14ac:dyDescent="0.3">
      <c r="A37" s="32" t="s">
        <v>40</v>
      </c>
      <c r="B37" s="33">
        <v>4.2324042826734143</v>
      </c>
      <c r="C37" s="33">
        <v>5.8599999999999985</v>
      </c>
    </row>
    <row r="38" spans="1:3" x14ac:dyDescent="0.3">
      <c r="A38" s="32" t="s">
        <v>42</v>
      </c>
      <c r="B38" s="33">
        <v>3.4359026990266566</v>
      </c>
      <c r="C38" s="33">
        <v>6.7099999999999937</v>
      </c>
    </row>
    <row r="55" spans="1:5" x14ac:dyDescent="0.3">
      <c r="A55" s="37" t="s">
        <v>113</v>
      </c>
      <c r="B55" s="37"/>
      <c r="C55" s="37"/>
      <c r="D55" s="37"/>
      <c r="E55" s="37"/>
    </row>
    <row r="56" spans="1:5" s="55" customFormat="1" ht="13.8" x14ac:dyDescent="0.3">
      <c r="A56" s="53" t="s">
        <v>101</v>
      </c>
      <c r="B56" s="54"/>
      <c r="C56" s="54"/>
    </row>
    <row r="57" spans="1:5" s="55" customFormat="1" ht="13.8" x14ac:dyDescent="0.3">
      <c r="A57" s="53" t="s">
        <v>102</v>
      </c>
      <c r="B57" s="54"/>
      <c r="C57" s="54"/>
    </row>
    <row r="58" spans="1:5" s="55" customFormat="1" ht="13.8" x14ac:dyDescent="0.3">
      <c r="A58" s="53" t="s">
        <v>103</v>
      </c>
      <c r="B58" s="54"/>
      <c r="C58" s="54"/>
    </row>
    <row r="63" spans="1:5" x14ac:dyDescent="0.3">
      <c r="A63" s="37" t="s">
        <v>0</v>
      </c>
      <c r="B63" s="37" t="s">
        <v>93</v>
      </c>
      <c r="C63" s="37" t="s">
        <v>94</v>
      </c>
      <c r="D63" s="37" t="s">
        <v>95</v>
      </c>
    </row>
    <row r="64" spans="1:5" x14ac:dyDescent="0.3">
      <c r="A64" s="32" t="s">
        <v>41</v>
      </c>
      <c r="B64" s="33">
        <v>1.1319999999999999</v>
      </c>
      <c r="C64" s="33">
        <v>6.030000000000002</v>
      </c>
      <c r="D64" s="33">
        <v>2.1984772499999998</v>
      </c>
    </row>
    <row r="65" spans="1:4" x14ac:dyDescent="0.3">
      <c r="A65" s="32" t="s">
        <v>39</v>
      </c>
      <c r="B65" s="33">
        <v>0.97599999999999998</v>
      </c>
      <c r="C65" s="33">
        <v>8.1700000000000106</v>
      </c>
      <c r="D65" s="33">
        <v>4.1255900913999994</v>
      </c>
    </row>
    <row r="66" spans="1:4" x14ac:dyDescent="0.3">
      <c r="A66" s="32" t="s">
        <v>38</v>
      </c>
      <c r="B66" s="33">
        <v>3.0529999999999999</v>
      </c>
      <c r="C66" s="33">
        <v>6.5800000000000081</v>
      </c>
      <c r="D66" s="33">
        <v>12.42815105</v>
      </c>
    </row>
    <row r="67" spans="1:4" x14ac:dyDescent="0.3">
      <c r="A67" s="32" t="s">
        <v>40</v>
      </c>
      <c r="B67" s="33">
        <v>3.38</v>
      </c>
      <c r="C67" s="33">
        <v>5.8599999999999985</v>
      </c>
      <c r="D67" s="33">
        <v>15.793222009999999</v>
      </c>
    </row>
    <row r="68" spans="1:4" x14ac:dyDescent="0.3">
      <c r="A68" s="32" t="s">
        <v>42</v>
      </c>
      <c r="B68" s="33">
        <v>2.8050000000000002</v>
      </c>
      <c r="C68" s="33">
        <v>6.7099999999999937</v>
      </c>
      <c r="D68" s="33">
        <v>5.6496014900000002</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N69"/>
  <sheetViews>
    <sheetView showGridLines="0" zoomScale="70" zoomScaleNormal="70" workbookViewId="0">
      <selection activeCell="G2" sqref="G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76" t="s">
        <v>90</v>
      </c>
      <c r="B1" s="78" t="s">
        <v>96</v>
      </c>
      <c r="C1" s="80"/>
      <c r="D1" s="80"/>
      <c r="E1" s="80"/>
      <c r="F1" s="79"/>
      <c r="N1" s="19"/>
    </row>
    <row r="2" spans="1:14" ht="58.8" customHeight="1" x14ac:dyDescent="0.25">
      <c r="A2" s="77" t="s">
        <v>90</v>
      </c>
      <c r="B2" s="24" t="s">
        <v>104</v>
      </c>
      <c r="C2" s="24" t="s">
        <v>105</v>
      </c>
      <c r="D2" s="24" t="s">
        <v>106</v>
      </c>
      <c r="E2" s="24" t="s">
        <v>36</v>
      </c>
      <c r="F2" s="24" t="s">
        <v>37</v>
      </c>
      <c r="G2" s="58" t="s">
        <v>92</v>
      </c>
    </row>
    <row r="3" spans="1:14" x14ac:dyDescent="0.25">
      <c r="A3" s="57">
        <v>20</v>
      </c>
      <c r="B3" s="34">
        <v>98</v>
      </c>
      <c r="C3" s="34">
        <v>97</v>
      </c>
      <c r="D3" s="34">
        <v>90</v>
      </c>
      <c r="E3" s="34">
        <v>90</v>
      </c>
      <c r="F3" s="34">
        <v>90</v>
      </c>
    </row>
    <row r="4" spans="1:14" x14ac:dyDescent="0.25">
      <c r="A4" s="57">
        <v>21</v>
      </c>
      <c r="B4" s="34">
        <v>98</v>
      </c>
      <c r="C4" s="34">
        <v>97</v>
      </c>
      <c r="D4" s="34">
        <v>90</v>
      </c>
      <c r="E4" s="34">
        <v>90</v>
      </c>
      <c r="F4" s="34">
        <v>90</v>
      </c>
    </row>
    <row r="5" spans="1:14" x14ac:dyDescent="0.25">
      <c r="A5" s="57">
        <v>22</v>
      </c>
      <c r="B5" s="34">
        <v>98</v>
      </c>
      <c r="C5" s="34">
        <v>97</v>
      </c>
      <c r="D5" s="34">
        <v>90</v>
      </c>
      <c r="E5" s="34">
        <v>90</v>
      </c>
      <c r="F5" s="34">
        <v>90</v>
      </c>
    </row>
    <row r="6" spans="1:14" x14ac:dyDescent="0.25">
      <c r="A6" s="57">
        <v>23</v>
      </c>
      <c r="B6" s="34">
        <v>98</v>
      </c>
      <c r="C6" s="34">
        <v>97</v>
      </c>
      <c r="D6" s="34">
        <v>90</v>
      </c>
      <c r="E6" s="34">
        <v>90</v>
      </c>
      <c r="F6" s="34">
        <v>90</v>
      </c>
    </row>
    <row r="7" spans="1:14" x14ac:dyDescent="0.25">
      <c r="A7" s="57">
        <v>24</v>
      </c>
      <c r="B7" s="34">
        <v>98</v>
      </c>
      <c r="C7" s="34">
        <v>97</v>
      </c>
      <c r="D7" s="34">
        <v>90</v>
      </c>
      <c r="E7" s="34">
        <v>90</v>
      </c>
      <c r="F7" s="34">
        <v>90</v>
      </c>
    </row>
    <row r="8" spans="1:14" x14ac:dyDescent="0.25">
      <c r="A8" s="57">
        <v>25</v>
      </c>
      <c r="B8" s="34">
        <v>98</v>
      </c>
      <c r="C8" s="34">
        <v>97</v>
      </c>
      <c r="D8" s="34">
        <v>90</v>
      </c>
      <c r="E8" s="34">
        <v>90</v>
      </c>
      <c r="F8" s="34">
        <v>90</v>
      </c>
    </row>
    <row r="9" spans="1:14" x14ac:dyDescent="0.25">
      <c r="A9" s="57">
        <v>26</v>
      </c>
      <c r="B9" s="34">
        <v>98</v>
      </c>
      <c r="C9" s="34">
        <v>97</v>
      </c>
      <c r="D9" s="34">
        <v>90</v>
      </c>
      <c r="E9" s="34">
        <v>90</v>
      </c>
      <c r="F9" s="34">
        <v>90</v>
      </c>
    </row>
    <row r="10" spans="1:14" x14ac:dyDescent="0.25">
      <c r="A10" s="57">
        <v>27</v>
      </c>
      <c r="B10" s="34">
        <v>98</v>
      </c>
      <c r="C10" s="34">
        <v>97</v>
      </c>
      <c r="D10" s="34">
        <v>90</v>
      </c>
      <c r="E10" s="34">
        <v>90</v>
      </c>
      <c r="F10" s="34">
        <v>90</v>
      </c>
    </row>
    <row r="11" spans="1:14" x14ac:dyDescent="0.25">
      <c r="A11" s="57">
        <v>28</v>
      </c>
      <c r="B11" s="34">
        <v>98</v>
      </c>
      <c r="C11" s="34">
        <v>97</v>
      </c>
      <c r="D11" s="34">
        <v>90</v>
      </c>
      <c r="E11" s="34">
        <v>90</v>
      </c>
      <c r="F11" s="34">
        <v>90</v>
      </c>
    </row>
    <row r="12" spans="1:14" x14ac:dyDescent="0.25">
      <c r="A12" s="57">
        <v>29</v>
      </c>
      <c r="B12" s="34">
        <v>98</v>
      </c>
      <c r="C12" s="34">
        <v>97</v>
      </c>
      <c r="D12" s="34">
        <v>90</v>
      </c>
      <c r="E12" s="34">
        <v>90</v>
      </c>
      <c r="F12" s="34">
        <v>90</v>
      </c>
    </row>
    <row r="13" spans="1:14" x14ac:dyDescent="0.25">
      <c r="A13" s="57">
        <v>30</v>
      </c>
      <c r="B13" s="34">
        <v>98</v>
      </c>
      <c r="C13" s="34">
        <v>97</v>
      </c>
      <c r="D13" s="34">
        <v>90</v>
      </c>
      <c r="E13" s="34">
        <v>90</v>
      </c>
      <c r="F13" s="34">
        <v>90</v>
      </c>
    </row>
    <row r="14" spans="1:14" x14ac:dyDescent="0.25">
      <c r="A14" s="57">
        <v>31</v>
      </c>
      <c r="B14" s="34">
        <v>98</v>
      </c>
      <c r="C14" s="34">
        <v>97</v>
      </c>
      <c r="D14" s="34">
        <v>90</v>
      </c>
      <c r="E14" s="34">
        <v>90</v>
      </c>
      <c r="F14" s="34">
        <v>90</v>
      </c>
    </row>
    <row r="15" spans="1:14" x14ac:dyDescent="0.25">
      <c r="A15" s="57">
        <v>32</v>
      </c>
      <c r="B15" s="34">
        <v>98</v>
      </c>
      <c r="C15" s="34">
        <v>97</v>
      </c>
      <c r="D15" s="34">
        <v>90</v>
      </c>
      <c r="E15" s="34">
        <v>90</v>
      </c>
      <c r="F15" s="34">
        <v>90</v>
      </c>
    </row>
    <row r="16" spans="1:14" x14ac:dyDescent="0.25">
      <c r="A16" s="57">
        <v>33</v>
      </c>
      <c r="B16" s="34">
        <v>98</v>
      </c>
      <c r="C16" s="34">
        <v>97</v>
      </c>
      <c r="D16" s="34">
        <v>90</v>
      </c>
      <c r="E16" s="34">
        <v>90</v>
      </c>
      <c r="F16" s="34">
        <v>90</v>
      </c>
    </row>
    <row r="17" spans="1:6" x14ac:dyDescent="0.25">
      <c r="A17" s="57">
        <v>34</v>
      </c>
      <c r="B17" s="34">
        <v>98</v>
      </c>
      <c r="C17" s="34">
        <v>97</v>
      </c>
      <c r="D17" s="34">
        <v>90</v>
      </c>
      <c r="E17" s="34">
        <v>90</v>
      </c>
      <c r="F17" s="34">
        <v>90</v>
      </c>
    </row>
    <row r="18" spans="1:6" x14ac:dyDescent="0.25">
      <c r="A18" s="57">
        <v>35</v>
      </c>
      <c r="B18" s="34">
        <v>98</v>
      </c>
      <c r="C18" s="34">
        <v>97</v>
      </c>
      <c r="D18" s="34">
        <v>90</v>
      </c>
      <c r="E18" s="34">
        <v>90</v>
      </c>
      <c r="F18" s="34">
        <v>90</v>
      </c>
    </row>
    <row r="19" spans="1:6" x14ac:dyDescent="0.25">
      <c r="A19" s="57">
        <v>36</v>
      </c>
      <c r="B19" s="34">
        <v>98</v>
      </c>
      <c r="C19" s="34">
        <v>97</v>
      </c>
      <c r="D19" s="34">
        <v>90</v>
      </c>
      <c r="E19" s="34">
        <v>90</v>
      </c>
      <c r="F19" s="34">
        <v>90</v>
      </c>
    </row>
    <row r="20" spans="1:6" x14ac:dyDescent="0.25">
      <c r="A20" s="57">
        <v>37</v>
      </c>
      <c r="B20" s="34">
        <v>98</v>
      </c>
      <c r="C20" s="34">
        <v>97</v>
      </c>
      <c r="D20" s="34">
        <v>90</v>
      </c>
      <c r="E20" s="34">
        <v>90</v>
      </c>
      <c r="F20" s="34">
        <v>90</v>
      </c>
    </row>
    <row r="21" spans="1:6" x14ac:dyDescent="0.25">
      <c r="A21" s="57">
        <v>38</v>
      </c>
      <c r="B21" s="34">
        <v>98</v>
      </c>
      <c r="C21" s="34">
        <v>97</v>
      </c>
      <c r="D21" s="34">
        <v>90</v>
      </c>
      <c r="E21" s="34">
        <v>90</v>
      </c>
      <c r="F21" s="34">
        <v>90</v>
      </c>
    </row>
    <row r="22" spans="1:6" x14ac:dyDescent="0.25">
      <c r="A22" s="57">
        <v>39</v>
      </c>
      <c r="B22" s="34">
        <v>98</v>
      </c>
      <c r="C22" s="34">
        <v>97</v>
      </c>
      <c r="D22" s="34">
        <v>90</v>
      </c>
      <c r="E22" s="34">
        <v>90</v>
      </c>
      <c r="F22" s="34">
        <v>90</v>
      </c>
    </row>
    <row r="23" spans="1:6" x14ac:dyDescent="0.25">
      <c r="A23" s="57">
        <v>40</v>
      </c>
      <c r="B23" s="34">
        <v>98</v>
      </c>
      <c r="C23" s="34">
        <v>97</v>
      </c>
      <c r="D23" s="34">
        <v>90</v>
      </c>
      <c r="E23" s="34">
        <v>90</v>
      </c>
      <c r="F23" s="34">
        <v>90</v>
      </c>
    </row>
    <row r="24" spans="1:6" x14ac:dyDescent="0.25">
      <c r="A24" s="57">
        <v>41</v>
      </c>
      <c r="B24" s="34">
        <v>98</v>
      </c>
      <c r="C24" s="34">
        <v>97</v>
      </c>
      <c r="D24" s="34">
        <v>90</v>
      </c>
      <c r="E24" s="34">
        <v>90</v>
      </c>
      <c r="F24" s="34">
        <v>90</v>
      </c>
    </row>
    <row r="25" spans="1:6" x14ac:dyDescent="0.25">
      <c r="A25" s="57">
        <v>42</v>
      </c>
      <c r="B25" s="34">
        <v>98</v>
      </c>
      <c r="C25" s="34">
        <v>97</v>
      </c>
      <c r="D25" s="34">
        <v>90</v>
      </c>
      <c r="E25" s="34">
        <v>90</v>
      </c>
      <c r="F25" s="34">
        <v>90</v>
      </c>
    </row>
    <row r="26" spans="1:6" x14ac:dyDescent="0.25">
      <c r="A26" s="57">
        <v>43</v>
      </c>
      <c r="B26" s="34">
        <v>98</v>
      </c>
      <c r="C26" s="34">
        <v>97</v>
      </c>
      <c r="D26" s="34">
        <v>90</v>
      </c>
      <c r="E26" s="34">
        <v>90</v>
      </c>
      <c r="F26" s="34">
        <v>90</v>
      </c>
    </row>
    <row r="27" spans="1:6" x14ac:dyDescent="0.25">
      <c r="A27" s="57">
        <v>44</v>
      </c>
      <c r="B27" s="34">
        <v>98</v>
      </c>
      <c r="C27" s="34">
        <v>97</v>
      </c>
      <c r="D27" s="34">
        <v>90</v>
      </c>
      <c r="E27" s="34">
        <v>90</v>
      </c>
      <c r="F27" s="34">
        <v>90</v>
      </c>
    </row>
    <row r="28" spans="1:6" x14ac:dyDescent="0.25">
      <c r="A28" s="57">
        <v>45</v>
      </c>
      <c r="B28" s="34">
        <v>98</v>
      </c>
      <c r="C28" s="34">
        <v>97</v>
      </c>
      <c r="D28" s="34">
        <v>90</v>
      </c>
      <c r="E28" s="34">
        <v>90</v>
      </c>
      <c r="F28" s="34">
        <v>90</v>
      </c>
    </row>
    <row r="29" spans="1:6" x14ac:dyDescent="0.25">
      <c r="A29" s="57">
        <v>46</v>
      </c>
      <c r="B29" s="34">
        <v>98</v>
      </c>
      <c r="C29" s="34">
        <v>97</v>
      </c>
      <c r="D29" s="34">
        <v>90</v>
      </c>
      <c r="E29" s="34">
        <v>90</v>
      </c>
      <c r="F29" s="34">
        <v>89</v>
      </c>
    </row>
    <row r="30" spans="1:6" x14ac:dyDescent="0.25">
      <c r="A30" s="57">
        <v>47</v>
      </c>
      <c r="B30" s="34">
        <v>98</v>
      </c>
      <c r="C30" s="34">
        <v>97</v>
      </c>
      <c r="D30" s="34">
        <v>90</v>
      </c>
      <c r="E30" s="34">
        <v>90</v>
      </c>
      <c r="F30" s="34">
        <v>87</v>
      </c>
    </row>
    <row r="31" spans="1:6" x14ac:dyDescent="0.25">
      <c r="A31" s="57">
        <v>48</v>
      </c>
      <c r="B31" s="34">
        <v>92.9</v>
      </c>
      <c r="C31" s="34">
        <v>91.88</v>
      </c>
      <c r="D31" s="34">
        <v>90</v>
      </c>
      <c r="E31" s="34">
        <v>90</v>
      </c>
      <c r="F31" s="34">
        <v>83</v>
      </c>
    </row>
    <row r="32" spans="1:6" x14ac:dyDescent="0.25">
      <c r="A32" s="57">
        <v>49</v>
      </c>
      <c r="B32" s="34">
        <v>87.9</v>
      </c>
      <c r="C32" s="34">
        <v>86.77</v>
      </c>
      <c r="D32" s="34">
        <v>90</v>
      </c>
      <c r="E32" s="34">
        <v>90</v>
      </c>
      <c r="F32" s="34">
        <v>78</v>
      </c>
    </row>
    <row r="33" spans="1:6" x14ac:dyDescent="0.25">
      <c r="A33" s="57">
        <v>50</v>
      </c>
      <c r="B33" s="34">
        <v>82.899999999999991</v>
      </c>
      <c r="C33" s="34">
        <v>81.64</v>
      </c>
      <c r="D33" s="34">
        <v>85</v>
      </c>
      <c r="E33" s="34">
        <v>85</v>
      </c>
      <c r="F33" s="34">
        <v>72</v>
      </c>
    </row>
    <row r="34" spans="1:6" x14ac:dyDescent="0.25">
      <c r="A34" s="57">
        <v>51</v>
      </c>
      <c r="B34" s="34">
        <v>78</v>
      </c>
      <c r="C34" s="34">
        <v>76.530000000000015</v>
      </c>
      <c r="D34" s="34">
        <v>80</v>
      </c>
      <c r="E34" s="34">
        <v>80</v>
      </c>
      <c r="F34" s="34">
        <v>66</v>
      </c>
    </row>
    <row r="35" spans="1:6" x14ac:dyDescent="0.25">
      <c r="A35" s="57">
        <v>52</v>
      </c>
      <c r="B35" s="34">
        <v>73.099999999999994</v>
      </c>
      <c r="C35" s="34">
        <v>71.41</v>
      </c>
      <c r="D35" s="34">
        <v>75</v>
      </c>
      <c r="E35" s="34">
        <v>75</v>
      </c>
      <c r="F35" s="34">
        <v>59</v>
      </c>
    </row>
    <row r="36" spans="1:6" x14ac:dyDescent="0.25">
      <c r="A36" s="57">
        <v>53</v>
      </c>
      <c r="B36" s="34">
        <v>68.099999999999994</v>
      </c>
      <c r="C36" s="34">
        <v>66.3</v>
      </c>
      <c r="D36" s="34">
        <v>70</v>
      </c>
      <c r="E36" s="34">
        <v>70</v>
      </c>
      <c r="F36" s="34">
        <v>54</v>
      </c>
    </row>
    <row r="37" spans="1:6" x14ac:dyDescent="0.25">
      <c r="A37" s="57">
        <v>54</v>
      </c>
      <c r="B37" s="34">
        <v>63.3</v>
      </c>
      <c r="C37" s="34">
        <v>61.18</v>
      </c>
      <c r="D37" s="34">
        <v>65</v>
      </c>
      <c r="E37" s="34">
        <v>65</v>
      </c>
      <c r="F37" s="34">
        <v>48</v>
      </c>
    </row>
    <row r="38" spans="1:6" x14ac:dyDescent="0.25">
      <c r="A38" s="57">
        <v>55</v>
      </c>
      <c r="B38" s="34">
        <v>58.5</v>
      </c>
      <c r="C38" s="34">
        <v>56.06</v>
      </c>
      <c r="D38" s="34">
        <v>60</v>
      </c>
      <c r="E38" s="34">
        <v>60</v>
      </c>
      <c r="F38" s="34">
        <v>43</v>
      </c>
    </row>
    <row r="39" spans="1:6" x14ac:dyDescent="0.25">
      <c r="A39" s="57">
        <v>56</v>
      </c>
      <c r="B39" s="34">
        <v>53.800000000000004</v>
      </c>
      <c r="C39" s="34">
        <v>50.94</v>
      </c>
      <c r="D39" s="34">
        <v>55.000000000000007</v>
      </c>
      <c r="E39" s="34">
        <v>55.000000000000007</v>
      </c>
      <c r="F39" s="34">
        <v>39</v>
      </c>
    </row>
    <row r="40" spans="1:6" x14ac:dyDescent="0.25">
      <c r="A40" s="57">
        <v>57</v>
      </c>
      <c r="B40" s="34">
        <v>49.1</v>
      </c>
      <c r="C40" s="34">
        <v>45.82</v>
      </c>
      <c r="D40" s="34">
        <v>50</v>
      </c>
      <c r="E40" s="34">
        <v>50</v>
      </c>
      <c r="F40" s="34">
        <v>35</v>
      </c>
    </row>
    <row r="41" spans="1:6" x14ac:dyDescent="0.25">
      <c r="A41" s="57">
        <v>58</v>
      </c>
      <c r="B41" s="34">
        <v>44.4</v>
      </c>
      <c r="C41" s="34">
        <v>40.71</v>
      </c>
      <c r="D41" s="34">
        <v>44.999999999999993</v>
      </c>
      <c r="E41" s="34">
        <v>45</v>
      </c>
      <c r="F41" s="34">
        <v>32</v>
      </c>
    </row>
    <row r="42" spans="1:6" x14ac:dyDescent="0.25">
      <c r="A42" s="57">
        <v>59</v>
      </c>
      <c r="B42" s="34">
        <v>39.800000000000004</v>
      </c>
      <c r="C42" s="34">
        <v>35.589999999999996</v>
      </c>
      <c r="D42" s="34">
        <v>40</v>
      </c>
      <c r="E42" s="34">
        <v>40</v>
      </c>
      <c r="F42" s="34">
        <v>28.000000000000004</v>
      </c>
    </row>
    <row r="43" spans="1:6" x14ac:dyDescent="0.25">
      <c r="A43" s="57">
        <v>60</v>
      </c>
      <c r="B43" s="34">
        <v>35.299999999999997</v>
      </c>
      <c r="C43" s="34">
        <v>30.470000000000002</v>
      </c>
      <c r="D43" s="34">
        <v>35</v>
      </c>
      <c r="E43" s="34">
        <v>35</v>
      </c>
      <c r="F43" s="34">
        <v>26</v>
      </c>
    </row>
    <row r="44" spans="1:6" x14ac:dyDescent="0.25">
      <c r="A44" s="57">
        <v>61</v>
      </c>
      <c r="B44" s="34">
        <v>30.8</v>
      </c>
      <c r="C44" s="34">
        <v>25.35</v>
      </c>
      <c r="D44" s="34">
        <v>30</v>
      </c>
      <c r="E44" s="34">
        <v>30</v>
      </c>
      <c r="F44" s="34">
        <v>23</v>
      </c>
    </row>
    <row r="45" spans="1:6" x14ac:dyDescent="0.25">
      <c r="A45" s="57">
        <v>62</v>
      </c>
      <c r="B45" s="34">
        <v>26.6</v>
      </c>
      <c r="C45" s="34">
        <v>20.239999999999998</v>
      </c>
      <c r="D45" s="34">
        <v>25</v>
      </c>
      <c r="E45" s="34">
        <v>25</v>
      </c>
      <c r="F45" s="34">
        <v>21</v>
      </c>
    </row>
    <row r="46" spans="1:6" x14ac:dyDescent="0.25">
      <c r="A46" s="57">
        <v>63</v>
      </c>
      <c r="B46" s="34">
        <v>22.400000000000002</v>
      </c>
      <c r="C46" s="34">
        <v>15.120000000000001</v>
      </c>
      <c r="D46" s="34">
        <v>20</v>
      </c>
      <c r="E46" s="34">
        <v>20</v>
      </c>
      <c r="F46" s="34">
        <v>19</v>
      </c>
    </row>
    <row r="47" spans="1:6" x14ac:dyDescent="0.25">
      <c r="A47" s="57">
        <v>64</v>
      </c>
      <c r="B47" s="34">
        <v>18.5</v>
      </c>
      <c r="C47" s="34">
        <v>10</v>
      </c>
      <c r="D47" s="34">
        <v>15</v>
      </c>
      <c r="E47" s="34">
        <v>15</v>
      </c>
      <c r="F47" s="34">
        <v>17</v>
      </c>
    </row>
    <row r="48" spans="1:6" x14ac:dyDescent="0.25">
      <c r="A48" s="57">
        <v>65</v>
      </c>
      <c r="B48" s="34">
        <v>18.5</v>
      </c>
      <c r="C48" s="34">
        <v>10</v>
      </c>
      <c r="D48" s="34">
        <v>15</v>
      </c>
      <c r="E48" s="34">
        <v>10</v>
      </c>
      <c r="F48" s="34">
        <v>15</v>
      </c>
    </row>
    <row r="49" spans="1:6" x14ac:dyDescent="0.25">
      <c r="A49" s="57">
        <v>66</v>
      </c>
      <c r="B49" s="34">
        <v>18.5</v>
      </c>
      <c r="C49" s="34">
        <v>10</v>
      </c>
      <c r="D49" s="34">
        <v>15</v>
      </c>
      <c r="E49" s="34">
        <v>10</v>
      </c>
      <c r="F49" s="34">
        <v>15</v>
      </c>
    </row>
    <row r="50" spans="1:6" x14ac:dyDescent="0.25">
      <c r="A50" s="57">
        <v>67</v>
      </c>
      <c r="B50" s="34">
        <v>18.5</v>
      </c>
      <c r="C50" s="34">
        <v>10</v>
      </c>
      <c r="D50" s="34">
        <v>15</v>
      </c>
      <c r="E50" s="34">
        <v>10</v>
      </c>
      <c r="F50" s="34">
        <v>15</v>
      </c>
    </row>
    <row r="51" spans="1:6" x14ac:dyDescent="0.25">
      <c r="A51" s="57">
        <v>68</v>
      </c>
      <c r="B51" s="34">
        <v>18.5</v>
      </c>
      <c r="C51" s="34">
        <v>10</v>
      </c>
      <c r="D51" s="34">
        <v>15</v>
      </c>
      <c r="E51" s="34">
        <v>10</v>
      </c>
      <c r="F51" s="34">
        <v>15</v>
      </c>
    </row>
    <row r="52" spans="1:6" x14ac:dyDescent="0.25">
      <c r="A52" s="49" t="s">
        <v>97</v>
      </c>
      <c r="B52" s="49"/>
      <c r="C52" s="49"/>
      <c r="D52" s="49"/>
      <c r="E52" s="49"/>
      <c r="F52" s="49"/>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0!A1" display="Grįžti į pagrindinį puslapį"/>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GCF_2020</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2020-10-11T10:43:59Z</dcterms:modified>
</cp:coreProperties>
</file>