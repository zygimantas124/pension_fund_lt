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filterPrivacy="1" defaultThemeVersion="124226"/>
  <xr:revisionPtr revIDLastSave="0" documentId="13_ncr:1_{3BAAF867-1CE1-4BEB-A883-2B02569D99B8}" xr6:coauthVersionLast="45" xr6:coauthVersionMax="45" xr10:uidLastSave="{00000000-0000-0000-0000-000000000000}"/>
  <bookViews>
    <workbookView xWindow="-108" yWindow="-108" windowWidth="23256" windowHeight="12576" tabRatio="934" xr2:uid="{00000000-000D-0000-FFFF-FFFF00000000}"/>
  </bookViews>
  <sheets>
    <sheet name="GCF_2020"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<sst xmlns="http://schemas.openxmlformats.org/spreadsheetml/2006/main" count="931" uniqueCount="148">
  <si>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</si>
  <si>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</si>
  <si>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</si>
  <si>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</si>
  <si>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</si>
  <si>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</si>
  <si>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</si>
  <si>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</si>
  <si>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</si>
  <si>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</si>
  <si>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</si>
  <si>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</si>
  <si>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</si>
  <si>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</si>
  <si>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</si>
  <si>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</si>
  <si>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</si>
  <si>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</si>
  <si>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</si>
  <si>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</si>
  <si>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</si>
  <si>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</si>
  <si>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</si>
  <si>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</si>
  <si>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</si>
  <si>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</si>
  <si>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</si>
  <si>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</si>
  <si>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</si>
  <si>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</si>
  <si>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</si>
  <si>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</si>
  <si>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</si>
  <si>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</si>
  <si>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</si>
  <si>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</si>
  <si>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</si>
  <si>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</si>
  <si>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</si>
  <si>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</si>
  <si>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</si>
  <si>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</si>
  <si>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</si>
  <si>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</si>
  <si>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</si>
  <si>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</si>
  <si>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</si>
  <si>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</si>
  <si>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</si>
  <si>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</si>
  <si>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</si>
  <si>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</si>
  <si>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</si>
  <si>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</si>
  <si>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</si>
  <si>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</si>
  <si>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</si>
  <si>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</si>
  <si>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</si>
  <si>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</si>
  <si>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</si>
  <si>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</si>
  <si>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</si>
  <si>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</si>
  <si>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</si>
  <si>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</si>
  <si>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</si>
  <si>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</si>
  <si>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</si>
  <si>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</si>
  <si>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</si>
  <si>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</si>
  <si>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</si>
  <si>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</si>
  <si>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</si>
  <si>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</si>
  <si>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</si>
  <si>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</si>
  <si>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</si>
  <si>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</si>
  <si>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</si>
  <si>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</si>
  <si>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</si>
  <si>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</si>
  <si>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</si>
  <si>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</si>
  <si>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</si>
  <si>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</si>
  <si>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</si>
  <si>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</si>
  <si>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</si>
  <si>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</si>
  <si>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</si>
  <si>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</si>
  <si>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</si>
  <si>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</si>
  <si>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</si>
  <si>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</si>
  <si>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</si>
  <si>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</si>
  <si>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</si>
  <si>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</si>
  <si>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</si>
  <si>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</si>
  <si>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</si>
  <si>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</si>
  <si>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</si>
  <si>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Išlaidų rodikliai (2019 m.)</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</si>
  <si>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</si>
  <si>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</si>
  <si>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</si>
  <si>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</si>
  <si>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</si>
  <si>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</si>
  <si>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</si>
  <si>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</si>
  <si>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</si>
  <si>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</si>
  <si>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</si>
  <si>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</si>
  <si>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</si>
  <si>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</si>
  <si>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</si>
  <si>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</si>
  <si>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</si>
  <si>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</si>
  <si>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</si>
  <si>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</si>
  <si>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</si>
  <si>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</si>
  <si>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</si>
  <si>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</si>
  <si>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</si>
  <si>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 xml:space="preserve">vieneto vertės standartinis nuokrypis, per praėjusius 2 metus, proc. </t>
  </si>
  <si>
    <t xml:space="preserve">lyginamojo indekso standartinis nuokrypis, per praėjusius 2 metus, proc. </t>
  </si>
  <si>
    <t>[11] Apskaičiuota taikant geometrinį vidurkį.</t>
  </si>
  <si>
    <t>vidutinis metinis vieneto vertės pokytis [11] per praėjusius 2 metus, proc.</t>
  </si>
  <si>
    <t>vidutinis lyginamojo indekso vertės pokytis [11] per praėjusius 2 metus, proc.</t>
  </si>
  <si>
    <t>2 m. 3 mėn.</t>
  </si>
  <si>
    <t>Luminor turto išsaugojimo fondas</t>
  </si>
  <si>
    <t>Rizikos ir grąžos palyginimas (per praėjusius 2 metus)</t>
  </si>
  <si>
    <t>Dalyvių skaičiaus, grąžos (per praėjusius 2 metus) ir fondo turto palyginimas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</si>
  <si>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</si>
  <si>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2020-03-31 dienos fondų grynųjų aktyvų dydis.</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</si>
  <si>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</si>
  <si>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</si>
  <si>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[4] Svertiniam vidurkiui apskaičiuoti naudotas 2021-03-31 dienos fondų grynųjų aktyvų dydis.</t>
  </si>
  <si>
    <t>Išlaidų rodikliai (2020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</si>
</sst>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
      <sz val="9"/>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cellStyleXfs>
  <cellXfs count="99">
    <xf numFmtId="0" fontId="0" fillId="0" borderId="0" xfId="0"/>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165" fontId="0" fillId="0" borderId="0" xfId="1" applyNumberFormat="1" applyFont="1"/>
    <xf numFmtId="0" fontId="6" fillId="0" borderId="0" xfId="0" applyFont="1"/>
    <xf numFmtId="2" fontId="6" fillId="0" borderId="0" xfId="0" applyNumberFormat="1" applyFont="1" applyBorder="1"/>
    <xf numFmtId="165" fontId="6" fillId="0" borderId="0" xfId="1" applyNumberFormat="1" applyFont="1" applyBorder="1"/>
    <xf numFmtId="166" fontId="6" fillId="0" borderId="0" xfId="0" applyNumberFormat="1" applyFont="1" applyBorder="1" applyAlignment="1">
      <alignment horizontal="center"/>
    </xf>
    <xf numFmtId="166" fontId="10" fillId="0" borderId="0" xfId="0" applyNumberFormat="1" applyFont="1" applyBorder="1" applyAlignment="1">
      <alignment horizontal="center"/>
    </xf>
    <xf numFmtId="0" fontId="6" fillId="0" borderId="0" xfId="0" applyFont="1" applyFill="1"/>
    <xf numFmtId="166" fontId="6" fillId="0" borderId="0" xfId="0" applyNumberFormat="1" applyFont="1" applyFill="1" applyBorder="1" applyAlignment="1">
      <alignment horizontal="center"/>
    </xf>
    <xf numFmtId="166" fontId="10" fillId="0" borderId="0" xfId="0" applyNumberFormat="1" applyFont="1" applyFill="1" applyBorder="1" applyAlignment="1">
      <alignment horizontal="center"/>
    </xf>
    <xf numFmtId="0" fontId="12" fillId="2" borderId="0" xfId="4" applyFont="1" applyFill="1" applyAlignment="1"/>
    <xf numFmtId="0" fontId="13" fillId="0" borderId="0" xfId="0" applyFont="1"/>
    <xf numFmtId="14" fontId="13" fillId="0" borderId="0" xfId="0" applyNumberFormat="1" applyFont="1"/>
    <xf numFmtId="0" fontId="13" fillId="0" borderId="0" xfId="0" applyFont="1" applyAlignment="1"/>
    <xf numFmtId="0" fontId="16" fillId="0" borderId="0" xfId="0" applyFont="1"/>
    <xf numFmtId="9" fontId="8" fillId="0" borderId="0" xfId="2" applyFont="1" applyFill="1" applyBorder="1"/>
    <xf numFmtId="164" fontId="6" fillId="0" borderId="0" xfId="1" applyNumberFormat="1" applyFont="1" applyFill="1" applyBorder="1"/>
    <xf numFmtId="0" fontId="6" fillId="0" borderId="0" xfId="0" applyFont="1" applyBorder="1"/>
    <xf numFmtId="0" fontId="9"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4" fillId="0" borderId="0" xfId="0" applyNumberFormat="1" applyFont="1" applyBorder="1" applyAlignment="1">
      <alignment horizontal="left"/>
    </xf>
    <xf numFmtId="0" fontId="6" fillId="0" borderId="0" xfId="0" applyFont="1" applyFill="1" applyBorder="1" applyAlignment="1">
      <alignment horizontal="left"/>
    </xf>
    <xf numFmtId="0" fontId="6"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0" borderId="0" xfId="0" applyFont="1" applyBorder="1"/>
    <xf numFmtId="0" fontId="27" fillId="2" borderId="0" xfId="4" applyFont="1" applyFill="1" applyAlignment="1"/>
    <xf numFmtId="0" fontId="22" fillId="0" borderId="0" xfId="0" applyFont="1"/>
    <xf numFmtId="0" fontId="28" fillId="0" borderId="0" xfId="0" applyFont="1"/>
    <xf numFmtId="0" fontId="22" fillId="0" borderId="0" xfId="0" applyFont="1" applyAlignment="1"/>
    <xf numFmtId="1" fontId="4" fillId="0" borderId="6" xfId="0" applyNumberFormat="1" applyFont="1" applyFill="1" applyBorder="1" applyAlignment="1">
      <alignment horizontal="center" vertical="center"/>
    </xf>
    <xf numFmtId="0" fontId="7"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4" fillId="0" borderId="0" xfId="0" applyNumberFormat="1" applyFont="1" applyFill="1" applyBorder="1" applyAlignment="1">
      <alignment horizontal="center" wrapText="1"/>
    </xf>
    <xf numFmtId="2" fontId="4"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3"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4" fontId="0" fillId="0" borderId="0" xfId="1" applyFont="1" applyAlignment="1">
      <alignment horizontal="left"/>
    </xf>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2" applyNumberFormat="1" applyFont="1" applyAlignment="1">
      <alignment horizontal="left"/>
    </xf>
    <xf numFmtId="14" fontId="0" fillId="0" borderId="0" xfId="1" applyNumberFormat="1" applyFont="1" applyAlignment="1">
      <alignment horizontal="left"/>
    </xf>
    <xf numFmtId="0" fontId="0" fillId="0" borderId="0" xfId="0" applyNumberForma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0" fontId="31" fillId="0" borderId="0" xfId="0" applyFont="1" applyFill="1" applyBorder="1" applyAlignment="1">
      <alignment wrapText="1"/>
    </xf>
    <xf numFmtId="0" fontId="19" fillId="2" borderId="0" xfId="4" applyFont="1" applyFill="1" applyBorder="1" applyAlignment="1"/>
    <xf numFmtId="0" fontId="19" fillId="0" borderId="0" xfId="0" applyFont="1" applyBorder="1" applyAlignment="1"/>
    <xf numFmtId="0" fontId="19" fillId="0" borderId="0" xfId="0" applyFont="1" applyBorder="1"/>
    <xf numFmtId="0" fontId="19" fillId="0" borderId="0" xfId="0" quotePrefix="1" applyFont="1"/>
    <xf numFmtId="0" fontId="32" fillId="0" borderId="0" xfId="0" applyFont="1"/>
    <xf numFmtId="0" fontId="18" fillId="3" borderId="9"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25" fillId="0" borderId="7" xfId="0" applyFont="1" applyFill="1" applyBorder="1" applyAlignment="1">
      <alignment horizontal="left" wrapText="1"/>
    </xf>
    <xf numFmtId="0" fontId="18" fillId="3" borderId="8" xfId="0" applyFont="1" applyFill="1" applyBorder="1" applyAlignment="1">
      <alignment horizontal="center" vertical="center" wrapText="1"/>
    </xf>
  </cellXfs>
  <cellStyles count="7">
    <cellStyle name="Comma" xfId="1" builtinId="3"/>
    <cellStyle name="Hyperlink" xfId="3" builtinId="8"/>
    <cellStyle name="Normal" xfId="0" builtinId="0"/>
    <cellStyle name="Normal 2" xfId="5" xr:uid="{00000000-0005-0000-0000-000003000000}"/>
    <cellStyle name="Normal 3" xfId="4" xr:uid="{00000000-0005-0000-0000-000004000000}"/>
    <cellStyle name="Percent" xfId="2" builtinId="5"/>
    <cellStyle name="Percent 2" xfId="6" xr:uid="{00000000-0005-0000-0000-000006000000}"/>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3.8365914580361929E-4"/>
                  <c:y val="-1.6147244827257642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6.8657626497110776E-3"/>
                  <c:y val="8.0073399506751519E-3"/>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4.9898024231542102E-3"/>
                  <c:y val="-4.0699524382912175E-3"/>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7.6329794173315285E-3"/>
                  <c:y val="2.733100777302146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4.1259348201791918E-4"/>
                  <c:y val="1.7669173861848329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'1996-2002'!$B$34:$B$38</c:f>
              <c:numCache>
                <c:formatCode>0.00</c:formatCode>
                <c:ptCount val="5"/>
                <c:pt idx="0">
                  <c:v>14.882731349796623</c:v>
                </c:pt>
                <c:pt idx="1">
                  <c:v>14.798506784791662</c:v>
                </c:pt>
                <c:pt idx="2">
                  <c:v>15.851810787401163</c:v>
                </c:pt>
                <c:pt idx="3">
                  <c:v>14.314343046887579</c:v>
                </c:pt>
                <c:pt idx="4">
                  <c:v>16.146221508978908</c:v>
                </c:pt>
              </c:numCache>
            </c:numRef>
          </c:xVal>
          <c:yVal>
            <c:numRef>
              <c:f>'1996-2002'!$C$34:$C$38</c:f>
              <c:numCache>
                <c:formatCode>0.00</c:formatCode>
                <c:ptCount val="5"/>
                <c:pt idx="0">
                  <c:v>15.00941075232145</c:v>
                </c:pt>
                <c:pt idx="1">
                  <c:v>13.054893126481847</c:v>
                </c:pt>
                <c:pt idx="2">
                  <c:v>12.928623808998708</c:v>
                </c:pt>
                <c:pt idx="3">
                  <c:v>11.063537287068925</c:v>
                </c:pt>
                <c:pt idx="4">
                  <c:v>11.881786477697641</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5313873624496382"/>
                  <c:y val="2.5452860500687828E-3"/>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4.6964196539664653E-2"/>
                  <c:y val="-9.6720869902613749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1.3752176363300136E-2"/>
                  <c:y val="6.617743730178835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'1996-2002'!$B$64:$B$68</c:f>
              <c:numCache>
                <c:formatCode>0.00</c:formatCode>
                <c:ptCount val="5"/>
                <c:pt idx="0">
                  <c:v>8.4610000000000003</c:v>
                </c:pt>
                <c:pt idx="1">
                  <c:v>12.87</c:v>
                </c:pt>
                <c:pt idx="2">
                  <c:v>14.522</c:v>
                </c:pt>
                <c:pt idx="3">
                  <c:v>36.268999999999998</c:v>
                </c:pt>
                <c:pt idx="4">
                  <c:v>14.728999999999999</c:v>
                </c:pt>
              </c:numCache>
            </c:numRef>
          </c:xVal>
          <c:yVal>
            <c:numRef>
              <c:f>'1996-2002'!$C$64:$C$68</c:f>
              <c:numCache>
                <c:formatCode>0.00</c:formatCode>
                <c:ptCount val="5"/>
                <c:pt idx="0">
                  <c:v>15.00941075232145</c:v>
                </c:pt>
                <c:pt idx="1">
                  <c:v>13.054893126481847</c:v>
                </c:pt>
                <c:pt idx="2">
                  <c:v>12.928623808998708</c:v>
                </c:pt>
                <c:pt idx="3">
                  <c:v>11.063537287068925</c:v>
                </c:pt>
                <c:pt idx="4">
                  <c:v>11.881786477697641</c:v>
                </c:pt>
              </c:numCache>
            </c:numRef>
          </c:yVal>
          <c:bubbleSize>
            <c:numRef>
              <c:f>'1996-2002'!$D$64:$D$68</c:f>
              <c:numCache>
                <c:formatCode>0.00</c:formatCode>
                <c:ptCount val="5"/>
                <c:pt idx="0">
                  <c:v>4.2141342499999999</c:v>
                </c:pt>
                <c:pt idx="1">
                  <c:v>10.440377671</c:v>
                </c:pt>
                <c:pt idx="2">
                  <c:v>13.203209510000001</c:v>
                </c:pt>
                <c:pt idx="3">
                  <c:v>31.071159089999998</c:v>
                </c:pt>
                <c:pt idx="4">
                  <c:v>10.30351591</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8.6840324946473368E-2"/>
                  <c:y val="-2.1343042652048647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'1989-1995'!$B$34:$B$38</c:f>
              <c:numCache>
                <c:formatCode>0.00</c:formatCode>
                <c:ptCount val="5"/>
                <c:pt idx="0">
                  <c:v>14.840011182172011</c:v>
                </c:pt>
                <c:pt idx="1">
                  <c:v>15.031001670018487</c:v>
                </c:pt>
                <c:pt idx="2">
                  <c:v>15.829201986300617</c:v>
                </c:pt>
                <c:pt idx="3">
                  <c:v>14.304180086794005</c:v>
                </c:pt>
                <c:pt idx="4">
                  <c:v>16.176635879028865</c:v>
                </c:pt>
              </c:numCache>
            </c:numRef>
          </c:xVal>
          <c:yVal>
            <c:numRef>
              <c:f>'1989-1995'!$C$34:$C$38</c:f>
              <c:numCache>
                <c:formatCode>0.00</c:formatCode>
                <c:ptCount val="5"/>
                <c:pt idx="0">
                  <c:v>14.661457915738541</c:v>
                </c:pt>
                <c:pt idx="1">
                  <c:v>12.853181202286956</c:v>
                </c:pt>
                <c:pt idx="2">
                  <c:v>13.138985968897732</c:v>
                </c:pt>
                <c:pt idx="3">
                  <c:v>11.887196734537152</c:v>
                </c:pt>
                <c:pt idx="4">
                  <c:v>12.143904333724876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3.3092660230361393E-3"/>
                  <c:y val="4.3287031514121867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0.12138379086758963"/>
                  <c:y val="4.467586554514693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'1989-1995'!$B$64:$B$68</c:f>
              <c:numCache>
                <c:formatCode>0.00</c:formatCode>
                <c:ptCount val="5"/>
                <c:pt idx="0">
                  <c:v>18.068000000000001</c:v>
                </c:pt>
                <c:pt idx="1">
                  <c:v>33.112000000000002</c:v>
                </c:pt>
                <c:pt idx="2">
                  <c:v>41.04</c:v>
                </c:pt>
                <c:pt idx="3">
                  <c:v>89.67</c:v>
                </c:pt>
                <c:pt idx="4">
                  <c:v>31.687999999999999</c:v>
                </c:pt>
              </c:numCache>
            </c:numRef>
          </c:xVal>
          <c:yVal>
            <c:numRef>
              <c:f>'1989-1995'!$C$64:$C$68</c:f>
              <c:numCache>
                <c:formatCode>0.00</c:formatCode>
                <c:ptCount val="5"/>
                <c:pt idx="0">
                  <c:v>14.661457915738541</c:v>
                </c:pt>
                <c:pt idx="1">
                  <c:v>12.853181202286956</c:v>
                </c:pt>
                <c:pt idx="2">
                  <c:v>13.138985968897732</c:v>
                </c:pt>
                <c:pt idx="3">
                  <c:v>11.887196734537152</c:v>
                </c:pt>
                <c:pt idx="4">
                  <c:v>12.143904333724876</c:v>
                </c:pt>
              </c:numCache>
            </c:numRef>
          </c:yVal>
          <c:bubbleSize>
            <c:numRef>
              <c:f>'1989-1995'!$D$64:$D$68</c:f>
              <c:numCache>
                <c:formatCode>0.00</c:formatCode>
                <c:ptCount val="5"/>
                <c:pt idx="0">
                  <c:v>31.26952047</c:v>
                </c:pt>
                <c:pt idx="1">
                  <c:v>68.817419537100008</c:v>
                </c:pt>
                <c:pt idx="2">
                  <c:v>83.473448569999988</c:v>
                </c:pt>
                <c:pt idx="3">
                  <c:v>176.98937239</c:v>
                </c:pt>
                <c:pt idx="4">
                  <c:v>54.110042329999999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'1982-1988'!$B$34:$B$38</c:f>
              <c:numCache>
                <c:formatCode>0.00</c:formatCode>
                <c:ptCount val="5"/>
                <c:pt idx="0">
                  <c:v>14.771001173587695</c:v>
                </c:pt>
                <c:pt idx="1">
                  <c:v>14.966685216670827</c:v>
                </c:pt>
                <c:pt idx="2">
                  <c:v>15.788341343169312</c:v>
                </c:pt>
                <c:pt idx="3">
                  <c:v>14.275903625896772</c:v>
                </c:pt>
                <c:pt idx="4">
                  <c:v>16.118823824703206</c:v>
                </c:pt>
              </c:numCache>
            </c:numRef>
          </c:xVal>
          <c:yVal>
            <c:numRef>
              <c:f>'1982-1988'!$C$34:$C$38</c:f>
              <c:numCache>
                <c:formatCode>0.00</c:formatCode>
                <c:ptCount val="5"/>
                <c:pt idx="0">
                  <c:v>14.409377262474464</c:v>
                </c:pt>
                <c:pt idx="1">
                  <c:v>12.824003020403163</c:v>
                </c:pt>
                <c:pt idx="2">
                  <c:v>13.306268429549428</c:v>
                </c:pt>
                <c:pt idx="3">
                  <c:v>12.151756486502197</c:v>
                </c:pt>
                <c:pt idx="4">
                  <c:v>12.219504379587697</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7.462686567164179E-3"/>
                  <c:y val="-5.092591942837861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1.1194029850746315E-2"/>
                  <c:y val="-6.6203695256892195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'1982-1988'!$B$64:$B$68</c:f>
              <c:numCache>
                <c:formatCode>0.00</c:formatCode>
                <c:ptCount val="5"/>
                <c:pt idx="0">
                  <c:v>26.227</c:v>
                </c:pt>
                <c:pt idx="1">
                  <c:v>42.264000000000003</c:v>
                </c:pt>
                <c:pt idx="2">
                  <c:v>70.703000000000003</c:v>
                </c:pt>
                <c:pt idx="3">
                  <c:v>106.742</c:v>
                </c:pt>
                <c:pt idx="4">
                  <c:v>44.707000000000001</c:v>
                </c:pt>
              </c:numCache>
            </c:numRef>
          </c:xVal>
          <c:yVal>
            <c:numRef>
              <c:f>'1982-1988'!$C$64:$C$68</c:f>
              <c:numCache>
                <c:formatCode>0.00</c:formatCode>
                <c:ptCount val="5"/>
                <c:pt idx="0">
                  <c:v>14.409377262474464</c:v>
                </c:pt>
                <c:pt idx="1">
                  <c:v>12.824003020403163</c:v>
                </c:pt>
                <c:pt idx="2">
                  <c:v>13.306268429549428</c:v>
                </c:pt>
                <c:pt idx="3">
                  <c:v>12.151756486502197</c:v>
                </c:pt>
                <c:pt idx="4">
                  <c:v>12.219504379587697</c:v>
                </c:pt>
              </c:numCache>
            </c:numRef>
          </c:yVal>
          <c:bubbleSize>
            <c:numRef>
              <c:f>'1982-1988'!$D$64:$D$68</c:f>
              <c:numCache>
                <c:formatCode>0.00</c:formatCode>
                <c:ptCount val="5"/>
                <c:pt idx="0">
                  <c:v>73.169948969999993</c:v>
                </c:pt>
                <c:pt idx="1">
                  <c:v>145.07852472089999</c:v>
                </c:pt>
                <c:pt idx="2">
                  <c:v>224.77330047000001</c:v>
                </c:pt>
                <c:pt idx="3">
                  <c:v>289.09266639999998</c:v>
                </c:pt>
                <c:pt idx="4">
                  <c:v>107.89887393000001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1867045846937538"/>
                  <c:y val="-2.5822392289095764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'1975-1981'!$B$34:$B$38</c:f>
              <c:numCache>
                <c:formatCode>0.00</c:formatCode>
                <c:ptCount val="5"/>
                <c:pt idx="0">
                  <c:v>14.745642504109108</c:v>
                </c:pt>
                <c:pt idx="1">
                  <c:v>14.964923531208715</c:v>
                </c:pt>
                <c:pt idx="2">
                  <c:v>15.785573828009397</c:v>
                </c:pt>
                <c:pt idx="3">
                  <c:v>14.353410270684586</c:v>
                </c:pt>
                <c:pt idx="4">
                  <c:v>16.214899514491922</c:v>
                </c:pt>
              </c:numCache>
            </c:numRef>
          </c:xVal>
          <c:yVal>
            <c:numRef>
              <c:f>'1975-1981'!$C$34:$C$38</c:f>
              <c:numCache>
                <c:formatCode>0.00</c:formatCode>
                <c:ptCount val="5"/>
                <c:pt idx="0">
                  <c:v>14.47557173363958</c:v>
                </c:pt>
                <c:pt idx="1">
                  <c:v>12.777686223586571</c:v>
                </c:pt>
                <c:pt idx="2">
                  <c:v>13.297479814024737</c:v>
                </c:pt>
                <c:pt idx="3">
                  <c:v>12.150526739360812</c:v>
                </c:pt>
                <c:pt idx="4">
                  <c:v>12.046550279022107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18468366976017592"/>
                  <c:y val="-0.12449875902273845"/>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7253624551346984E-2"/>
                  <c:y val="0.139058797310253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3.6605605349045488E-3"/>
                  <c:y val="2.7547210045823119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'1975-1981'!$B$64:$B$68</c:f>
              <c:numCache>
                <c:formatCode>0.00</c:formatCode>
                <c:ptCount val="5"/>
                <c:pt idx="0">
                  <c:v>27.29</c:v>
                </c:pt>
                <c:pt idx="1">
                  <c:v>21.481000000000002</c:v>
                </c:pt>
                <c:pt idx="2">
                  <c:v>61.771999999999998</c:v>
                </c:pt>
                <c:pt idx="3">
                  <c:v>97.352999999999994</c:v>
                </c:pt>
                <c:pt idx="4">
                  <c:v>39.848999999999997</c:v>
                </c:pt>
              </c:numCache>
            </c:numRef>
          </c:xVal>
          <c:yVal>
            <c:numRef>
              <c:f>'1975-1981'!$C$64:$C$68</c:f>
              <c:numCache>
                <c:formatCode>0.00</c:formatCode>
                <c:ptCount val="5"/>
                <c:pt idx="0">
                  <c:v>12.777686223586571</c:v>
                </c:pt>
                <c:pt idx="1">
                  <c:v>14.47557173363958</c:v>
                </c:pt>
                <c:pt idx="2">
                  <c:v>13.297479814024737</c:v>
                </c:pt>
                <c:pt idx="3">
                  <c:v>12.150526739360812</c:v>
                </c:pt>
                <c:pt idx="4">
                  <c:v>12.046550279022107</c:v>
                </c:pt>
              </c:numCache>
            </c:numRef>
          </c:yVal>
          <c:bubbleSize>
            <c:numRef>
              <c:f>'1975-1981'!$D$64:$D$68</c:f>
              <c:numCache>
                <c:formatCode>0.00</c:formatCode>
                <c:ptCount val="5"/>
                <c:pt idx="0">
                  <c:v>162.179002416</c:v>
                </c:pt>
                <c:pt idx="1">
                  <c:v>94.677720579999999</c:v>
                </c:pt>
                <c:pt idx="2">
                  <c:v>315.11329111999999</c:v>
                </c:pt>
                <c:pt idx="3">
                  <c:v>394.59956160000002</c:v>
                </c:pt>
                <c:pt idx="4">
                  <c:v>144.74650079</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9.8237290986338432E-2"/>
                  <c:y val="-4.113430690891496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799838E-3"/>
                  <c:y val="-1.5180300661816604E-2"/>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1.3799591881251657E-3"/>
                  <c:y val="-1.8918934184860795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0.11104129514694613"/>
                  <c:y val="2.3860925888979062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3.1331539554273737E-2"/>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'1968-1974'!$B$34:$B$38</c:f>
              <c:numCache>
                <c:formatCode>0.00</c:formatCode>
                <c:ptCount val="5"/>
                <c:pt idx="0">
                  <c:v>14.765431223681198</c:v>
                </c:pt>
                <c:pt idx="1">
                  <c:v>13.478039734376241</c:v>
                </c:pt>
                <c:pt idx="2">
                  <c:v>14.789078392292252</c:v>
                </c:pt>
                <c:pt idx="3">
                  <c:v>14.124658952672728</c:v>
                </c:pt>
                <c:pt idx="4">
                  <c:v>14.650755809564004</c:v>
                </c:pt>
              </c:numCache>
            </c:numRef>
          </c:xVal>
          <c:yVal>
            <c:numRef>
              <c:f>'1968-1974'!$C$34:$C$38</c:f>
              <c:numCache>
                <c:formatCode>0.00</c:formatCode>
                <c:ptCount val="5"/>
                <c:pt idx="0">
                  <c:v>14.232679624001875</c:v>
                </c:pt>
                <c:pt idx="1">
                  <c:v>11.313139799157291</c:v>
                </c:pt>
                <c:pt idx="2">
                  <c:v>12.18088918069553</c:v>
                </c:pt>
                <c:pt idx="3">
                  <c:v>11.707198085592996</c:v>
                </c:pt>
                <c:pt idx="4">
                  <c:v>10.255130155985048</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2.2692297489880598E-2"/>
                  <c:y val="-0.15702831640751513"/>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3881379506844831E-2"/>
                  <c:y val="8.9705901215644604E-2"/>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4.5839962323214831E-3"/>
                  <c:y val="4.0955055459177575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'1968-1974'!$B$64:$B$68</c:f>
              <c:numCache>
                <c:formatCode>0.00</c:formatCode>
                <c:ptCount val="5"/>
                <c:pt idx="0">
                  <c:v>23.062999999999999</c:v>
                </c:pt>
                <c:pt idx="1">
                  <c:v>19.960999999999999</c:v>
                </c:pt>
                <c:pt idx="2">
                  <c:v>53.124000000000002</c:v>
                </c:pt>
                <c:pt idx="3">
                  <c:v>95.641000000000005</c:v>
                </c:pt>
                <c:pt idx="4">
                  <c:v>40.253</c:v>
                </c:pt>
              </c:numCache>
            </c:numRef>
          </c:xVal>
          <c:yVal>
            <c:numRef>
              <c:f>'1968-1974'!$C$64:$C$68</c:f>
              <c:numCache>
                <c:formatCode>0.00</c:formatCode>
                <c:ptCount val="5"/>
                <c:pt idx="0">
                  <c:v>11.313139799157291</c:v>
                </c:pt>
                <c:pt idx="1">
                  <c:v>14.232679624001875</c:v>
                </c:pt>
                <c:pt idx="2">
                  <c:v>12.18088918069553</c:v>
                </c:pt>
                <c:pt idx="3">
                  <c:v>11.707198085592996</c:v>
                </c:pt>
                <c:pt idx="4">
                  <c:v>10.255130155985048</c:v>
                </c:pt>
              </c:numCache>
            </c:numRef>
          </c:yVal>
          <c:bubbleSize>
            <c:numRef>
              <c:f>'1968-1974'!$D$64:$D$68</c:f>
              <c:numCache>
                <c:formatCode>0.00</c:formatCode>
                <c:ptCount val="5"/>
                <c:pt idx="0">
                  <c:v>144.7402155199</c:v>
                </c:pt>
                <c:pt idx="1">
                  <c:v>96.557325939999998</c:v>
                </c:pt>
                <c:pt idx="2">
                  <c:v>294.89671062999997</c:v>
                </c:pt>
                <c:pt idx="3">
                  <c:v>417.43296463000001</c:v>
                </c:pt>
                <c:pt idx="4">
                  <c:v>164.19723677000002</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289306926068378"/>
                  <c:y val="-1.6147244827257632E-2"/>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155598642660098"/>
                  <c:y val="1.2838256906261763E-2"/>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1.2364721810578481E-2"/>
                  <c:y val="-2.8224537216224047E-2"/>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'1961-1967'!$B$34:$B$38</c:f>
              <c:numCache>
                <c:formatCode>0.00</c:formatCode>
                <c:ptCount val="5"/>
                <c:pt idx="0">
                  <c:v>10.978836210645509</c:v>
                </c:pt>
                <c:pt idx="1">
                  <c:v>9.8184753745761419</c:v>
                </c:pt>
                <c:pt idx="2">
                  <c:v>10.767404129324284</c:v>
                </c:pt>
                <c:pt idx="3">
                  <c:v>9.6995767146923839</c:v>
                </c:pt>
                <c:pt idx="4">
                  <c:v>7.7330203444786099</c:v>
                </c:pt>
              </c:numCache>
            </c:numRef>
          </c:xVal>
          <c:yVal>
            <c:numRef>
              <c:f>'1961-1967'!$C$34:$C$38</c:f>
              <c:numCache>
                <c:formatCode>0.00</c:formatCode>
                <c:ptCount val="5"/>
                <c:pt idx="0">
                  <c:v>10.096376512636063</c:v>
                </c:pt>
                <c:pt idx="1">
                  <c:v>7.7453767783201899</c:v>
                </c:pt>
                <c:pt idx="2">
                  <c:v>8.0624132767945778</c:v>
                </c:pt>
                <c:pt idx="3">
                  <c:v>8.5816357299252957</c:v>
                </c:pt>
                <c:pt idx="4">
                  <c:v>6.0734146249566745</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6.4809687497732485E-2"/>
                  <c:y val="-9.3283932070123227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9211097607511281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'1961-1967'!$B$64:$B$68</c:f>
              <c:numCache>
                <c:formatCode>0.00</c:formatCode>
                <c:ptCount val="5"/>
                <c:pt idx="0">
                  <c:v>18.212</c:v>
                </c:pt>
                <c:pt idx="1">
                  <c:v>17.965</c:v>
                </c:pt>
                <c:pt idx="2">
                  <c:v>47.21</c:v>
                </c:pt>
                <c:pt idx="3">
                  <c:v>84.936000000000007</c:v>
                </c:pt>
                <c:pt idx="4">
                  <c:v>39.335999999999999</c:v>
                </c:pt>
              </c:numCache>
            </c:numRef>
          </c:xVal>
          <c:yVal>
            <c:numRef>
              <c:f>'1961-1967'!$C$64:$C$68</c:f>
              <c:numCache>
                <c:formatCode>0.00</c:formatCode>
                <c:ptCount val="5"/>
                <c:pt idx="0">
                  <c:v>10.096376512636063</c:v>
                </c:pt>
                <c:pt idx="1">
                  <c:v>7.7453767783201899</c:v>
                </c:pt>
                <c:pt idx="2">
                  <c:v>8.0624132767945778</c:v>
                </c:pt>
                <c:pt idx="3">
                  <c:v>8.5816357299252957</c:v>
                </c:pt>
                <c:pt idx="4">
                  <c:v>6.0734146249566745</c:v>
                </c:pt>
              </c:numCache>
            </c:numRef>
          </c:yVal>
          <c:bubbleSize>
            <c:numRef>
              <c:f>'1961-1967'!$D$64:$D$68</c:f>
              <c:numCache>
                <c:formatCode>0.00</c:formatCode>
                <c:ptCount val="5"/>
                <c:pt idx="0">
                  <c:v>81.800160879999993</c:v>
                </c:pt>
                <c:pt idx="1">
                  <c:v>99.847896299600009</c:v>
                </c:pt>
                <c:pt idx="2">
                  <c:v>241.87168913999997</c:v>
                </c:pt>
                <c:pt idx="3">
                  <c:v>347.74693248</c:v>
                </c:pt>
                <c:pt idx="4">
                  <c:v>161.21729503</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627972971373351"/>
                  <c:y val="-5.6803214880137148E-3"/>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'1954-1960'!$B$34:$B$38</c:f>
              <c:numCache>
                <c:formatCode>0.00</c:formatCode>
                <c:ptCount val="5"/>
                <c:pt idx="0">
                  <c:v>7.1613674311412936</c:v>
                </c:pt>
                <c:pt idx="1">
                  <c:v>4.8099102334459864</c:v>
                </c:pt>
                <c:pt idx="2">
                  <c:v>5.6504043411527167</c:v>
                </c:pt>
                <c:pt idx="3">
                  <c:v>4.8459004732748143</c:v>
                </c:pt>
                <c:pt idx="4">
                  <c:v>4.4097648927066286</c:v>
                </c:pt>
              </c:numCache>
            </c:numRef>
          </c:xVal>
          <c:yVal>
            <c:numRef>
              <c:f>'1954-1960'!$C$34:$C$38</c:f>
              <c:numCache>
                <c:formatCode>0.00</c:formatCode>
                <c:ptCount val="5"/>
                <c:pt idx="0">
                  <c:v>4.2900640112484734</c:v>
                </c:pt>
                <c:pt idx="1">
                  <c:v>3.5613884617438973</c:v>
                </c:pt>
                <c:pt idx="2">
                  <c:v>3.4414004543514398</c:v>
                </c:pt>
                <c:pt idx="3">
                  <c:v>4.6516326497502147</c:v>
                </c:pt>
                <c:pt idx="4">
                  <c:v>3.599352880469997</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1.1568517618646988E-2"/>
                  <c:y val="-4.2693958858104931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0.100836505673844"/>
                  <c:y val="-0.1083135455714428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'1954-1960'!$B$64:$B$68</c:f>
              <c:numCache>
                <c:formatCode>0.00</c:formatCode>
                <c:ptCount val="5"/>
                <c:pt idx="0">
                  <c:v>7.73</c:v>
                </c:pt>
                <c:pt idx="1">
                  <c:v>5.4550000000000001</c:v>
                </c:pt>
                <c:pt idx="2">
                  <c:v>19.311</c:v>
                </c:pt>
                <c:pt idx="3">
                  <c:v>31.344999999999999</c:v>
                </c:pt>
                <c:pt idx="4">
                  <c:v>17.263999999999999</c:v>
                </c:pt>
              </c:numCache>
            </c:numRef>
          </c:xVal>
          <c:yVal>
            <c:numRef>
              <c:f>'1954-1960'!$C$64:$C$68</c:f>
              <c:numCache>
                <c:formatCode>0.00</c:formatCode>
                <c:ptCount val="5"/>
                <c:pt idx="0">
                  <c:v>4.2900640112484734</c:v>
                </c:pt>
                <c:pt idx="1">
                  <c:v>3.5613884617438973</c:v>
                </c:pt>
                <c:pt idx="2">
                  <c:v>3.4414004543514398</c:v>
                </c:pt>
                <c:pt idx="3">
                  <c:v>4.6516326497502147</c:v>
                </c:pt>
                <c:pt idx="4">
                  <c:v>3.599352880469997</c:v>
                </c:pt>
              </c:numCache>
            </c:numRef>
          </c:yVal>
          <c:bubbleSize>
            <c:numRef>
              <c:f>'1954-1960'!$D$64:$D$68</c:f>
              <c:numCache>
                <c:formatCode>0.00</c:formatCode>
                <c:ptCount val="5"/>
                <c:pt idx="0">
                  <c:v>32.042962940000002</c:v>
                </c:pt>
                <c:pt idx="1">
                  <c:v>27.5661866039</c:v>
                </c:pt>
                <c:pt idx="2">
                  <c:v>92.900189260000005</c:v>
                </c:pt>
                <c:pt idx="3">
                  <c:v>128.13890653000001</c:v>
                </c:pt>
                <c:pt idx="4">
                  <c:v>69.418101659999991</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1.3887306103907134E-3"/>
                  <c:y val="-3.1020573049455468E-3"/>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3.8627497534597429E-3"/>
                  <c:y val="-7.3338644806070067E-4"/>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TIF!$B$34:$B$38</c:f>
              <c:numCache>
                <c:formatCode>0.00</c:formatCode>
                <c:ptCount val="5"/>
                <c:pt idx="0">
                  <c:v>4.8786393448977554</c:v>
                </c:pt>
                <c:pt idx="1">
                  <c:v>4.2955030646418226</c:v>
                </c:pt>
                <c:pt idx="2">
                  <c:v>4.8357942733660524</c:v>
                </c:pt>
                <c:pt idx="3">
                  <c:v>4.1200046424292456</c:v>
                </c:pt>
                <c:pt idx="4">
                  <c:v>3.332582985814553</c:v>
                </c:pt>
              </c:numCache>
            </c:numRef>
          </c:xVal>
          <c:yVal>
            <c:numRef>
              <c:f>TIF!$C$34:$C$38</c:f>
              <c:numCache>
                <c:formatCode>0.00</c:formatCode>
                <c:ptCount val="5"/>
                <c:pt idx="0">
                  <c:v>2.7681081206256675</c:v>
                </c:pt>
                <c:pt idx="1">
                  <c:v>4.8107743173739559</c:v>
                </c:pt>
                <c:pt idx="2">
                  <c:v>3.274864678771694</c:v>
                </c:pt>
                <c:pt idx="3">
                  <c:v>3.8909212345958455</c:v>
                </c:pt>
                <c:pt idx="4">
                  <c:v>3.1864991765754525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6.2573863676431266E-2"/>
                  <c:y val="-0.12300797411839996"/>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7.9316025230406813E-3"/>
                  <c:y val="-4.5365279804155348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TIF!$B$64:$B$68</c:f>
              <c:numCache>
                <c:formatCode>0.00</c:formatCode>
                <c:ptCount val="5"/>
                <c:pt idx="0">
                  <c:v>1.284</c:v>
                </c:pt>
                <c:pt idx="1">
                  <c:v>1.0720000000000001</c:v>
                </c:pt>
                <c:pt idx="2">
                  <c:v>3.387</c:v>
                </c:pt>
                <c:pt idx="3">
                  <c:v>3.7170000000000001</c:v>
                </c:pt>
                <c:pt idx="4">
                  <c:v>3.2410000000000001</c:v>
                </c:pt>
              </c:numCache>
            </c:numRef>
          </c:xVal>
          <c:yVal>
            <c:numRef>
              <c:f>TIF!$C$64:$C$68</c:f>
              <c:numCache>
                <c:formatCode>0.00</c:formatCode>
                <c:ptCount val="5"/>
                <c:pt idx="0">
                  <c:v>2.7681081206256675</c:v>
                </c:pt>
                <c:pt idx="1">
                  <c:v>4.8107743173739559</c:v>
                </c:pt>
                <c:pt idx="2">
                  <c:v>3.274864678771694</c:v>
                </c:pt>
                <c:pt idx="3">
                  <c:v>3.8909212345958455</c:v>
                </c:pt>
                <c:pt idx="4">
                  <c:v>3.1864991765754525</c:v>
                </c:pt>
              </c:numCache>
            </c:numRef>
          </c:yVal>
          <c:bubbleSize>
            <c:numRef>
              <c:f>TIF!$D$64:$D$68</c:f>
              <c:numCache>
                <c:formatCode>0.00</c:formatCode>
                <c:ptCount val="5"/>
                <c:pt idx="0">
                  <c:v>2.8781461099999999</c:v>
                </c:pt>
                <c:pt idx="1">
                  <c:v>4.4952680459000005</c:v>
                </c:pt>
                <c:pt idx="2">
                  <c:v>15.54436415</c:v>
                </c:pt>
                <c:pt idx="3">
                  <c:v>19.843721469999998</c:v>
                </c:pt>
                <c:pt idx="4">
                  <c:v>7.6298390899999999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93</c:v>
                </c:pt>
                <c:pt idx="1">
                  <c:v>93</c:v>
                </c:pt>
                <c:pt idx="2">
                  <c:v>93</c:v>
                </c:pt>
                <c:pt idx="3">
                  <c:v>93</c:v>
                </c:pt>
                <c:pt idx="4">
                  <c:v>93</c:v>
                </c:pt>
                <c:pt idx="5">
                  <c:v>93</c:v>
                </c:pt>
                <c:pt idx="6">
                  <c:v>93</c:v>
                </c:pt>
                <c:pt idx="7">
                  <c:v>93</c:v>
                </c:pt>
                <c:pt idx="8">
                  <c:v>93</c:v>
                </c:pt>
                <c:pt idx="9">
                  <c:v>93</c:v>
                </c:pt>
                <c:pt idx="10">
                  <c:v>93</c:v>
                </c:pt>
                <c:pt idx="11">
                  <c:v>93</c:v>
                </c:pt>
                <c:pt idx="12">
                  <c:v>93</c:v>
                </c:pt>
                <c:pt idx="13">
                  <c:v>93</c:v>
                </c:pt>
                <c:pt idx="14">
                  <c:v>93</c:v>
                </c:pt>
                <c:pt idx="15">
                  <c:v>93</c:v>
                </c:pt>
                <c:pt idx="16">
                  <c:v>93</c:v>
                </c:pt>
                <c:pt idx="17">
                  <c:v>93</c:v>
                </c:pt>
                <c:pt idx="18">
                  <c:v>93</c:v>
                </c:pt>
                <c:pt idx="19">
                  <c:v>93</c:v>
                </c:pt>
                <c:pt idx="20">
                  <c:v>93</c:v>
                </c:pt>
                <c:pt idx="21">
                  <c:v>93</c:v>
                </c:pt>
                <c:pt idx="22">
                  <c:v>93</c:v>
                </c:pt>
                <c:pt idx="23">
                  <c:v>93</c:v>
                </c:pt>
                <c:pt idx="24">
                  <c:v>93</c:v>
                </c:pt>
                <c:pt idx="25">
                  <c:v>93</c:v>
                </c:pt>
                <c:pt idx="26">
                  <c:v>93</c:v>
                </c:pt>
                <c:pt idx="27">
                  <c:v>93</c:v>
                </c:pt>
                <c:pt idx="28">
                  <c:v>93</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57396</xdr:rowOff>
    </xdr:from>
    <xdr:to>
      <xdr:col>3</xdr:col>
      <xdr:colOff>1066107</xdr:colOff>
      <xdr:row>52</xdr:row>
      <xdr:rowOff>78179</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53436</xdr:rowOff>
    </xdr:from>
    <xdr:to>
      <xdr:col>4</xdr:col>
      <xdr:colOff>27709</xdr:colOff>
      <xdr:row>83</xdr:row>
      <xdr:rowOff>193961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40574</xdr:rowOff>
    </xdr:from>
    <xdr:to>
      <xdr:col>4</xdr:col>
      <xdr:colOff>1025236</xdr:colOff>
      <xdr:row>52</xdr:row>
      <xdr:rowOff>180109</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67293</xdr:rowOff>
    </xdr:from>
    <xdr:to>
      <xdr:col>4</xdr:col>
      <xdr:colOff>1094509</xdr:colOff>
      <xdr:row>84</xdr:row>
      <xdr:rowOff>11875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7916</xdr:rowOff>
    </xdr:from>
    <xdr:to>
      <xdr:col>5</xdr:col>
      <xdr:colOff>0</xdr:colOff>
      <xdr:row>52</xdr:row>
      <xdr:rowOff>28699</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78176</xdr:rowOff>
    </xdr:from>
    <xdr:to>
      <xdr:col>5</xdr:col>
      <xdr:colOff>41564</xdr:colOff>
      <xdr:row>84</xdr:row>
      <xdr:rowOff>22758</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35625</xdr:rowOff>
    </xdr:from>
    <xdr:to>
      <xdr:col>4</xdr:col>
      <xdr:colOff>1025236</xdr:colOff>
      <xdr:row>52</xdr:row>
      <xdr:rowOff>56408</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42551</xdr:rowOff>
    </xdr:from>
    <xdr:to>
      <xdr:col>4</xdr:col>
      <xdr:colOff>1020288</xdr:colOff>
      <xdr:row>83</xdr:row>
      <xdr:rowOff>183076</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29688</xdr:rowOff>
    </xdr:from>
    <xdr:to>
      <xdr:col>4</xdr:col>
      <xdr:colOff>1025236</xdr:colOff>
      <xdr:row>52</xdr:row>
      <xdr:rowOff>50471</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42552</xdr:rowOff>
    </xdr:from>
    <xdr:to>
      <xdr:col>4</xdr:col>
      <xdr:colOff>1094509</xdr:colOff>
      <xdr:row>83</xdr:row>
      <xdr:rowOff>183077</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62345</xdr:rowOff>
    </xdr:from>
    <xdr:to>
      <xdr:col>4</xdr:col>
      <xdr:colOff>1025236</xdr:colOff>
      <xdr:row>52</xdr:row>
      <xdr:rowOff>83128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48489</xdr:rowOff>
    </xdr:from>
    <xdr:to>
      <xdr:col>4</xdr:col>
      <xdr:colOff>1094509</xdr:colOff>
      <xdr:row>83</xdr:row>
      <xdr:rowOff>189014</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40573</xdr:rowOff>
    </xdr:from>
    <xdr:to>
      <xdr:col>4</xdr:col>
      <xdr:colOff>1025236</xdr:colOff>
      <xdr:row>52</xdr:row>
      <xdr:rowOff>61356</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36612</xdr:rowOff>
    </xdr:from>
    <xdr:to>
      <xdr:col>4</xdr:col>
      <xdr:colOff>1094509</xdr:colOff>
      <xdr:row>83</xdr:row>
      <xdr:rowOff>177137</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32657</xdr:rowOff>
    </xdr:from>
    <xdr:to>
      <xdr:col>4</xdr:col>
      <xdr:colOff>1025236</xdr:colOff>
      <xdr:row>52</xdr:row>
      <xdr:rowOff>53440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81146</xdr:rowOff>
    </xdr:from>
    <xdr:to>
      <xdr:col>4</xdr:col>
      <xdr:colOff>1094509</xdr:colOff>
      <xdr:row>84</xdr:row>
      <xdr:rowOff>25728</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77"/>
  <sheetViews>
    <sheetView showGridLines="0" tabSelected="1" zoomScale="55" zoomScaleNormal="55" workbookViewId="0">
      <pane xSplit="3" ySplit="2" topLeftCell="D3" activePane="bottomRight" state="frozen"/>
      <selection pane="topRight" activeCell="D1" sqref="D1"/>
      <selection pane="bottomLeft" activeCell="A3" sqref="A3"/>
      <selection pane="bottomRight" activeCell="U39" sqref="U39"/>
    </sheetView>
  </sheetViews>
  <sheetFormatPr defaultRowHeight="14.4" x14ac:dyDescent="0.3"/>
  <cols>
    <col min="1" max="1" width="41.44140625" style="7" customWidth="1"/>
    <col min="2" max="2" width="16.33203125" style="7" customWidth="1"/>
    <col min="3" max="3" width="70.33203125" style="7" customWidth="1"/>
    <col min="4" max="4" width="12.88671875" customWidth="1"/>
    <col min="5" max="5" width="13.77734375" customWidth="1"/>
    <col min="6" max="6" width="14.88671875" customWidth="1"/>
    <col min="7" max="7" width="15.44140625" customWidth="1"/>
    <col min="8" max="8" width="1.88671875" customWidth="1"/>
    <col min="9" max="9" width="13" customWidth="1"/>
    <col min="10" max="10" width="15.77734375"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5">
        <v>44286</v>
      </c>
      <c r="B1" s="26"/>
      <c r="C1" s="27"/>
      <c r="D1" s="93" t="s">
        <v>106</v>
      </c>
      <c r="E1" s="31" t="s">
        <v>90</v>
      </c>
      <c r="F1" s="93" t="s">
        <v>117</v>
      </c>
      <c r="G1" s="93" t="s">
        <v>86</v>
      </c>
      <c r="H1" s="28"/>
      <c r="I1" s="91" t="s">
        <v>87</v>
      </c>
      <c r="J1" s="92"/>
      <c r="K1" s="92"/>
      <c r="L1" s="92"/>
      <c r="M1" s="29"/>
      <c r="N1" s="95" t="s">
        <v>114</v>
      </c>
      <c r="O1" s="96"/>
      <c r="Q1" s="91" t="s">
        <v>147</v>
      </c>
      <c r="R1" s="92"/>
      <c r="S1" s="92"/>
    </row>
    <row r="2" spans="1:21" ht="100.8" x14ac:dyDescent="0.3">
      <c r="A2" s="24" t="s">
        <v>43</v>
      </c>
      <c r="B2" s="24" t="s">
        <v>44</v>
      </c>
      <c r="C2" s="24" t="s">
        <v>45</v>
      </c>
      <c r="D2" s="94"/>
      <c r="E2" s="24" t="s">
        <v>116</v>
      </c>
      <c r="F2" s="94"/>
      <c r="G2" s="94"/>
      <c r="H2" s="28"/>
      <c r="I2" s="63" t="s">
        <v>109</v>
      </c>
      <c r="J2" s="24" t="s">
        <v>136</v>
      </c>
      <c r="K2" s="24" t="s">
        <v>111</v>
      </c>
      <c r="L2" s="24" t="s">
        <v>137</v>
      </c>
      <c r="M2" s="30"/>
      <c r="N2" s="24" t="s">
        <v>133</v>
      </c>
      <c r="O2" s="24" t="s">
        <v>134</v>
      </c>
      <c r="Q2" s="24" t="s">
        <v>127</v>
      </c>
      <c r="R2" s="24" t="s">
        <v>128</v>
      </c>
      <c r="S2" s="24" t="s">
        <v>130</v>
      </c>
      <c r="T2" s="48"/>
    </row>
    <row r="3" spans="1:21" s="47" customFormat="1" ht="18.600000000000001" customHeight="1" x14ac:dyDescent="0.3">
      <c r="A3" s="97" t="s">
        <v>46</v>
      </c>
      <c r="B3" s="97"/>
      <c r="C3" s="97"/>
      <c r="D3" s="44"/>
      <c r="E3" s="44"/>
      <c r="F3" s="45"/>
      <c r="G3" s="46" t="s">
        <v>115</v>
      </c>
      <c r="H3" s="44"/>
      <c r="I3" s="68">
        <v>7.7475777406073458</v>
      </c>
      <c r="J3" s="68">
        <v>12.081484416552607</v>
      </c>
      <c r="K3" s="68">
        <v>8.5645106859397107</v>
      </c>
      <c r="L3" s="68">
        <v>13.392159413857671</v>
      </c>
      <c r="M3" s="44"/>
      <c r="N3" s="44"/>
      <c r="O3" s="44"/>
    </row>
    <row r="4" spans="1:21" x14ac:dyDescent="0.3">
      <c r="A4" s="32" t="s">
        <v>36</v>
      </c>
      <c r="B4" s="32" t="s">
        <v>4</v>
      </c>
      <c r="C4" s="32" t="s">
        <v>47</v>
      </c>
      <c r="D4" s="66" t="s">
        <v>138</v>
      </c>
      <c r="E4" s="66">
        <v>90</v>
      </c>
      <c r="F4" s="33">
        <v>4.2141342499999999</v>
      </c>
      <c r="G4" s="35">
        <v>8461</v>
      </c>
      <c r="H4" s="22"/>
      <c r="I4" s="36">
        <v>6.7277158260098835</v>
      </c>
      <c r="J4" s="36">
        <v>15.00941075232145</v>
      </c>
      <c r="K4" s="36">
        <v>7.4934370915736404</v>
      </c>
      <c r="L4" s="36">
        <v>12.966900625519973</v>
      </c>
      <c r="M4" s="23"/>
      <c r="N4" s="36">
        <v>14.882731349796623</v>
      </c>
      <c r="O4" s="36">
        <v>15.779417286356976</v>
      </c>
      <c r="Q4" s="33">
        <v>0.64</v>
      </c>
      <c r="R4" s="33">
        <v>0.97</v>
      </c>
      <c r="S4" s="33" t="s">
        <v>108</v>
      </c>
      <c r="T4" s="58"/>
      <c r="U4" s="58"/>
    </row>
    <row r="5" spans="1:21" x14ac:dyDescent="0.3">
      <c r="A5" s="32" t="s">
        <v>104</v>
      </c>
      <c r="B5" s="32" t="s">
        <v>2</v>
      </c>
      <c r="C5" s="32" t="s">
        <v>48</v>
      </c>
      <c r="D5" s="66" t="s">
        <v>138</v>
      </c>
      <c r="E5" s="66">
        <v>97</v>
      </c>
      <c r="F5" s="33">
        <v>10.440377671</v>
      </c>
      <c r="G5" s="35">
        <v>12870</v>
      </c>
      <c r="H5" s="22"/>
      <c r="I5" s="36">
        <v>9.5719844357976758</v>
      </c>
      <c r="J5" s="36">
        <v>13.054893126481847</v>
      </c>
      <c r="K5" s="36">
        <v>8.8737117196427064</v>
      </c>
      <c r="L5" s="36">
        <v>14.049812059760548</v>
      </c>
      <c r="M5" s="23"/>
      <c r="N5" s="36">
        <v>14.798506784791662</v>
      </c>
      <c r="O5" s="36">
        <v>17.210799949673369</v>
      </c>
      <c r="Q5" s="33">
        <v>0.65</v>
      </c>
      <c r="R5" s="33" t="s">
        <v>108</v>
      </c>
      <c r="S5" s="33">
        <v>0.95</v>
      </c>
      <c r="T5" s="58"/>
      <c r="U5" s="58"/>
    </row>
    <row r="6" spans="1:21" x14ac:dyDescent="0.3">
      <c r="A6" s="32" t="s">
        <v>103</v>
      </c>
      <c r="B6" s="32" t="s">
        <v>1</v>
      </c>
      <c r="C6" s="32" t="s">
        <v>49</v>
      </c>
      <c r="D6" s="66" t="s">
        <v>138</v>
      </c>
      <c r="E6" s="66">
        <v>98</v>
      </c>
      <c r="F6" s="33">
        <v>13.203209510000001</v>
      </c>
      <c r="G6" s="35">
        <v>14522</v>
      </c>
      <c r="H6" s="22"/>
      <c r="I6" s="36">
        <v>8.3762496213268811</v>
      </c>
      <c r="J6" s="36">
        <v>12.928623808998708</v>
      </c>
      <c r="K6" s="36">
        <v>8.6551766026979884</v>
      </c>
      <c r="L6" s="36">
        <v>14.348912360285171</v>
      </c>
      <c r="M6" s="23"/>
      <c r="N6" s="36">
        <v>15.851810787401163</v>
      </c>
      <c r="O6" s="36">
        <v>17.001606095381145</v>
      </c>
      <c r="Q6" s="33">
        <v>0.65</v>
      </c>
      <c r="R6" s="33">
        <v>0.97</v>
      </c>
      <c r="S6" s="33" t="s">
        <v>108</v>
      </c>
      <c r="T6" s="58"/>
      <c r="U6" s="58"/>
    </row>
    <row r="7" spans="1:21" x14ac:dyDescent="0.3">
      <c r="A7" s="32" t="s">
        <v>105</v>
      </c>
      <c r="B7" s="32" t="s">
        <v>3</v>
      </c>
      <c r="C7" s="32" t="s">
        <v>119</v>
      </c>
      <c r="D7" s="66" t="s">
        <v>138</v>
      </c>
      <c r="E7" s="66">
        <v>93</v>
      </c>
      <c r="F7" s="33">
        <v>31.071159089999998</v>
      </c>
      <c r="G7" s="35">
        <v>36269</v>
      </c>
      <c r="H7" s="22"/>
      <c r="I7" s="36">
        <v>7.4411905904944842</v>
      </c>
      <c r="J7" s="36">
        <v>11.063537287068925</v>
      </c>
      <c r="K7" s="36">
        <v>8.6385310460225675</v>
      </c>
      <c r="L7" s="36">
        <v>13.330525986978925</v>
      </c>
      <c r="M7" s="23"/>
      <c r="N7" s="36">
        <v>14.314343046887579</v>
      </c>
      <c r="O7" s="36">
        <v>15.280352879483541</v>
      </c>
      <c r="Q7" s="33">
        <v>0.65</v>
      </c>
      <c r="R7" s="33">
        <v>0.87160000000000004</v>
      </c>
      <c r="S7" s="33" t="s">
        <v>108</v>
      </c>
      <c r="T7" s="58"/>
      <c r="U7" s="58"/>
    </row>
    <row r="8" spans="1:21" x14ac:dyDescent="0.3">
      <c r="A8" s="32" t="s">
        <v>37</v>
      </c>
      <c r="B8" s="32" t="s">
        <v>5</v>
      </c>
      <c r="C8" s="32" t="s">
        <v>50</v>
      </c>
      <c r="D8" s="66" t="s">
        <v>138</v>
      </c>
      <c r="E8" s="66">
        <v>90</v>
      </c>
      <c r="F8" s="33">
        <v>10.30351591</v>
      </c>
      <c r="G8" s="35">
        <v>14729</v>
      </c>
      <c r="H8" s="22"/>
      <c r="I8" s="36">
        <v>6.434400502197124</v>
      </c>
      <c r="J8" s="36">
        <v>11.881786477697641</v>
      </c>
      <c r="K8" s="36">
        <v>8.3498745221718629</v>
      </c>
      <c r="L8" s="36">
        <v>11.859553252851441</v>
      </c>
      <c r="M8" s="23"/>
      <c r="N8" s="36">
        <v>16.146221508978908</v>
      </c>
      <c r="O8" s="36">
        <v>17.29645805970074</v>
      </c>
      <c r="Q8" s="33">
        <v>0.65</v>
      </c>
      <c r="R8" s="33">
        <v>1.21</v>
      </c>
      <c r="S8" s="33" t="s">
        <v>108</v>
      </c>
      <c r="T8" s="58"/>
      <c r="U8" s="58"/>
    </row>
    <row r="9" spans="1:21" s="47" customFormat="1" ht="18.600000000000001" customHeight="1" x14ac:dyDescent="0.3">
      <c r="A9" s="97" t="s">
        <v>51</v>
      </c>
      <c r="B9" s="97"/>
      <c r="C9" s="97"/>
      <c r="D9" s="85"/>
      <c r="E9" s="85"/>
      <c r="F9" s="45"/>
      <c r="G9" s="46" t="s">
        <v>115</v>
      </c>
      <c r="H9" s="44"/>
      <c r="I9" s="68">
        <v>7.8970414209845261</v>
      </c>
      <c r="J9" s="68">
        <v>12.542210787869243</v>
      </c>
      <c r="K9" s="68">
        <v>8.5568936020230772</v>
      </c>
      <c r="L9" s="68">
        <v>13.435534589343282</v>
      </c>
      <c r="M9" s="44"/>
      <c r="N9" s="44"/>
      <c r="O9" s="44"/>
      <c r="Q9" s="44"/>
      <c r="R9" s="44"/>
      <c r="S9" s="44"/>
      <c r="T9" s="58"/>
      <c r="U9" s="58"/>
    </row>
    <row r="10" spans="1:21" x14ac:dyDescent="0.3">
      <c r="A10" s="32" t="s">
        <v>36</v>
      </c>
      <c r="B10" s="32" t="s">
        <v>9</v>
      </c>
      <c r="C10" s="32" t="s">
        <v>52</v>
      </c>
      <c r="D10" s="66" t="s">
        <v>138</v>
      </c>
      <c r="E10" s="66">
        <v>90</v>
      </c>
      <c r="F10" s="33">
        <v>31.26952047</v>
      </c>
      <c r="G10" s="35">
        <v>18068</v>
      </c>
      <c r="H10" s="22"/>
      <c r="I10" s="36">
        <v>6.6201573400623603</v>
      </c>
      <c r="J10" s="36">
        <v>14.661457915738541</v>
      </c>
      <c r="K10" s="36">
        <v>7.4934370915736404</v>
      </c>
      <c r="L10" s="36">
        <v>12.966900625519973</v>
      </c>
      <c r="M10" s="23"/>
      <c r="N10" s="36">
        <v>14.840011182172011</v>
      </c>
      <c r="O10" s="36">
        <v>15.779406956551922</v>
      </c>
      <c r="Q10" s="33">
        <v>0.64</v>
      </c>
      <c r="R10" s="33">
        <v>1.18</v>
      </c>
      <c r="S10" s="33" t="s">
        <v>108</v>
      </c>
      <c r="T10" s="58"/>
      <c r="U10" s="58"/>
    </row>
    <row r="11" spans="1:21" x14ac:dyDescent="0.3">
      <c r="A11" s="32" t="s">
        <v>104</v>
      </c>
      <c r="B11" s="32" t="s">
        <v>7</v>
      </c>
      <c r="C11" s="32" t="s">
        <v>53</v>
      </c>
      <c r="D11" s="66" t="s">
        <v>138</v>
      </c>
      <c r="E11" s="66">
        <v>97</v>
      </c>
      <c r="F11" s="33">
        <v>68.817419537100008</v>
      </c>
      <c r="G11" s="35">
        <v>33112</v>
      </c>
      <c r="H11" s="22"/>
      <c r="I11" s="36">
        <v>9.4889373636646965</v>
      </c>
      <c r="J11" s="36">
        <v>12.853181202286956</v>
      </c>
      <c r="K11" s="36">
        <v>8.8737117196427064</v>
      </c>
      <c r="L11" s="36">
        <v>14.049812059760548</v>
      </c>
      <c r="M11" s="23"/>
      <c r="N11" s="36">
        <v>15.031001670018487</v>
      </c>
      <c r="O11" s="36">
        <v>17.210799949673369</v>
      </c>
      <c r="Q11" s="33">
        <v>0.65</v>
      </c>
      <c r="R11" s="33" t="s">
        <v>108</v>
      </c>
      <c r="S11" s="33">
        <v>0.93</v>
      </c>
      <c r="T11" s="58"/>
      <c r="U11" s="58"/>
    </row>
    <row r="12" spans="1:21" x14ac:dyDescent="0.3">
      <c r="A12" s="32" t="s">
        <v>103</v>
      </c>
      <c r="B12" s="32" t="s">
        <v>6</v>
      </c>
      <c r="C12" s="32" t="s">
        <v>54</v>
      </c>
      <c r="D12" s="66" t="s">
        <v>138</v>
      </c>
      <c r="E12" s="66">
        <v>98</v>
      </c>
      <c r="F12" s="33">
        <v>83.473448569999988</v>
      </c>
      <c r="G12" s="35">
        <v>41040</v>
      </c>
      <c r="H12" s="22"/>
      <c r="I12" s="36">
        <v>8.5327862624420483</v>
      </c>
      <c r="J12" s="36">
        <v>13.138985968897732</v>
      </c>
      <c r="K12" s="36">
        <v>8.6551766026979884</v>
      </c>
      <c r="L12" s="36">
        <v>14.348912360285171</v>
      </c>
      <c r="M12" s="23"/>
      <c r="N12" s="36">
        <v>15.829201986300617</v>
      </c>
      <c r="O12" s="36">
        <v>17.001606095381145</v>
      </c>
      <c r="Q12" s="33">
        <v>0.65</v>
      </c>
      <c r="R12" s="33">
        <v>0.96</v>
      </c>
      <c r="S12" s="33" t="s">
        <v>108</v>
      </c>
      <c r="T12" s="58"/>
      <c r="U12" s="58"/>
    </row>
    <row r="13" spans="1:21" x14ac:dyDescent="0.3">
      <c r="A13" s="32" t="s">
        <v>105</v>
      </c>
      <c r="B13" s="32" t="s">
        <v>8</v>
      </c>
      <c r="C13" s="32" t="s">
        <v>120</v>
      </c>
      <c r="D13" s="66" t="s">
        <v>138</v>
      </c>
      <c r="E13" s="66">
        <v>93</v>
      </c>
      <c r="F13" s="33">
        <v>176.98937239</v>
      </c>
      <c r="G13" s="35">
        <v>89670</v>
      </c>
      <c r="H13" s="22"/>
      <c r="I13" s="36">
        <v>7.6408787010506352</v>
      </c>
      <c r="J13" s="36">
        <v>11.887196734537152</v>
      </c>
      <c r="K13" s="36">
        <v>8.6385310460225675</v>
      </c>
      <c r="L13" s="36">
        <v>13.330525986978925</v>
      </c>
      <c r="M13" s="23"/>
      <c r="N13" s="36">
        <v>14.304180086794005</v>
      </c>
      <c r="O13" s="36">
        <v>15.280352879483541</v>
      </c>
      <c r="Q13" s="33">
        <v>0.65</v>
      </c>
      <c r="R13" s="33">
        <v>0.87909999999999999</v>
      </c>
      <c r="S13" s="33" t="s">
        <v>108</v>
      </c>
      <c r="T13" s="58"/>
      <c r="U13" s="58"/>
    </row>
    <row r="14" spans="1:21" x14ac:dyDescent="0.3">
      <c r="A14" s="32" t="s">
        <v>37</v>
      </c>
      <c r="B14" s="32" t="s">
        <v>10</v>
      </c>
      <c r="C14" s="32" t="s">
        <v>55</v>
      </c>
      <c r="D14" s="66" t="s">
        <v>138</v>
      </c>
      <c r="E14" s="66">
        <v>90</v>
      </c>
      <c r="F14" s="33">
        <v>54.110042329999999</v>
      </c>
      <c r="G14" s="35">
        <v>31688</v>
      </c>
      <c r="H14" s="22"/>
      <c r="I14" s="36">
        <v>6.4675035754012455</v>
      </c>
      <c r="J14" s="36">
        <v>12.143904333724876</v>
      </c>
      <c r="K14" s="36">
        <v>8.3498745221718629</v>
      </c>
      <c r="L14" s="36">
        <v>11.859553252851441</v>
      </c>
      <c r="M14" s="23"/>
      <c r="N14" s="36">
        <v>16.176635879028865</v>
      </c>
      <c r="O14" s="36">
        <v>17.29645805970074</v>
      </c>
      <c r="Q14" s="33">
        <v>0.65</v>
      </c>
      <c r="R14" s="33">
        <v>1.25</v>
      </c>
      <c r="S14" s="33" t="s">
        <v>108</v>
      </c>
      <c r="T14" s="58"/>
      <c r="U14" s="58"/>
    </row>
    <row r="15" spans="1:21" s="47" customFormat="1" ht="18.600000000000001" customHeight="1" x14ac:dyDescent="0.3">
      <c r="A15" s="97" t="s">
        <v>56</v>
      </c>
      <c r="B15" s="97"/>
      <c r="C15" s="97"/>
      <c r="D15" s="85"/>
      <c r="E15" s="85"/>
      <c r="F15" s="45"/>
      <c r="G15" s="46" t="s">
        <v>115</v>
      </c>
      <c r="H15" s="44"/>
      <c r="I15" s="68">
        <v>8.0395342897848359</v>
      </c>
      <c r="J15" s="68">
        <v>12.782141629772617</v>
      </c>
      <c r="K15" s="68">
        <v>8.5467812643517131</v>
      </c>
      <c r="L15" s="68">
        <v>13.506637811976111</v>
      </c>
      <c r="M15" s="44"/>
      <c r="N15" s="44"/>
      <c r="O15" s="44"/>
      <c r="Q15" s="44"/>
      <c r="R15" s="44"/>
      <c r="S15" s="44"/>
      <c r="T15" s="58"/>
      <c r="U15" s="58"/>
    </row>
    <row r="16" spans="1:21" x14ac:dyDescent="0.3">
      <c r="A16" s="32" t="s">
        <v>36</v>
      </c>
      <c r="B16" s="32" t="s">
        <v>14</v>
      </c>
      <c r="C16" s="32" t="s">
        <v>57</v>
      </c>
      <c r="D16" s="66" t="s">
        <v>138</v>
      </c>
      <c r="E16" s="66">
        <v>90</v>
      </c>
      <c r="F16" s="33">
        <v>73.169948969999993</v>
      </c>
      <c r="G16" s="35">
        <v>26227</v>
      </c>
      <c r="H16" s="22"/>
      <c r="I16" s="36">
        <v>6.5449921460094318</v>
      </c>
      <c r="J16" s="36">
        <v>14.409377262474464</v>
      </c>
      <c r="K16" s="36">
        <v>7.4934370915736404</v>
      </c>
      <c r="L16" s="36">
        <v>12.966900625519973</v>
      </c>
      <c r="M16" s="23"/>
      <c r="N16" s="36">
        <v>14.771001173587695</v>
      </c>
      <c r="O16" s="36">
        <v>15.779406956551922</v>
      </c>
      <c r="Q16" s="33">
        <v>0.64</v>
      </c>
      <c r="R16" s="33">
        <v>1.34</v>
      </c>
      <c r="S16" s="33" t="s">
        <v>108</v>
      </c>
      <c r="T16" s="58"/>
      <c r="U16" s="58"/>
    </row>
    <row r="17" spans="1:24" x14ac:dyDescent="0.3">
      <c r="A17" s="32" t="s">
        <v>104</v>
      </c>
      <c r="B17" s="32" t="s">
        <v>12</v>
      </c>
      <c r="C17" s="32" t="s">
        <v>58</v>
      </c>
      <c r="D17" s="66" t="s">
        <v>138</v>
      </c>
      <c r="E17" s="66">
        <v>97</v>
      </c>
      <c r="F17" s="33">
        <v>145.07852472089999</v>
      </c>
      <c r="G17" s="35">
        <v>42264</v>
      </c>
      <c r="H17" s="22"/>
      <c r="I17" s="36">
        <v>9.473190558074096</v>
      </c>
      <c r="J17" s="36">
        <v>12.824003020403163</v>
      </c>
      <c r="K17" s="36">
        <v>8.8737117196427064</v>
      </c>
      <c r="L17" s="36">
        <v>14.049812059760548</v>
      </c>
      <c r="M17" s="23"/>
      <c r="N17" s="36">
        <v>14.966685216670827</v>
      </c>
      <c r="O17" s="36">
        <v>17.210799949673369</v>
      </c>
      <c r="Q17" s="33">
        <v>0.65</v>
      </c>
      <c r="R17" s="33" t="s">
        <v>108</v>
      </c>
      <c r="S17" s="33">
        <v>0.94</v>
      </c>
      <c r="T17" s="58"/>
      <c r="U17" s="58"/>
    </row>
    <row r="18" spans="1:24" x14ac:dyDescent="0.3">
      <c r="A18" s="32" t="s">
        <v>103</v>
      </c>
      <c r="B18" s="32" t="s">
        <v>11</v>
      </c>
      <c r="C18" s="32" t="s">
        <v>59</v>
      </c>
      <c r="D18" s="66" t="s">
        <v>138</v>
      </c>
      <c r="E18" s="66">
        <v>98</v>
      </c>
      <c r="F18" s="33">
        <v>224.77330047000001</v>
      </c>
      <c r="G18" s="35">
        <v>70703</v>
      </c>
      <c r="H18" s="22"/>
      <c r="I18" s="36">
        <v>8.5861650485436805</v>
      </c>
      <c r="J18" s="36">
        <v>13.306268429549428</v>
      </c>
      <c r="K18" s="36">
        <v>8.6551766026979884</v>
      </c>
      <c r="L18" s="36">
        <v>14.348912360285171</v>
      </c>
      <c r="M18" s="23"/>
      <c r="N18" s="36">
        <v>15.788341343169312</v>
      </c>
      <c r="O18" s="36">
        <v>17.001606095381145</v>
      </c>
      <c r="Q18" s="33">
        <v>0.65</v>
      </c>
      <c r="R18" s="33">
        <v>0.95</v>
      </c>
      <c r="S18" s="33" t="s">
        <v>108</v>
      </c>
      <c r="T18" s="58"/>
      <c r="U18" s="58"/>
    </row>
    <row r="19" spans="1:24" x14ac:dyDescent="0.3">
      <c r="A19" s="32" t="s">
        <v>105</v>
      </c>
      <c r="B19" s="32" t="s">
        <v>13</v>
      </c>
      <c r="C19" s="32" t="s">
        <v>121</v>
      </c>
      <c r="D19" s="66" t="s">
        <v>138</v>
      </c>
      <c r="E19" s="66">
        <v>93</v>
      </c>
      <c r="F19" s="33">
        <v>289.09266639999998</v>
      </c>
      <c r="G19" s="35">
        <v>106742</v>
      </c>
      <c r="H19" s="22"/>
      <c r="I19" s="36">
        <v>7.9215000794533807</v>
      </c>
      <c r="J19" s="36">
        <v>12.151756486502197</v>
      </c>
      <c r="K19" s="36">
        <v>8.6385310460225675</v>
      </c>
      <c r="L19" s="36">
        <v>13.330525986978925</v>
      </c>
      <c r="M19" s="23"/>
      <c r="N19" s="36">
        <v>14.275903625896772</v>
      </c>
      <c r="O19" s="36">
        <v>15.280352879483541</v>
      </c>
      <c r="Q19" s="33">
        <v>0.65</v>
      </c>
      <c r="R19" s="33">
        <v>0.87760000000000005</v>
      </c>
      <c r="S19" s="33" t="s">
        <v>108</v>
      </c>
      <c r="T19" s="58"/>
      <c r="U19" s="58"/>
    </row>
    <row r="20" spans="1:24" x14ac:dyDescent="0.3">
      <c r="A20" s="32" t="s">
        <v>37</v>
      </c>
      <c r="B20" s="32" t="s">
        <v>15</v>
      </c>
      <c r="C20" s="32" t="s">
        <v>60</v>
      </c>
      <c r="D20" s="66" t="s">
        <v>138</v>
      </c>
      <c r="E20" s="66">
        <v>90</v>
      </c>
      <c r="F20" s="33">
        <v>107.89887393000001</v>
      </c>
      <c r="G20" s="35">
        <v>44707</v>
      </c>
      <c r="H20" s="22"/>
      <c r="I20" s="36">
        <v>6.302886516409667</v>
      </c>
      <c r="J20" s="36">
        <v>12.219504379587697</v>
      </c>
      <c r="K20" s="36">
        <v>8.3498745221718629</v>
      </c>
      <c r="L20" s="36">
        <v>11.859553252851441</v>
      </c>
      <c r="M20" s="23"/>
      <c r="N20" s="36">
        <v>16.118823824703206</v>
      </c>
      <c r="O20" s="36">
        <v>17.29645805970074</v>
      </c>
      <c r="Q20" s="33">
        <v>0.65</v>
      </c>
      <c r="R20" s="33">
        <v>1.29</v>
      </c>
      <c r="S20" s="33" t="s">
        <v>108</v>
      </c>
      <c r="T20" s="58"/>
      <c r="U20" s="58"/>
    </row>
    <row r="21" spans="1:24" s="47" customFormat="1" ht="18.600000000000001" customHeight="1" x14ac:dyDescent="0.3">
      <c r="A21" s="97" t="s">
        <v>61</v>
      </c>
      <c r="B21" s="97"/>
      <c r="C21" s="97"/>
      <c r="D21" s="85"/>
      <c r="E21" s="85"/>
      <c r="F21" s="45"/>
      <c r="G21" s="46" t="s">
        <v>115</v>
      </c>
      <c r="H21" s="44"/>
      <c r="I21" s="68">
        <v>7.9997991296107536</v>
      </c>
      <c r="J21" s="68">
        <v>12.751806612168544</v>
      </c>
      <c r="K21" s="68">
        <v>8.5425085815809432</v>
      </c>
      <c r="L21" s="68">
        <v>13.501768121269615</v>
      </c>
      <c r="M21" s="44"/>
      <c r="N21" s="44"/>
      <c r="O21" s="44"/>
      <c r="Q21" s="44"/>
      <c r="R21" s="44"/>
      <c r="S21" s="44"/>
      <c r="T21" s="58"/>
      <c r="U21" s="58"/>
      <c r="V21" s="73"/>
      <c r="W21" s="73"/>
    </row>
    <row r="22" spans="1:24" x14ac:dyDescent="0.3">
      <c r="A22" s="32" t="s">
        <v>36</v>
      </c>
      <c r="B22" s="32" t="s">
        <v>19</v>
      </c>
      <c r="C22" s="32" t="s">
        <v>62</v>
      </c>
      <c r="D22" s="66" t="s">
        <v>138</v>
      </c>
      <c r="E22" s="66">
        <v>90</v>
      </c>
      <c r="F22" s="33">
        <v>94.677720579999999</v>
      </c>
      <c r="G22" s="35">
        <v>21481</v>
      </c>
      <c r="H22" s="22"/>
      <c r="I22" s="36">
        <v>6.5846707664616755</v>
      </c>
      <c r="J22" s="36">
        <v>14.47557173363958</v>
      </c>
      <c r="K22" s="36">
        <v>7.4934370915736404</v>
      </c>
      <c r="L22" s="36">
        <v>12.966900625519973</v>
      </c>
      <c r="M22" s="23"/>
      <c r="N22" s="36">
        <v>14.745642504109108</v>
      </c>
      <c r="O22" s="36">
        <v>15.779406956551922</v>
      </c>
      <c r="Q22" s="33">
        <v>0.64</v>
      </c>
      <c r="R22" s="33">
        <v>1.37</v>
      </c>
      <c r="S22" s="33" t="s">
        <v>108</v>
      </c>
      <c r="T22" s="58"/>
      <c r="U22" s="58"/>
      <c r="V22" s="48"/>
      <c r="W22" s="48"/>
      <c r="X22" s="47"/>
    </row>
    <row r="23" spans="1:24" x14ac:dyDescent="0.3">
      <c r="A23" s="32" t="s">
        <v>104</v>
      </c>
      <c r="B23" s="32" t="s">
        <v>17</v>
      </c>
      <c r="C23" s="32" t="s">
        <v>63</v>
      </c>
      <c r="D23" s="66" t="s">
        <v>138</v>
      </c>
      <c r="E23" s="66">
        <v>97</v>
      </c>
      <c r="F23" s="33">
        <v>162.179002416</v>
      </c>
      <c r="G23" s="35">
        <v>27290</v>
      </c>
      <c r="H23" s="22"/>
      <c r="I23" s="36">
        <v>9.4537815126050528</v>
      </c>
      <c r="J23" s="36">
        <v>12.777686223586571</v>
      </c>
      <c r="K23" s="36">
        <v>8.8737117196427064</v>
      </c>
      <c r="L23" s="36">
        <v>14.049812059760548</v>
      </c>
      <c r="M23" s="23"/>
      <c r="N23" s="36">
        <v>14.964923531208715</v>
      </c>
      <c r="O23" s="36">
        <v>17.210799949673369</v>
      </c>
      <c r="Q23" s="33">
        <v>0.65</v>
      </c>
      <c r="R23" s="33" t="s">
        <v>108</v>
      </c>
      <c r="S23" s="33">
        <v>0.95</v>
      </c>
      <c r="T23" s="58"/>
      <c r="U23" s="58"/>
      <c r="V23" s="48"/>
      <c r="W23" s="48"/>
      <c r="X23" s="47"/>
    </row>
    <row r="24" spans="1:24" x14ac:dyDescent="0.3">
      <c r="A24" s="32" t="s">
        <v>103</v>
      </c>
      <c r="B24" s="32" t="s">
        <v>16</v>
      </c>
      <c r="C24" s="32" t="s">
        <v>64</v>
      </c>
      <c r="D24" s="66" t="s">
        <v>138</v>
      </c>
      <c r="E24" s="66">
        <v>98</v>
      </c>
      <c r="F24" s="33">
        <v>315.11329111999999</v>
      </c>
      <c r="G24" s="35">
        <v>61772</v>
      </c>
      <c r="H24" s="22"/>
      <c r="I24" s="36">
        <v>8.5629409580393556</v>
      </c>
      <c r="J24" s="36">
        <v>13.297479814024737</v>
      </c>
      <c r="K24" s="36">
        <v>8.6554907614341925</v>
      </c>
      <c r="L24" s="36">
        <v>14.349195857508823</v>
      </c>
      <c r="M24" s="23"/>
      <c r="N24" s="36">
        <v>15.785573828009397</v>
      </c>
      <c r="O24" s="36">
        <v>17.001707203376757</v>
      </c>
      <c r="Q24" s="33">
        <v>0.65</v>
      </c>
      <c r="R24" s="33">
        <v>0.94</v>
      </c>
      <c r="S24" s="33" t="s">
        <v>108</v>
      </c>
      <c r="T24" s="58"/>
      <c r="U24" s="58"/>
    </row>
    <row r="25" spans="1:24" x14ac:dyDescent="0.3">
      <c r="A25" s="32" t="s">
        <v>105</v>
      </c>
      <c r="B25" s="32" t="s">
        <v>18</v>
      </c>
      <c r="C25" s="32" t="s">
        <v>122</v>
      </c>
      <c r="D25" s="66" t="s">
        <v>138</v>
      </c>
      <c r="E25" s="66">
        <v>93</v>
      </c>
      <c r="F25" s="33">
        <v>394.59956160000002</v>
      </c>
      <c r="G25" s="35">
        <v>97353</v>
      </c>
      <c r="H25" s="22"/>
      <c r="I25" s="36">
        <v>7.9337263023737448</v>
      </c>
      <c r="J25" s="36">
        <v>12.150526739360812</v>
      </c>
      <c r="K25" s="36">
        <v>8.6385310460225675</v>
      </c>
      <c r="L25" s="36">
        <v>13.330525986978925</v>
      </c>
      <c r="M25" s="23"/>
      <c r="N25" s="36">
        <v>14.353410270684586</v>
      </c>
      <c r="O25" s="36">
        <v>15.280352879483541</v>
      </c>
      <c r="Q25" s="33">
        <v>0.65</v>
      </c>
      <c r="R25" s="33">
        <v>0.87960000000000005</v>
      </c>
      <c r="S25" s="33" t="s">
        <v>108</v>
      </c>
      <c r="T25" s="58"/>
      <c r="U25" s="58"/>
    </row>
    <row r="26" spans="1:24" x14ac:dyDescent="0.3">
      <c r="A26" s="32" t="s">
        <v>37</v>
      </c>
      <c r="B26" s="32" t="s">
        <v>20</v>
      </c>
      <c r="C26" s="32" t="s">
        <v>65</v>
      </c>
      <c r="D26" s="66" t="s">
        <v>138</v>
      </c>
      <c r="E26" s="66">
        <v>90</v>
      </c>
      <c r="F26" s="33">
        <v>144.74650079</v>
      </c>
      <c r="G26" s="35">
        <v>39849</v>
      </c>
      <c r="H26" s="22"/>
      <c r="I26" s="36">
        <v>6.2504963863076801</v>
      </c>
      <c r="J26" s="36">
        <v>12.046550279022107</v>
      </c>
      <c r="K26" s="36">
        <v>8.3498745221718629</v>
      </c>
      <c r="L26" s="36">
        <v>11.859553252851441</v>
      </c>
      <c r="M26" s="23"/>
      <c r="N26" s="36">
        <v>16.214899514491922</v>
      </c>
      <c r="O26" s="36">
        <v>17.29645805970074</v>
      </c>
      <c r="Q26" s="33">
        <v>0.65</v>
      </c>
      <c r="R26" s="33">
        <v>1.31</v>
      </c>
      <c r="S26" s="33" t="s">
        <v>108</v>
      </c>
      <c r="T26" s="58"/>
      <c r="U26" s="58"/>
    </row>
    <row r="27" spans="1:24" s="47" customFormat="1" ht="18.600000000000001" customHeight="1" x14ac:dyDescent="0.3">
      <c r="A27" s="97" t="s">
        <v>66</v>
      </c>
      <c r="B27" s="97"/>
      <c r="C27" s="97"/>
      <c r="D27" s="85"/>
      <c r="E27" s="85"/>
      <c r="F27" s="45"/>
      <c r="G27" s="46" t="s">
        <v>115</v>
      </c>
      <c r="H27" s="44"/>
      <c r="I27" s="68">
        <v>6.8908349024022977</v>
      </c>
      <c r="J27" s="68">
        <v>11.785995849083495</v>
      </c>
      <c r="K27" s="68">
        <v>7.3079455558925259</v>
      </c>
      <c r="L27" s="68">
        <v>12.595936020536939</v>
      </c>
      <c r="M27" s="44"/>
      <c r="N27" s="44"/>
      <c r="O27" s="44"/>
      <c r="Q27" s="44"/>
      <c r="R27" s="44"/>
      <c r="S27" s="44"/>
      <c r="T27" s="58"/>
      <c r="U27" s="58"/>
    </row>
    <row r="28" spans="1:24" x14ac:dyDescent="0.3">
      <c r="A28" s="32" t="s">
        <v>36</v>
      </c>
      <c r="B28" s="32" t="s">
        <v>24</v>
      </c>
      <c r="C28" s="32" t="s">
        <v>67</v>
      </c>
      <c r="D28" s="66" t="s">
        <v>138</v>
      </c>
      <c r="E28" s="66">
        <v>85</v>
      </c>
      <c r="F28" s="33">
        <v>96.557325939999998</v>
      </c>
      <c r="G28" s="35">
        <v>19961</v>
      </c>
      <c r="H28" s="22"/>
      <c r="I28" s="36">
        <v>6.2556053811659185</v>
      </c>
      <c r="J28" s="36">
        <v>14.232679624001875</v>
      </c>
      <c r="K28" s="36">
        <v>7.468121678756412</v>
      </c>
      <c r="L28" s="36">
        <v>12.953597617462531</v>
      </c>
      <c r="M28" s="23"/>
      <c r="N28" s="36">
        <v>14.765431223681198</v>
      </c>
      <c r="O28" s="36">
        <v>15.748117909020179</v>
      </c>
      <c r="Q28" s="33">
        <v>0.64</v>
      </c>
      <c r="R28" s="33">
        <v>1.37</v>
      </c>
      <c r="S28" s="33" t="s">
        <v>108</v>
      </c>
      <c r="T28" s="58"/>
      <c r="U28" s="58"/>
    </row>
    <row r="29" spans="1:24" x14ac:dyDescent="0.3">
      <c r="A29" s="32" t="s">
        <v>104</v>
      </c>
      <c r="B29" s="32" t="s">
        <v>22</v>
      </c>
      <c r="C29" s="32" t="s">
        <v>68</v>
      </c>
      <c r="D29" s="66" t="s">
        <v>138</v>
      </c>
      <c r="E29" s="66">
        <v>80.36</v>
      </c>
      <c r="F29" s="33">
        <v>144.7402155199</v>
      </c>
      <c r="G29" s="35">
        <v>23063</v>
      </c>
      <c r="H29" s="22"/>
      <c r="I29" s="36">
        <v>7.5991189427312644</v>
      </c>
      <c r="J29" s="36">
        <v>11.313139799157291</v>
      </c>
      <c r="K29" s="36">
        <v>7.0854460292389954</v>
      </c>
      <c r="L29" s="36">
        <v>12.563350563764786</v>
      </c>
      <c r="M29" s="23"/>
      <c r="N29" s="36">
        <v>13.478039734376241</v>
      </c>
      <c r="O29" s="36">
        <v>15.64546168728268</v>
      </c>
      <c r="Q29" s="33">
        <v>0.65</v>
      </c>
      <c r="R29" s="33" t="s">
        <v>108</v>
      </c>
      <c r="S29" s="33">
        <v>0.93</v>
      </c>
      <c r="T29" s="58"/>
      <c r="U29" s="58"/>
    </row>
    <row r="30" spans="1:24" x14ac:dyDescent="0.3">
      <c r="A30" s="32" t="s">
        <v>103</v>
      </c>
      <c r="B30" s="32" t="s">
        <v>21</v>
      </c>
      <c r="C30" s="32" t="s">
        <v>69</v>
      </c>
      <c r="D30" s="66" t="s">
        <v>138</v>
      </c>
      <c r="E30" s="66">
        <v>82.899999999999991</v>
      </c>
      <c r="F30" s="33">
        <v>294.89671062999997</v>
      </c>
      <c r="G30" s="35">
        <v>53124</v>
      </c>
      <c r="H30" s="22"/>
      <c r="I30" s="36">
        <v>7.1903415603270515</v>
      </c>
      <c r="J30" s="36">
        <v>12.18088918069553</v>
      </c>
      <c r="K30" s="36">
        <v>7.1879374498988957</v>
      </c>
      <c r="L30" s="36">
        <v>13.285553143996509</v>
      </c>
      <c r="M30" s="23"/>
      <c r="N30" s="36">
        <v>14.789078392292252</v>
      </c>
      <c r="O30" s="36">
        <v>15.456765598661674</v>
      </c>
      <c r="Q30" s="33">
        <v>0.65</v>
      </c>
      <c r="R30" s="33">
        <v>0.89</v>
      </c>
      <c r="S30" s="33" t="s">
        <v>108</v>
      </c>
      <c r="T30" s="58"/>
      <c r="U30" s="58"/>
    </row>
    <row r="31" spans="1:24" x14ac:dyDescent="0.3">
      <c r="A31" s="32" t="s">
        <v>105</v>
      </c>
      <c r="B31" s="32" t="s">
        <v>23</v>
      </c>
      <c r="C31" s="32" t="s">
        <v>123</v>
      </c>
      <c r="D31" s="66" t="s">
        <v>138</v>
      </c>
      <c r="E31" s="66">
        <v>85</v>
      </c>
      <c r="F31" s="33">
        <v>417.43296463000001</v>
      </c>
      <c r="G31" s="35">
        <v>95641</v>
      </c>
      <c r="H31" s="22"/>
      <c r="I31" s="36">
        <v>7.2490263095143392</v>
      </c>
      <c r="J31" s="36">
        <v>11.707198085592996</v>
      </c>
      <c r="K31" s="36">
        <v>7.713786582274218</v>
      </c>
      <c r="L31" s="36">
        <v>12.847153507958243</v>
      </c>
      <c r="M31" s="23"/>
      <c r="N31" s="36">
        <v>14.124658952672728</v>
      </c>
      <c r="O31" s="36">
        <v>15.199575219996674</v>
      </c>
      <c r="Q31" s="33">
        <v>0.65</v>
      </c>
      <c r="R31" s="33">
        <v>0.877</v>
      </c>
      <c r="S31" s="33" t="s">
        <v>108</v>
      </c>
      <c r="T31" s="58"/>
      <c r="U31" s="58"/>
    </row>
    <row r="32" spans="1:24" x14ac:dyDescent="0.3">
      <c r="A32" s="32" t="s">
        <v>37</v>
      </c>
      <c r="B32" s="32" t="s">
        <v>25</v>
      </c>
      <c r="C32" s="32" t="s">
        <v>70</v>
      </c>
      <c r="D32" s="66" t="s">
        <v>138</v>
      </c>
      <c r="E32" s="66">
        <v>72</v>
      </c>
      <c r="F32" s="33">
        <v>164.19723677000002</v>
      </c>
      <c r="G32" s="35">
        <v>40253</v>
      </c>
      <c r="H32" s="22"/>
      <c r="I32" s="36">
        <v>5.1915033215779394</v>
      </c>
      <c r="J32" s="36">
        <v>10.255130155985048</v>
      </c>
      <c r="K32" s="36">
        <v>6.5936644993173532</v>
      </c>
      <c r="L32" s="36">
        <v>10.537127298490056</v>
      </c>
      <c r="M32" s="23"/>
      <c r="N32" s="36">
        <v>14.650755809564004</v>
      </c>
      <c r="O32" s="36">
        <v>15.00052891021188</v>
      </c>
      <c r="Q32" s="33">
        <v>0.65</v>
      </c>
      <c r="R32" s="33">
        <v>1.27</v>
      </c>
      <c r="S32" s="33" t="s">
        <v>108</v>
      </c>
      <c r="T32" s="58"/>
      <c r="U32" s="58"/>
    </row>
    <row r="33" spans="1:21" s="47" customFormat="1" ht="18.600000000000001" customHeight="1" x14ac:dyDescent="0.3">
      <c r="A33" s="97" t="s">
        <v>71</v>
      </c>
      <c r="B33" s="97"/>
      <c r="C33" s="97"/>
      <c r="D33" s="85"/>
      <c r="E33" s="85"/>
      <c r="F33" s="45"/>
      <c r="G33" s="46" t="s">
        <v>115</v>
      </c>
      <c r="H33" s="44"/>
      <c r="I33" s="68">
        <v>3.5807768172796552</v>
      </c>
      <c r="J33" s="68">
        <v>8.0566438750947285</v>
      </c>
      <c r="K33" s="68">
        <v>3.5872214023630593</v>
      </c>
      <c r="L33" s="68">
        <v>8.5601960231689986</v>
      </c>
      <c r="M33" s="44"/>
      <c r="N33" s="44"/>
      <c r="O33" s="44"/>
      <c r="Q33" s="44"/>
      <c r="R33" s="44"/>
      <c r="S33" s="44"/>
      <c r="T33" s="58"/>
      <c r="U33" s="58"/>
    </row>
    <row r="34" spans="1:21" x14ac:dyDescent="0.3">
      <c r="A34" s="32" t="s">
        <v>36</v>
      </c>
      <c r="B34" s="32" t="s">
        <v>27</v>
      </c>
      <c r="C34" s="32" t="s">
        <v>72</v>
      </c>
      <c r="D34" s="66" t="s">
        <v>138</v>
      </c>
      <c r="E34" s="66">
        <v>50</v>
      </c>
      <c r="F34" s="33">
        <v>81.800160879999993</v>
      </c>
      <c r="G34" s="35">
        <v>18212</v>
      </c>
      <c r="H34" s="22"/>
      <c r="I34" s="36">
        <v>3.4261927633685518</v>
      </c>
      <c r="J34" s="36">
        <v>10.096376512636063</v>
      </c>
      <c r="K34" s="36">
        <v>3.8946676159814064</v>
      </c>
      <c r="L34" s="36">
        <v>8.9488090407518595</v>
      </c>
      <c r="M34" s="23"/>
      <c r="N34" s="36">
        <v>10.978836210645509</v>
      </c>
      <c r="O34" s="36">
        <v>11.193002338857207</v>
      </c>
      <c r="Q34" s="33">
        <v>0.64</v>
      </c>
      <c r="R34" s="33">
        <v>1.37</v>
      </c>
      <c r="S34" s="33" t="s">
        <v>108</v>
      </c>
      <c r="T34" s="58"/>
      <c r="U34" s="58"/>
    </row>
    <row r="35" spans="1:21" x14ac:dyDescent="0.3">
      <c r="A35" s="32" t="s">
        <v>104</v>
      </c>
      <c r="B35" s="32" t="s">
        <v>29</v>
      </c>
      <c r="C35" s="32" t="s">
        <v>73</v>
      </c>
      <c r="D35" s="66" t="s">
        <v>138</v>
      </c>
      <c r="E35" s="66">
        <v>44.54</v>
      </c>
      <c r="F35" s="33">
        <v>99.847896299600009</v>
      </c>
      <c r="G35" s="35">
        <v>17965</v>
      </c>
      <c r="H35" s="22"/>
      <c r="I35" s="36">
        <v>3.5851579475179696</v>
      </c>
      <c r="J35" s="36">
        <v>7.7453767783201899</v>
      </c>
      <c r="K35" s="36">
        <v>3.2294882104225486</v>
      </c>
      <c r="L35" s="36">
        <v>8.6820762056276202</v>
      </c>
      <c r="M35" s="23"/>
      <c r="N35" s="36">
        <v>9.8184753745761419</v>
      </c>
      <c r="O35" s="36">
        <v>10.873992606555785</v>
      </c>
      <c r="Q35" s="33">
        <v>0.65</v>
      </c>
      <c r="R35" s="33" t="s">
        <v>108</v>
      </c>
      <c r="S35" s="33">
        <v>0.81</v>
      </c>
      <c r="T35" s="58"/>
      <c r="U35" s="58"/>
    </row>
    <row r="36" spans="1:21" x14ac:dyDescent="0.3">
      <c r="A36" s="32" t="s">
        <v>103</v>
      </c>
      <c r="B36" s="32" t="s">
        <v>28</v>
      </c>
      <c r="C36" s="32" t="s">
        <v>74</v>
      </c>
      <c r="D36" s="66" t="s">
        <v>138</v>
      </c>
      <c r="E36" s="66">
        <v>49.1</v>
      </c>
      <c r="F36" s="33">
        <v>241.87168913999997</v>
      </c>
      <c r="G36" s="35">
        <v>47210</v>
      </c>
      <c r="H36" s="22"/>
      <c r="I36" s="36">
        <v>3.8255420892076897</v>
      </c>
      <c r="J36" s="36">
        <v>8.0624132767945778</v>
      </c>
      <c r="K36" s="36">
        <v>3.8149325966956971</v>
      </c>
      <c r="L36" s="36">
        <v>9.3761314754999159</v>
      </c>
      <c r="M36" s="23"/>
      <c r="N36" s="36">
        <v>10.767404129324284</v>
      </c>
      <c r="O36" s="36">
        <v>10.752919623851957</v>
      </c>
      <c r="Q36" s="33">
        <v>0.65</v>
      </c>
      <c r="R36" s="33">
        <v>0.87</v>
      </c>
      <c r="S36" s="33" t="s">
        <v>108</v>
      </c>
      <c r="T36" s="58"/>
      <c r="U36" s="58"/>
    </row>
    <row r="37" spans="1:21" x14ac:dyDescent="0.3">
      <c r="A37" s="32" t="s">
        <v>105</v>
      </c>
      <c r="B37" s="32" t="s">
        <v>26</v>
      </c>
      <c r="C37" s="32" t="s">
        <v>124</v>
      </c>
      <c r="D37" s="66" t="s">
        <v>138</v>
      </c>
      <c r="E37" s="66">
        <v>50</v>
      </c>
      <c r="F37" s="33">
        <v>347.74693248</v>
      </c>
      <c r="G37" s="35">
        <v>84936</v>
      </c>
      <c r="H37" s="22"/>
      <c r="I37" s="36">
        <v>4.1015788154707078</v>
      </c>
      <c r="J37" s="36">
        <v>8.5816357299252957</v>
      </c>
      <c r="K37" s="36">
        <v>3.7235112926915059</v>
      </c>
      <c r="L37" s="36">
        <v>9.1248778105826887</v>
      </c>
      <c r="M37" s="23"/>
      <c r="N37" s="36">
        <v>9.6995767146923839</v>
      </c>
      <c r="O37" s="36">
        <v>10.611891892112345</v>
      </c>
      <c r="Q37" s="33">
        <v>0.65</v>
      </c>
      <c r="R37" s="33">
        <v>0.76649999999999996</v>
      </c>
      <c r="S37" s="33" t="s">
        <v>108</v>
      </c>
      <c r="T37" s="58"/>
      <c r="U37" s="58"/>
    </row>
    <row r="38" spans="1:21" x14ac:dyDescent="0.3">
      <c r="A38" s="32" t="s">
        <v>37</v>
      </c>
      <c r="B38" s="32" t="s">
        <v>30</v>
      </c>
      <c r="C38" s="32" t="s">
        <v>75</v>
      </c>
      <c r="D38" s="66" t="s">
        <v>138</v>
      </c>
      <c r="E38" s="66">
        <v>35</v>
      </c>
      <c r="F38" s="33">
        <v>161.21729503</v>
      </c>
      <c r="G38" s="35">
        <v>39336</v>
      </c>
      <c r="H38" s="22"/>
      <c r="I38" s="36">
        <v>2.1659066994037079</v>
      </c>
      <c r="J38" s="36">
        <v>6.0734146249566745</v>
      </c>
      <c r="K38" s="36">
        <v>3.0171738428496742</v>
      </c>
      <c r="L38" s="36">
        <v>5.8453748088512558</v>
      </c>
      <c r="M38" s="23"/>
      <c r="N38" s="36">
        <v>7.7330203444786099</v>
      </c>
      <c r="O38" s="36">
        <v>7.5243251000655667</v>
      </c>
      <c r="Q38" s="33">
        <v>0.65</v>
      </c>
      <c r="R38" s="33">
        <v>1</v>
      </c>
      <c r="S38" s="33" t="s">
        <v>108</v>
      </c>
      <c r="T38" s="58"/>
      <c r="U38" s="58"/>
    </row>
    <row r="39" spans="1:21" s="47" customFormat="1" ht="18.600000000000001" customHeight="1" x14ac:dyDescent="0.3">
      <c r="A39" s="97" t="s">
        <v>76</v>
      </c>
      <c r="B39" s="97"/>
      <c r="C39" s="97"/>
      <c r="D39" s="85"/>
      <c r="E39" s="85"/>
      <c r="F39" s="45"/>
      <c r="G39" s="46" t="s">
        <v>115</v>
      </c>
      <c r="H39" s="44"/>
      <c r="I39" s="68">
        <v>0.85473624760593914</v>
      </c>
      <c r="J39" s="68">
        <v>4.0028480088836025</v>
      </c>
      <c r="K39" s="68">
        <v>0.43125007649999542</v>
      </c>
      <c r="L39" s="68">
        <v>4.4521554308401337</v>
      </c>
      <c r="M39" s="44"/>
      <c r="N39" s="44"/>
      <c r="O39" s="44"/>
      <c r="Q39" s="44"/>
      <c r="R39" s="44"/>
      <c r="S39" s="44"/>
      <c r="T39" s="58"/>
      <c r="U39" s="58"/>
    </row>
    <row r="40" spans="1:21" x14ac:dyDescent="0.3">
      <c r="A40" s="32" t="s">
        <v>36</v>
      </c>
      <c r="B40" s="32" t="s">
        <v>32</v>
      </c>
      <c r="C40" s="32" t="s">
        <v>77</v>
      </c>
      <c r="D40" s="66" t="s">
        <v>138</v>
      </c>
      <c r="E40" s="66">
        <v>15</v>
      </c>
      <c r="F40" s="33">
        <v>32.042962940000002</v>
      </c>
      <c r="G40" s="35">
        <v>7730</v>
      </c>
      <c r="H40" s="22"/>
      <c r="I40" s="36">
        <v>0.5240252242650234</v>
      </c>
      <c r="J40" s="36">
        <v>4.2900640112484734</v>
      </c>
      <c r="K40" s="36">
        <v>0.38830590619283178</v>
      </c>
      <c r="L40" s="36">
        <v>5.0199170379211289</v>
      </c>
      <c r="M40" s="23"/>
      <c r="N40" s="36">
        <v>7.1613674311412936</v>
      </c>
      <c r="O40" s="36">
        <v>7.2615504122363159</v>
      </c>
      <c r="Q40" s="33">
        <v>0.64</v>
      </c>
      <c r="R40" s="33">
        <v>1.35</v>
      </c>
      <c r="S40" s="33" t="s">
        <v>108</v>
      </c>
      <c r="T40" s="58"/>
      <c r="U40" s="58"/>
    </row>
    <row r="41" spans="1:21" x14ac:dyDescent="0.3">
      <c r="A41" s="32" t="s">
        <v>104</v>
      </c>
      <c r="B41" s="32" t="s">
        <v>35</v>
      </c>
      <c r="C41" s="32" t="s">
        <v>78</v>
      </c>
      <c r="D41" s="66" t="s">
        <v>138</v>
      </c>
      <c r="E41" s="66">
        <v>10</v>
      </c>
      <c r="F41" s="33">
        <v>27.5661866039</v>
      </c>
      <c r="G41" s="35">
        <v>5455</v>
      </c>
      <c r="H41" s="22"/>
      <c r="I41" s="36">
        <v>9.9637681159414626E-2</v>
      </c>
      <c r="J41" s="36">
        <v>3.5613884617438973</v>
      </c>
      <c r="K41" s="36">
        <v>-0.13450292924497287</v>
      </c>
      <c r="L41" s="36">
        <v>3.5874904844352073</v>
      </c>
      <c r="M41" s="23"/>
      <c r="N41" s="36">
        <v>4.8099102334459864</v>
      </c>
      <c r="O41" s="36">
        <v>5.0590500232124977</v>
      </c>
      <c r="Q41" s="33">
        <v>0.65</v>
      </c>
      <c r="R41" s="33" t="s">
        <v>108</v>
      </c>
      <c r="S41" s="33">
        <v>0.72</v>
      </c>
      <c r="T41" s="58"/>
      <c r="U41" s="58"/>
    </row>
    <row r="42" spans="1:21" x14ac:dyDescent="0.3">
      <c r="A42" s="32" t="s">
        <v>103</v>
      </c>
      <c r="B42" s="32" t="s">
        <v>33</v>
      </c>
      <c r="C42" s="32" t="s">
        <v>79</v>
      </c>
      <c r="D42" s="66" t="s">
        <v>138</v>
      </c>
      <c r="E42" s="66">
        <v>18.5</v>
      </c>
      <c r="F42" s="33">
        <v>92.900189260000005</v>
      </c>
      <c r="G42" s="35">
        <v>19311</v>
      </c>
      <c r="H42" s="22"/>
      <c r="I42" s="36">
        <v>0.7953529937444026</v>
      </c>
      <c r="J42" s="36">
        <v>3.4414004543514398</v>
      </c>
      <c r="K42" s="36">
        <v>0.80690964841980684</v>
      </c>
      <c r="L42" s="36">
        <v>4.9736694679846982</v>
      </c>
      <c r="M42" s="23"/>
      <c r="N42" s="36">
        <v>5.6504043411527167</v>
      </c>
      <c r="O42" s="36">
        <v>5.6577165168874251</v>
      </c>
      <c r="Q42" s="33">
        <v>0.65</v>
      </c>
      <c r="R42" s="33">
        <v>0.83</v>
      </c>
      <c r="S42" s="33" t="s">
        <v>108</v>
      </c>
      <c r="T42" s="58"/>
      <c r="U42" s="58"/>
    </row>
    <row r="43" spans="1:21" x14ac:dyDescent="0.3">
      <c r="A43" s="32" t="s">
        <v>105</v>
      </c>
      <c r="B43" s="32" t="s">
        <v>31</v>
      </c>
      <c r="C43" s="32" t="s">
        <v>80</v>
      </c>
      <c r="D43" s="66" t="s">
        <v>138</v>
      </c>
      <c r="E43" s="66">
        <v>14.999999999999982</v>
      </c>
      <c r="F43" s="33">
        <v>128.13890653000001</v>
      </c>
      <c r="G43" s="35">
        <v>31345</v>
      </c>
      <c r="H43" s="22"/>
      <c r="I43" s="36">
        <v>1.2040614610477229</v>
      </c>
      <c r="J43" s="36">
        <v>4.6516326497502147</v>
      </c>
      <c r="K43" s="36">
        <v>-0.17617467103666629</v>
      </c>
      <c r="L43" s="36">
        <v>4.8238271680207223</v>
      </c>
      <c r="M43" s="23"/>
      <c r="N43" s="36">
        <v>4.8459004732748143</v>
      </c>
      <c r="O43" s="36">
        <v>5.8651297187815574</v>
      </c>
      <c r="Q43" s="33">
        <v>0.65</v>
      </c>
      <c r="R43" s="33">
        <v>0.6855</v>
      </c>
      <c r="S43" s="33" t="s">
        <v>108</v>
      </c>
      <c r="T43" s="58"/>
      <c r="U43" s="58"/>
    </row>
    <row r="44" spans="1:21" x14ac:dyDescent="0.3">
      <c r="A44" s="32" t="s">
        <v>37</v>
      </c>
      <c r="B44" s="32" t="s">
        <v>34</v>
      </c>
      <c r="C44" s="32" t="s">
        <v>81</v>
      </c>
      <c r="D44" s="66" t="s">
        <v>138</v>
      </c>
      <c r="E44" s="66">
        <v>17</v>
      </c>
      <c r="F44" s="33">
        <v>69.418101659999991</v>
      </c>
      <c r="G44" s="35">
        <v>17264</v>
      </c>
      <c r="H44" s="22"/>
      <c r="I44" s="36">
        <v>0.74189411980216668</v>
      </c>
      <c r="J44" s="36">
        <v>3.599352880469997</v>
      </c>
      <c r="K44" s="36">
        <v>1.2942470120697935</v>
      </c>
      <c r="L44" s="36">
        <v>3.149446058898131</v>
      </c>
      <c r="M44" s="23"/>
      <c r="N44" s="36">
        <v>4.4097648927066286</v>
      </c>
      <c r="O44" s="36">
        <v>3.8020949345760391</v>
      </c>
      <c r="Q44" s="33">
        <v>0.65</v>
      </c>
      <c r="R44" s="33">
        <v>0.86</v>
      </c>
      <c r="S44" s="33" t="s">
        <v>108</v>
      </c>
    </row>
    <row r="45" spans="1:21" s="47" customFormat="1" ht="18.600000000000001" customHeight="1" x14ac:dyDescent="0.3">
      <c r="A45" s="97" t="s">
        <v>82</v>
      </c>
      <c r="B45" s="97"/>
      <c r="C45" s="97"/>
      <c r="D45" s="85"/>
      <c r="E45" s="85"/>
      <c r="F45" s="45"/>
      <c r="G45" s="46" t="s">
        <v>115</v>
      </c>
      <c r="H45" s="44"/>
      <c r="I45" s="68">
        <v>0.76323683143197862</v>
      </c>
      <c r="J45" s="68">
        <v>3.6121537174527587</v>
      </c>
      <c r="K45" s="68">
        <v>0.28554590215075648</v>
      </c>
      <c r="L45" s="68">
        <v>3.560845366673413</v>
      </c>
      <c r="M45" s="44"/>
      <c r="N45" s="44"/>
      <c r="O45" s="44"/>
      <c r="Q45" s="44"/>
      <c r="R45" s="44"/>
      <c r="S45" s="44"/>
    </row>
    <row r="46" spans="1:21" x14ac:dyDescent="0.3">
      <c r="A46" s="32" t="s">
        <v>36</v>
      </c>
      <c r="B46" s="32" t="s">
        <v>41</v>
      </c>
      <c r="C46" s="32" t="s">
        <v>139</v>
      </c>
      <c r="D46" s="66" t="s">
        <v>138</v>
      </c>
      <c r="E46" s="66">
        <v>10</v>
      </c>
      <c r="F46" s="33">
        <v>2.8781461099999999</v>
      </c>
      <c r="G46" s="35">
        <v>1284</v>
      </c>
      <c r="H46" s="22"/>
      <c r="I46" s="36">
        <v>0.44407438245908093</v>
      </c>
      <c r="J46" s="36">
        <v>2.7681081206256675</v>
      </c>
      <c r="K46" s="36">
        <v>0.58798448862844577</v>
      </c>
      <c r="L46" s="36">
        <v>2.8229193295487898</v>
      </c>
      <c r="M46" s="23"/>
      <c r="N46" s="36">
        <v>4.8786393448977554</v>
      </c>
      <c r="O46" s="36">
        <v>4.3199438250018778</v>
      </c>
      <c r="Q46" s="33">
        <v>0.19</v>
      </c>
      <c r="R46" s="33">
        <v>0.42</v>
      </c>
      <c r="S46" s="33" t="s">
        <v>108</v>
      </c>
    </row>
    <row r="47" spans="1:21" x14ac:dyDescent="0.3">
      <c r="A47" s="32" t="s">
        <v>104</v>
      </c>
      <c r="B47" s="32" t="s">
        <v>39</v>
      </c>
      <c r="C47" s="32" t="s">
        <v>83</v>
      </c>
      <c r="D47" s="66" t="s">
        <v>138</v>
      </c>
      <c r="E47" s="66">
        <v>17</v>
      </c>
      <c r="F47" s="33">
        <v>4.4952680459000005</v>
      </c>
      <c r="G47" s="35">
        <v>1072</v>
      </c>
      <c r="H47" s="22"/>
      <c r="I47" s="36">
        <v>1.2745714029261279</v>
      </c>
      <c r="J47" s="36">
        <v>4.8107743173739559</v>
      </c>
      <c r="K47" s="36">
        <v>0.98524802362027764</v>
      </c>
      <c r="L47" s="36">
        <v>4.7223266761236893</v>
      </c>
      <c r="M47" s="23"/>
      <c r="N47" s="36">
        <v>4.2955030646418226</v>
      </c>
      <c r="O47" s="36">
        <v>5.7359667289734482</v>
      </c>
      <c r="Q47" s="33">
        <v>0.2</v>
      </c>
      <c r="R47" s="33" t="s">
        <v>108</v>
      </c>
      <c r="S47" s="33">
        <v>0.28999999999999998</v>
      </c>
    </row>
    <row r="48" spans="1:21" x14ac:dyDescent="0.3">
      <c r="A48" s="32" t="s">
        <v>103</v>
      </c>
      <c r="B48" s="32" t="s">
        <v>38</v>
      </c>
      <c r="C48" s="32" t="s">
        <v>84</v>
      </c>
      <c r="D48" s="66" t="s">
        <v>138</v>
      </c>
      <c r="E48" s="66">
        <v>15</v>
      </c>
      <c r="F48" s="33">
        <v>15.54436415</v>
      </c>
      <c r="G48" s="35">
        <v>3387</v>
      </c>
      <c r="H48" s="22"/>
      <c r="I48" s="36">
        <v>0.57565789473683626</v>
      </c>
      <c r="J48" s="36">
        <v>3.274864678771694</v>
      </c>
      <c r="K48" s="36">
        <v>0.44873377731620145</v>
      </c>
      <c r="L48" s="36">
        <v>3.3841340422481769</v>
      </c>
      <c r="M48" s="23"/>
      <c r="N48" s="36">
        <v>4.8357942733660524</v>
      </c>
      <c r="O48" s="36">
        <v>4.8782296661495872</v>
      </c>
      <c r="Q48" s="33">
        <v>0.2</v>
      </c>
      <c r="R48" s="33">
        <v>0.38</v>
      </c>
      <c r="S48" s="33" t="s">
        <v>108</v>
      </c>
    </row>
    <row r="49" spans="1:19" x14ac:dyDescent="0.3">
      <c r="A49" s="32" t="s">
        <v>105</v>
      </c>
      <c r="B49" s="32" t="s">
        <v>40</v>
      </c>
      <c r="C49" s="32" t="s">
        <v>85</v>
      </c>
      <c r="D49" s="66" t="s">
        <v>138</v>
      </c>
      <c r="E49" s="66">
        <v>15</v>
      </c>
      <c r="F49" s="33">
        <v>19.843721469999998</v>
      </c>
      <c r="G49" s="35">
        <v>3717</v>
      </c>
      <c r="H49" s="22"/>
      <c r="I49" s="36">
        <v>1.2619749447310369</v>
      </c>
      <c r="J49" s="36">
        <v>3.8909212345958455</v>
      </c>
      <c r="K49" s="36">
        <v>-0.17610928889996158</v>
      </c>
      <c r="L49" s="36">
        <v>4.1148587513085033</v>
      </c>
      <c r="M49" s="23"/>
      <c r="N49" s="36">
        <v>4.1200046424292456</v>
      </c>
      <c r="O49" s="36">
        <v>4.7552246374311329</v>
      </c>
      <c r="Q49" s="33">
        <v>0.2</v>
      </c>
      <c r="R49" s="33">
        <v>0.2225</v>
      </c>
      <c r="S49" s="33" t="s">
        <v>108</v>
      </c>
    </row>
    <row r="50" spans="1:19" x14ac:dyDescent="0.3">
      <c r="A50" s="32" t="s">
        <v>37</v>
      </c>
      <c r="B50" s="32" t="s">
        <v>42</v>
      </c>
      <c r="C50" s="32" t="s">
        <v>125</v>
      </c>
      <c r="D50" s="66" t="s">
        <v>138</v>
      </c>
      <c r="E50" s="66">
        <v>10</v>
      </c>
      <c r="F50" s="33">
        <v>7.6298390899999999</v>
      </c>
      <c r="G50" s="35">
        <v>3241</v>
      </c>
      <c r="H50" s="22"/>
      <c r="I50" s="36">
        <v>-0.33259423503326779</v>
      </c>
      <c r="J50" s="36">
        <v>3.1864991765754525</v>
      </c>
      <c r="K50" s="36">
        <v>0.62742653812608573</v>
      </c>
      <c r="L50" s="36">
        <v>2.0740338037679606</v>
      </c>
      <c r="M50" s="23"/>
      <c r="N50" s="36">
        <v>3.332582985814553</v>
      </c>
      <c r="O50" s="36">
        <v>1.3752045428971851</v>
      </c>
      <c r="Q50" s="33">
        <v>0.2</v>
      </c>
      <c r="R50" s="33">
        <v>0.42</v>
      </c>
      <c r="S50" s="33" t="s">
        <v>108</v>
      </c>
    </row>
    <row r="51" spans="1:19" x14ac:dyDescent="0.3">
      <c r="D51" s="8"/>
      <c r="E51" s="20"/>
      <c r="F51" s="21"/>
      <c r="G51" s="9"/>
      <c r="H51" s="7"/>
      <c r="I51" s="10"/>
      <c r="J51" s="10"/>
      <c r="K51" s="11"/>
      <c r="L51" s="11"/>
      <c r="M51" s="12"/>
      <c r="N51" s="13"/>
      <c r="O51" s="14"/>
      <c r="P51" s="1"/>
      <c r="Q51" s="14"/>
      <c r="R51" s="14"/>
      <c r="S51" s="14"/>
    </row>
    <row r="52" spans="1:19" s="43" customFormat="1" x14ac:dyDescent="0.3">
      <c r="A52" s="37"/>
      <c r="B52" s="37"/>
      <c r="C52" s="37"/>
      <c r="D52" s="37"/>
      <c r="E52" s="38"/>
      <c r="F52" s="39"/>
      <c r="G52" s="40" t="s">
        <v>131</v>
      </c>
      <c r="H52" s="41"/>
      <c r="I52" s="41">
        <v>6.3107047721190535</v>
      </c>
      <c r="J52" s="41">
        <v>10.891612946727196</v>
      </c>
      <c r="K52" s="41">
        <v>6.6503156494026392</v>
      </c>
      <c r="L52" s="41">
        <v>11.594198528391239</v>
      </c>
      <c r="M52" s="41"/>
      <c r="N52" s="41"/>
      <c r="O52" s="41"/>
      <c r="P52" s="42"/>
      <c r="Q52" s="41"/>
      <c r="R52" s="41"/>
      <c r="S52" s="41"/>
    </row>
    <row r="53" spans="1:19" x14ac:dyDescent="0.3">
      <c r="A53" s="15"/>
      <c r="B53" s="15"/>
      <c r="C53" s="15"/>
      <c r="D53" s="15"/>
      <c r="E53" s="15"/>
      <c r="F53" s="15"/>
      <c r="G53" s="15"/>
      <c r="H53" s="15"/>
      <c r="I53" s="15"/>
      <c r="J53" s="15"/>
      <c r="K53" s="15"/>
      <c r="L53" s="15"/>
      <c r="M53" s="15"/>
      <c r="N53" s="15"/>
      <c r="O53" s="15"/>
      <c r="P53" s="1"/>
    </row>
    <row r="54" spans="1:19" s="50" customFormat="1" ht="13.8" x14ac:dyDescent="0.3">
      <c r="A54" s="49" t="s">
        <v>97</v>
      </c>
      <c r="B54" s="49"/>
      <c r="C54" s="49"/>
      <c r="D54" s="49"/>
      <c r="E54" s="49"/>
      <c r="F54" s="49"/>
      <c r="G54" s="49"/>
      <c r="H54" s="49"/>
      <c r="I54" s="49"/>
      <c r="J54" s="49"/>
      <c r="K54" s="49"/>
      <c r="L54" s="49"/>
      <c r="M54" s="49"/>
      <c r="N54" s="49"/>
    </row>
    <row r="55" spans="1:19" s="50" customFormat="1" ht="13.8" x14ac:dyDescent="0.3">
      <c r="A55" s="49" t="s">
        <v>110</v>
      </c>
      <c r="B55" s="49"/>
      <c r="C55" s="49"/>
      <c r="D55" s="49"/>
      <c r="E55" s="49"/>
      <c r="F55" s="72"/>
      <c r="G55" s="72"/>
      <c r="H55" s="49"/>
      <c r="I55" s="49"/>
      <c r="J55" s="49"/>
      <c r="K55" s="49"/>
      <c r="L55" s="49"/>
      <c r="M55" s="49"/>
      <c r="N55" s="49"/>
    </row>
    <row r="56" spans="1:19" s="50" customFormat="1" ht="13.8" x14ac:dyDescent="0.3">
      <c r="A56" s="86" t="s">
        <v>112</v>
      </c>
      <c r="B56" s="49"/>
      <c r="C56" s="49"/>
      <c r="D56" s="49"/>
      <c r="E56" s="49"/>
      <c r="F56" s="49"/>
      <c r="G56" s="49"/>
      <c r="H56" s="49"/>
      <c r="I56" s="49"/>
      <c r="J56" s="49"/>
      <c r="K56" s="49"/>
      <c r="L56" s="49"/>
      <c r="M56" s="49"/>
      <c r="N56" s="49"/>
    </row>
    <row r="57" spans="1:19" s="50" customFormat="1" ht="13.8" x14ac:dyDescent="0.3">
      <c r="A57" s="86" t="s">
        <v>113</v>
      </c>
      <c r="B57" s="49"/>
      <c r="C57" s="49"/>
      <c r="D57" s="49"/>
      <c r="E57" s="49"/>
      <c r="F57" s="49"/>
      <c r="G57" s="49"/>
      <c r="H57" s="49"/>
      <c r="I57" s="49"/>
      <c r="J57" s="49"/>
      <c r="K57" s="49"/>
      <c r="L57" s="49"/>
      <c r="M57" s="49"/>
      <c r="N57" s="49"/>
    </row>
    <row r="58" spans="1:19" s="50" customFormat="1" ht="13.8" x14ac:dyDescent="0.3">
      <c r="A58" s="86" t="s">
        <v>146</v>
      </c>
      <c r="B58" s="51"/>
      <c r="C58" s="51"/>
      <c r="D58" s="51"/>
      <c r="E58" s="51"/>
      <c r="F58" s="51"/>
      <c r="G58" s="51"/>
      <c r="H58" s="51"/>
      <c r="I58" s="51"/>
      <c r="J58" s="51"/>
      <c r="K58" s="51"/>
      <c r="L58" s="51"/>
      <c r="M58" s="51"/>
      <c r="N58" s="51"/>
    </row>
    <row r="59" spans="1:19" s="50" customFormat="1" ht="13.8" x14ac:dyDescent="0.3">
      <c r="A59" s="87" t="s">
        <v>144</v>
      </c>
      <c r="B59" s="51"/>
      <c r="C59" s="51"/>
      <c r="D59" s="51"/>
      <c r="E59" s="51"/>
      <c r="F59" s="51"/>
      <c r="G59" s="51"/>
      <c r="H59" s="51"/>
      <c r="I59" s="51"/>
      <c r="J59" s="51"/>
      <c r="K59" s="51"/>
      <c r="L59" s="51"/>
      <c r="M59" s="51"/>
      <c r="N59" s="51"/>
    </row>
    <row r="60" spans="1:19" s="50" customFormat="1" ht="13.8" x14ac:dyDescent="0.3">
      <c r="A60" s="88" t="s">
        <v>118</v>
      </c>
      <c r="B60" s="51"/>
      <c r="C60" s="51"/>
      <c r="D60" s="51"/>
      <c r="E60" s="51"/>
      <c r="F60" s="51"/>
      <c r="G60" s="51"/>
      <c r="H60" s="51"/>
      <c r="I60" s="51"/>
      <c r="J60" s="51"/>
      <c r="K60" s="51"/>
      <c r="L60" s="51"/>
      <c r="M60" s="51"/>
      <c r="N60" s="51"/>
    </row>
    <row r="61" spans="1:19" s="50" customFormat="1" ht="13.8" x14ac:dyDescent="0.3">
      <c r="A61" s="88" t="s">
        <v>145</v>
      </c>
      <c r="B61" s="51"/>
      <c r="C61" s="51"/>
      <c r="D61" s="51"/>
      <c r="E61" s="51"/>
      <c r="F61" s="51"/>
      <c r="G61" s="51"/>
      <c r="H61" s="51"/>
      <c r="I61" s="51"/>
      <c r="J61" s="51"/>
      <c r="K61" s="51"/>
      <c r="L61" s="51"/>
      <c r="M61" s="51"/>
      <c r="N61" s="51"/>
    </row>
    <row r="62" spans="1:19" x14ac:dyDescent="0.3">
      <c r="A62" s="89" t="s">
        <v>132</v>
      </c>
      <c r="D62" s="7"/>
      <c r="E62" s="7"/>
      <c r="F62" s="7"/>
      <c r="G62" s="7"/>
      <c r="H62" s="7"/>
      <c r="I62" s="7"/>
      <c r="J62" s="7"/>
      <c r="K62" s="7"/>
      <c r="L62" s="7"/>
      <c r="M62" s="7"/>
      <c r="N62" s="7"/>
    </row>
    <row r="63" spans="1:19" x14ac:dyDescent="0.3">
      <c r="A63" s="86" t="s">
        <v>126</v>
      </c>
    </row>
    <row r="64" spans="1:19" x14ac:dyDescent="0.3">
      <c r="A64" s="86" t="s">
        <v>129</v>
      </c>
    </row>
    <row r="65" spans="1:16" x14ac:dyDescent="0.3">
      <c r="A65" s="86" t="s">
        <v>135</v>
      </c>
      <c r="E65" s="65"/>
      <c r="F65" s="65"/>
      <c r="G65" s="65"/>
    </row>
    <row r="66" spans="1:16" x14ac:dyDescent="0.3">
      <c r="A66" s="86"/>
      <c r="E66" s="65"/>
      <c r="F66" s="65"/>
      <c r="G66" s="65"/>
      <c r="I66" s="59"/>
      <c r="J66" s="59"/>
      <c r="K66" s="59"/>
      <c r="L66" s="59"/>
      <c r="M66" s="59"/>
      <c r="N66" s="59"/>
      <c r="O66" s="59"/>
      <c r="P66" s="59"/>
    </row>
    <row r="67" spans="1:16" x14ac:dyDescent="0.3">
      <c r="A67" s="90"/>
      <c r="E67" s="5"/>
      <c r="F67" s="65"/>
      <c r="G67" s="60"/>
      <c r="I67" s="62"/>
      <c r="J67" s="62"/>
      <c r="K67" s="61"/>
      <c r="L67" s="61"/>
      <c r="M67" s="59"/>
      <c r="N67" s="59"/>
      <c r="O67" s="59"/>
      <c r="P67" s="59"/>
    </row>
    <row r="68" spans="1:16" x14ac:dyDescent="0.3">
      <c r="A68" s="86"/>
      <c r="E68" s="48"/>
      <c r="F68" s="48"/>
      <c r="G68" s="48"/>
      <c r="I68" s="48"/>
      <c r="J68" s="84"/>
      <c r="K68" s="84"/>
      <c r="L68" s="84"/>
    </row>
    <row r="69" spans="1:16" x14ac:dyDescent="0.3">
      <c r="A69" s="86"/>
      <c r="E69" s="5"/>
      <c r="F69" s="65"/>
      <c r="G69" s="60"/>
      <c r="I69" s="76"/>
      <c r="J69" s="84"/>
      <c r="K69" s="84"/>
      <c r="L69" s="84"/>
      <c r="N69" s="78"/>
      <c r="O69" s="78"/>
    </row>
    <row r="70" spans="1:16" x14ac:dyDescent="0.3">
      <c r="A70" s="90"/>
      <c r="E70" s="48"/>
      <c r="F70" s="48"/>
      <c r="G70" s="48"/>
      <c r="I70" s="80"/>
      <c r="J70" s="82"/>
      <c r="K70" s="77"/>
      <c r="L70" s="79"/>
      <c r="N70" s="79"/>
      <c r="O70" s="79"/>
    </row>
    <row r="71" spans="1:16" x14ac:dyDescent="0.3">
      <c r="E71" s="5"/>
      <c r="F71" s="65"/>
      <c r="G71" s="60"/>
      <c r="I71" s="81"/>
      <c r="J71" s="83"/>
      <c r="K71" s="77"/>
      <c r="L71" s="79"/>
      <c r="N71" s="79"/>
      <c r="O71" s="79"/>
    </row>
    <row r="72" spans="1:16" x14ac:dyDescent="0.3">
      <c r="E72" s="48"/>
      <c r="F72" s="48"/>
      <c r="G72" s="48"/>
      <c r="I72" s="48"/>
      <c r="J72" s="58"/>
      <c r="K72" s="61"/>
    </row>
    <row r="73" spans="1:16" x14ac:dyDescent="0.3">
      <c r="D73" s="75"/>
      <c r="E73" s="6"/>
    </row>
    <row r="74" spans="1:16" x14ac:dyDescent="0.3">
      <c r="D74" s="75"/>
      <c r="E74" s="6"/>
      <c r="G74" s="58"/>
      <c r="H74" s="58"/>
      <c r="I74" s="58"/>
    </row>
    <row r="75" spans="1:16" x14ac:dyDescent="0.3">
      <c r="G75" s="61"/>
      <c r="H75" s="74"/>
      <c r="I75" s="61"/>
      <c r="J75" s="74"/>
    </row>
    <row r="77" spans="1:16" x14ac:dyDescent="0.3">
      <c r="F77" s="71"/>
    </row>
  </sheetData>
  <mergeCells count="14">
    <mergeCell ref="A33:C33"/>
    <mergeCell ref="A39:C39"/>
    <mergeCell ref="A45:C45"/>
    <mergeCell ref="A3:C3"/>
    <mergeCell ref="A9:C9"/>
    <mergeCell ref="A15:C15"/>
    <mergeCell ref="A21:C21"/>
    <mergeCell ref="A27:C27"/>
    <mergeCell ref="Q1:S1"/>
    <mergeCell ref="D1:D2"/>
    <mergeCell ref="F1:F2"/>
    <mergeCell ref="G1:G2"/>
    <mergeCell ref="N1:O1"/>
    <mergeCell ref="I1:L1"/>
  </mergeCells>
  <conditionalFormatting sqref="I51:J51">
    <cfRule type="top10" dxfId="172" priority="344" percent="1" rank="10"/>
  </conditionalFormatting>
  <conditionalFormatting sqref="N46:O50 N4:O8 N10:O14 N16:O20 N22:O26 N28:O32 N34:O38 N40:O44">
    <cfRule type="cellIs" dxfId="171" priority="265" operator="greaterThanOrEqual">
      <formula>0</formula>
    </cfRule>
    <cfRule type="cellIs" dxfId="170" priority="266" operator="lessThan">
      <formula>0</formula>
    </cfRule>
  </conditionalFormatting>
  <conditionalFormatting sqref="I4:I8">
    <cfRule type="cellIs" dxfId="169" priority="147" operator="greaterThanOrEqual">
      <formula>0</formula>
    </cfRule>
    <cfRule type="cellIs" dxfId="168" priority="148" operator="lessThan">
      <formula>0</formula>
    </cfRule>
  </conditionalFormatting>
  <conditionalFormatting sqref="J4:L8">
    <cfRule type="cellIs" dxfId="167" priority="145" operator="greaterThanOrEqual">
      <formula>0</formula>
    </cfRule>
    <cfRule type="cellIs" dxfId="166" priority="146" operator="lessThan">
      <formula>0</formula>
    </cfRule>
  </conditionalFormatting>
  <conditionalFormatting sqref="I10:I14">
    <cfRule type="cellIs" dxfId="165" priority="143" operator="greaterThanOrEqual">
      <formula>0</formula>
    </cfRule>
    <cfRule type="cellIs" dxfId="164" priority="144" operator="lessThan">
      <formula>0</formula>
    </cfRule>
  </conditionalFormatting>
  <conditionalFormatting sqref="K10:K14">
    <cfRule type="cellIs" dxfId="163" priority="141" operator="greaterThanOrEqual">
      <formula>0</formula>
    </cfRule>
    <cfRule type="cellIs" dxfId="162" priority="142" operator="lessThan">
      <formula>0</formula>
    </cfRule>
  </conditionalFormatting>
  <conditionalFormatting sqref="I16:I20">
    <cfRule type="cellIs" dxfId="161" priority="139" operator="greaterThanOrEqual">
      <formula>0</formula>
    </cfRule>
    <cfRule type="cellIs" dxfId="160" priority="140" operator="lessThan">
      <formula>0</formula>
    </cfRule>
  </conditionalFormatting>
  <conditionalFormatting sqref="K16:K20">
    <cfRule type="cellIs" dxfId="159" priority="137" operator="greaterThanOrEqual">
      <formula>0</formula>
    </cfRule>
    <cfRule type="cellIs" dxfId="158" priority="138" operator="lessThan">
      <formula>0</formula>
    </cfRule>
  </conditionalFormatting>
  <conditionalFormatting sqref="I22:I26">
    <cfRule type="cellIs" dxfId="157" priority="135" operator="greaterThanOrEqual">
      <formula>0</formula>
    </cfRule>
    <cfRule type="cellIs" dxfId="156" priority="136" operator="lessThan">
      <formula>0</formula>
    </cfRule>
  </conditionalFormatting>
  <conditionalFormatting sqref="K22:K26">
    <cfRule type="cellIs" dxfId="155" priority="133" operator="greaterThanOrEqual">
      <formula>0</formula>
    </cfRule>
    <cfRule type="cellIs" dxfId="154" priority="134" operator="lessThan">
      <formula>0</formula>
    </cfRule>
  </conditionalFormatting>
  <conditionalFormatting sqref="I28:I32">
    <cfRule type="cellIs" dxfId="153" priority="131" operator="greaterThanOrEqual">
      <formula>0</formula>
    </cfRule>
    <cfRule type="cellIs" dxfId="152" priority="132" operator="lessThan">
      <formula>0</formula>
    </cfRule>
  </conditionalFormatting>
  <conditionalFormatting sqref="K28:K32">
    <cfRule type="cellIs" dxfId="151" priority="129" operator="greaterThanOrEqual">
      <formula>0</formula>
    </cfRule>
    <cfRule type="cellIs" dxfId="150" priority="130" operator="lessThan">
      <formula>0</formula>
    </cfRule>
  </conditionalFormatting>
  <conditionalFormatting sqref="I34:I38">
    <cfRule type="cellIs" dxfId="149" priority="127" operator="greaterThanOrEqual">
      <formula>0</formula>
    </cfRule>
    <cfRule type="cellIs" dxfId="148" priority="128" operator="lessThan">
      <formula>0</formula>
    </cfRule>
  </conditionalFormatting>
  <conditionalFormatting sqref="K34:K38">
    <cfRule type="cellIs" dxfId="147" priority="125" operator="greaterThanOrEqual">
      <formula>0</formula>
    </cfRule>
    <cfRule type="cellIs" dxfId="146" priority="126" operator="lessThan">
      <formula>0</formula>
    </cfRule>
  </conditionalFormatting>
  <conditionalFormatting sqref="I40:I44">
    <cfRule type="cellIs" dxfId="145" priority="123" operator="greaterThanOrEqual">
      <formula>0</formula>
    </cfRule>
    <cfRule type="cellIs" dxfId="144" priority="124" operator="lessThan">
      <formula>0</formula>
    </cfRule>
  </conditionalFormatting>
  <conditionalFormatting sqref="K40:K44">
    <cfRule type="cellIs" dxfId="143" priority="121" operator="greaterThanOrEqual">
      <formula>0</formula>
    </cfRule>
    <cfRule type="cellIs" dxfId="142" priority="122" operator="lessThan">
      <formula>0</formula>
    </cfRule>
  </conditionalFormatting>
  <conditionalFormatting sqref="I46:I50">
    <cfRule type="cellIs" dxfId="141" priority="119" operator="greaterThanOrEqual">
      <formula>0</formula>
    </cfRule>
    <cfRule type="cellIs" dxfId="140" priority="120" operator="lessThan">
      <formula>0</formula>
    </cfRule>
  </conditionalFormatting>
  <conditionalFormatting sqref="K46:K50">
    <cfRule type="cellIs" dxfId="139" priority="117" operator="greaterThanOrEqual">
      <formula>0</formula>
    </cfRule>
    <cfRule type="cellIs" dxfId="138" priority="118" operator="lessThan">
      <formula>0</formula>
    </cfRule>
  </conditionalFormatting>
  <conditionalFormatting sqref="I3">
    <cfRule type="cellIs" dxfId="137" priority="87" operator="greaterThanOrEqual">
      <formula>0</formula>
    </cfRule>
    <cfRule type="cellIs" dxfId="136" priority="88" operator="lessThan">
      <formula>0</formula>
    </cfRule>
  </conditionalFormatting>
  <conditionalFormatting sqref="J3:L3">
    <cfRule type="cellIs" dxfId="135" priority="85" operator="greaterThanOrEqual">
      <formula>0</formula>
    </cfRule>
    <cfRule type="cellIs" dxfId="134" priority="86" operator="lessThan">
      <formula>0</formula>
    </cfRule>
  </conditionalFormatting>
  <conditionalFormatting sqref="I9">
    <cfRule type="cellIs" dxfId="133" priority="55" operator="greaterThanOrEqual">
      <formula>0</formula>
    </cfRule>
    <cfRule type="cellIs" dxfId="132" priority="56" operator="lessThan">
      <formula>0</formula>
    </cfRule>
  </conditionalFormatting>
  <conditionalFormatting sqref="J9:L9">
    <cfRule type="cellIs" dxfId="131" priority="53" operator="greaterThanOrEqual">
      <formula>0</formula>
    </cfRule>
    <cfRule type="cellIs" dxfId="130" priority="54" operator="lessThan">
      <formula>0</formula>
    </cfRule>
  </conditionalFormatting>
  <conditionalFormatting sqref="I15">
    <cfRule type="cellIs" dxfId="129" priority="51" operator="greaterThanOrEqual">
      <formula>0</formula>
    </cfRule>
    <cfRule type="cellIs" dxfId="128" priority="52" operator="lessThan">
      <formula>0</formula>
    </cfRule>
  </conditionalFormatting>
  <conditionalFormatting sqref="J15:L15">
    <cfRule type="cellIs" dxfId="127" priority="49" operator="greaterThanOrEqual">
      <formula>0</formula>
    </cfRule>
    <cfRule type="cellIs" dxfId="126" priority="50" operator="lessThan">
      <formula>0</formula>
    </cfRule>
  </conditionalFormatting>
  <conditionalFormatting sqref="I21">
    <cfRule type="cellIs" dxfId="125" priority="47" operator="greaterThanOrEqual">
      <formula>0</formula>
    </cfRule>
    <cfRule type="cellIs" dxfId="124" priority="48" operator="lessThan">
      <formula>0</formula>
    </cfRule>
  </conditionalFormatting>
  <conditionalFormatting sqref="J21:L21">
    <cfRule type="cellIs" dxfId="123" priority="45" operator="greaterThanOrEqual">
      <formula>0</formula>
    </cfRule>
    <cfRule type="cellIs" dxfId="122" priority="46" operator="lessThan">
      <formula>0</formula>
    </cfRule>
  </conditionalFormatting>
  <conditionalFormatting sqref="I27">
    <cfRule type="cellIs" dxfId="121" priority="43" operator="greaterThanOrEqual">
      <formula>0</formula>
    </cfRule>
    <cfRule type="cellIs" dxfId="120" priority="44" operator="lessThan">
      <formula>0</formula>
    </cfRule>
  </conditionalFormatting>
  <conditionalFormatting sqref="J27:L27">
    <cfRule type="cellIs" dxfId="119" priority="41" operator="greaterThanOrEqual">
      <formula>0</formula>
    </cfRule>
    <cfRule type="cellIs" dxfId="118" priority="42" operator="lessThan">
      <formula>0</formula>
    </cfRule>
  </conditionalFormatting>
  <conditionalFormatting sqref="I33">
    <cfRule type="cellIs" dxfId="117" priority="39" operator="greaterThanOrEqual">
      <formula>0</formula>
    </cfRule>
    <cfRule type="cellIs" dxfId="116" priority="40" operator="lessThan">
      <formula>0</formula>
    </cfRule>
  </conditionalFormatting>
  <conditionalFormatting sqref="J33:L33">
    <cfRule type="cellIs" dxfId="115" priority="37" operator="greaterThanOrEqual">
      <formula>0</formula>
    </cfRule>
    <cfRule type="cellIs" dxfId="114" priority="38" operator="lessThan">
      <formula>0</formula>
    </cfRule>
  </conditionalFormatting>
  <conditionalFormatting sqref="I39">
    <cfRule type="cellIs" dxfId="113" priority="35" operator="greaterThanOrEqual">
      <formula>0</formula>
    </cfRule>
    <cfRule type="cellIs" dxfId="112" priority="36" operator="lessThan">
      <formula>0</formula>
    </cfRule>
  </conditionalFormatting>
  <conditionalFormatting sqref="J39:L39">
    <cfRule type="cellIs" dxfId="111" priority="33" operator="greaterThanOrEqual">
      <formula>0</formula>
    </cfRule>
    <cfRule type="cellIs" dxfId="110" priority="34" operator="lessThan">
      <formula>0</formula>
    </cfRule>
  </conditionalFormatting>
  <conditionalFormatting sqref="I45">
    <cfRule type="cellIs" dxfId="109" priority="31" operator="greaterThanOrEqual">
      <formula>0</formula>
    </cfRule>
    <cfRule type="cellIs" dxfId="108" priority="32" operator="lessThan">
      <formula>0</formula>
    </cfRule>
  </conditionalFormatting>
  <conditionalFormatting sqref="J45:L45">
    <cfRule type="cellIs" dxfId="107" priority="29" operator="greaterThanOrEqual">
      <formula>0</formula>
    </cfRule>
    <cfRule type="cellIs" dxfId="106" priority="30" operator="lessThan">
      <formula>0</formula>
    </cfRule>
  </conditionalFormatting>
  <conditionalFormatting sqref="J10:J14">
    <cfRule type="cellIs" dxfId="105" priority="27" operator="greaterThanOrEqual">
      <formula>0</formula>
    </cfRule>
    <cfRule type="cellIs" dxfId="104" priority="28" operator="lessThan">
      <formula>0</formula>
    </cfRule>
  </conditionalFormatting>
  <conditionalFormatting sqref="J16:J20">
    <cfRule type="cellIs" dxfId="103" priority="25" operator="greaterThanOrEqual">
      <formula>0</formula>
    </cfRule>
    <cfRule type="cellIs" dxfId="102" priority="26" operator="lessThan">
      <formula>0</formula>
    </cfRule>
  </conditionalFormatting>
  <conditionalFormatting sqref="J22:J26">
    <cfRule type="cellIs" dxfId="101" priority="23" operator="greaterThanOrEqual">
      <formula>0</formula>
    </cfRule>
    <cfRule type="cellIs" dxfId="100" priority="24" operator="lessThan">
      <formula>0</formula>
    </cfRule>
  </conditionalFormatting>
  <conditionalFormatting sqref="J28:J32">
    <cfRule type="cellIs" dxfId="99" priority="21" operator="greaterThanOrEqual">
      <formula>0</formula>
    </cfRule>
    <cfRule type="cellIs" dxfId="98" priority="22" operator="lessThan">
      <formula>0</formula>
    </cfRule>
  </conditionalFormatting>
  <conditionalFormatting sqref="J34:J38">
    <cfRule type="cellIs" dxfId="97" priority="19" operator="greaterThanOrEqual">
      <formula>0</formula>
    </cfRule>
    <cfRule type="cellIs" dxfId="96" priority="20" operator="lessThan">
      <formula>0</formula>
    </cfRule>
  </conditionalFormatting>
  <conditionalFormatting sqref="J40:J44">
    <cfRule type="cellIs" dxfId="95" priority="17" operator="greaterThanOrEqual">
      <formula>0</formula>
    </cfRule>
    <cfRule type="cellIs" dxfId="94" priority="18" operator="lessThan">
      <formula>0</formula>
    </cfRule>
  </conditionalFormatting>
  <conditionalFormatting sqref="J46:J50">
    <cfRule type="cellIs" dxfId="93" priority="15" operator="greaterThanOrEqual">
      <formula>0</formula>
    </cfRule>
    <cfRule type="cellIs" dxfId="92" priority="16" operator="lessThan">
      <formula>0</formula>
    </cfRule>
  </conditionalFormatting>
  <conditionalFormatting sqref="L10:L14">
    <cfRule type="cellIs" dxfId="91" priority="13" operator="greaterThanOrEqual">
      <formula>0</formula>
    </cfRule>
    <cfRule type="cellIs" dxfId="90" priority="14" operator="lessThan">
      <formula>0</formula>
    </cfRule>
  </conditionalFormatting>
  <conditionalFormatting sqref="L16:L20">
    <cfRule type="cellIs" dxfId="89" priority="11" operator="greaterThanOrEqual">
      <formula>0</formula>
    </cfRule>
    <cfRule type="cellIs" dxfId="88" priority="12" operator="lessThan">
      <formula>0</formula>
    </cfRule>
  </conditionalFormatting>
  <conditionalFormatting sqref="L22:L26">
    <cfRule type="cellIs" dxfId="87" priority="9" operator="greaterThanOrEqual">
      <formula>0</formula>
    </cfRule>
    <cfRule type="cellIs" dxfId="86" priority="10" operator="lessThan">
      <formula>0</formula>
    </cfRule>
  </conditionalFormatting>
  <conditionalFormatting sqref="L28:L32">
    <cfRule type="cellIs" dxfId="85" priority="7" operator="greaterThanOrEqual">
      <formula>0</formula>
    </cfRule>
    <cfRule type="cellIs" dxfId="84" priority="8" operator="lessThan">
      <formula>0</formula>
    </cfRule>
  </conditionalFormatting>
  <conditionalFormatting sqref="L34:L38">
    <cfRule type="cellIs" dxfId="83" priority="5" operator="greaterThanOrEqual">
      <formula>0</formula>
    </cfRule>
    <cfRule type="cellIs" dxfId="82" priority="6" operator="lessThan">
      <formula>0</formula>
    </cfRule>
  </conditionalFormatting>
  <conditionalFormatting sqref="L40:L44">
    <cfRule type="cellIs" dxfId="81" priority="3" operator="greaterThanOrEqual">
      <formula>0</formula>
    </cfRule>
    <cfRule type="cellIs" dxfId="80" priority="4" operator="lessThan">
      <formula>0</formula>
    </cfRule>
  </conditionalFormatting>
  <conditionalFormatting sqref="L46:L50">
    <cfRule type="cellIs" dxfId="79" priority="1" operator="greaterThanOrEqual">
      <formula>0</formula>
    </cfRule>
    <cfRule type="cellIs" dxfId="78"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9" location="'1989-1995'!A1" display="Tikslinės pensijų fondų dalyvių grupės pensijų fondai, 1989-1995" xr:uid="{00000000-0004-0000-0000-000002000000}"/>
    <hyperlink ref="A15" location="'1982-1988'!A1" display="Tikslinės pensijų fondų dalyvių grupės pensijų fondai, 1982-1988" xr:uid="{00000000-0004-0000-0000-000003000000}"/>
    <hyperlink ref="A21" location="'1975-1981'!A1" display="Tikslinės pensijų fondų dalyvių grupės pensijų fondai, 1975-1981" xr:uid="{00000000-0004-0000-0000-000004000000}"/>
    <hyperlink ref="A27" location="'1968-1974'!A1" display="Tikslinės pensijų fondų dalyvių grupės pensijų fondai, 1968-1974" xr:uid="{00000000-0004-0000-0000-000005000000}"/>
    <hyperlink ref="A33" location="'1961-1967'!A1" display="Tikslinės pensijų fondų dalyvių grupės pensijų fondai, 1961-1967" xr:uid="{00000000-0004-0000-0000-000006000000}"/>
    <hyperlink ref="A39" location="'1954-1960'!A1" display="Tikslinės pensijų fondų dalyvių grupės pensijų fondai, 1954-1960" xr:uid="{00000000-0004-0000-0000-000007000000}"/>
    <hyperlink ref="A45"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8"/>
  <sheetViews>
    <sheetView showGridLines="0" zoomScale="55" zoomScaleNormal="55" workbookViewId="0">
      <selection activeCell="C1" sqref="C1"/>
    </sheetView>
  </sheetViews>
  <sheetFormatPr defaultRowHeight="15.6" x14ac:dyDescent="0.3"/>
  <cols>
    <col min="1" max="1" width="45.6640625" style="16" customWidth="1"/>
    <col min="2" max="2" width="14.88671875" style="16" bestFit="1" customWidth="1"/>
    <col min="3" max="3" width="67.5546875" style="16" customWidth="1"/>
    <col min="4" max="4" width="15.5546875" style="16" customWidth="1"/>
    <col min="5" max="5" width="16.109375" style="16" bestFit="1" customWidth="1"/>
    <col min="6" max="6" width="17" style="16" customWidth="1"/>
    <col min="7" max="7" width="17.88671875" style="16" customWidth="1"/>
    <col min="8" max="8" width="1.33203125" style="16" customWidth="1"/>
    <col min="9" max="9" width="16.6640625" style="16" customWidth="1"/>
    <col min="10" max="10" width="17.44140625" style="16" customWidth="1"/>
    <col min="11" max="11" width="17.33203125" style="16" customWidth="1"/>
    <col min="12" max="12" width="16.77734375" style="16" customWidth="1"/>
    <col min="13" max="13" width="1.33203125" style="16" customWidth="1"/>
    <col min="14" max="14" width="15.88671875" style="16" customWidth="1"/>
    <col min="15" max="15" width="18.109375" style="16" customWidth="1"/>
    <col min="16" max="16" width="1.33203125" style="16" customWidth="1"/>
    <col min="17" max="17" width="15.21875" style="16" customWidth="1"/>
    <col min="18" max="18" width="14.44140625" style="16" customWidth="1"/>
    <col min="19" max="19" width="17.3320312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3" t="s">
        <v>109</v>
      </c>
      <c r="J2" s="24" t="s">
        <v>136</v>
      </c>
      <c r="K2" s="24" t="s">
        <v>111</v>
      </c>
      <c r="L2" s="24" t="s">
        <v>137</v>
      </c>
      <c r="M2" s="30"/>
      <c r="N2" s="24" t="s">
        <v>133</v>
      </c>
      <c r="O2" s="24" t="s">
        <v>134</v>
      </c>
      <c r="P2" s="30"/>
      <c r="Q2" s="24" t="s">
        <v>127</v>
      </c>
      <c r="R2" s="24" t="s">
        <v>128</v>
      </c>
      <c r="S2" s="24" t="s">
        <v>130</v>
      </c>
    </row>
    <row r="3" spans="1:21" ht="28.95" customHeight="1" x14ac:dyDescent="0.3">
      <c r="A3" s="97" t="s">
        <v>46</v>
      </c>
      <c r="B3" s="97"/>
      <c r="C3" s="97"/>
      <c r="D3" s="44"/>
      <c r="E3" s="44"/>
      <c r="F3" s="45"/>
      <c r="G3" s="70" t="s">
        <v>115</v>
      </c>
      <c r="H3" s="45"/>
      <c r="I3" s="67">
        <v>7.7475777406073458</v>
      </c>
      <c r="J3" s="67">
        <v>12.081484416552607</v>
      </c>
      <c r="K3" s="67">
        <v>8.5645106859397107</v>
      </c>
      <c r="L3" s="67">
        <v>13.392159413857671</v>
      </c>
      <c r="M3" s="45"/>
      <c r="N3" s="45"/>
      <c r="O3" s="45"/>
      <c r="P3" s="45"/>
      <c r="Q3" s="45"/>
      <c r="R3" s="45"/>
      <c r="S3" s="45"/>
    </row>
    <row r="4" spans="1:21" customFormat="1" ht="14.4" x14ac:dyDescent="0.3">
      <c r="A4" s="32" t="s">
        <v>36</v>
      </c>
      <c r="B4" s="32" t="s">
        <v>4</v>
      </c>
      <c r="C4" s="32" t="s">
        <v>47</v>
      </c>
      <c r="D4" s="66" t="s">
        <v>138</v>
      </c>
      <c r="E4" s="34">
        <v>90</v>
      </c>
      <c r="F4" s="33">
        <v>4.2141342499999999</v>
      </c>
      <c r="G4" s="35">
        <v>8461</v>
      </c>
      <c r="H4" s="22"/>
      <c r="I4" s="36">
        <v>6.7277158260098835</v>
      </c>
      <c r="J4" s="36">
        <v>15.00941075232145</v>
      </c>
      <c r="K4" s="36">
        <v>7.4934370915736404</v>
      </c>
      <c r="L4" s="36">
        <v>12.966900625519973</v>
      </c>
      <c r="M4" s="23"/>
      <c r="N4" s="36">
        <v>14.882731349796623</v>
      </c>
      <c r="O4" s="36">
        <v>15.779417286356976</v>
      </c>
      <c r="P4" s="23"/>
      <c r="Q4" s="36">
        <v>0.64</v>
      </c>
      <c r="R4" s="36">
        <v>0.97</v>
      </c>
      <c r="S4" s="36" t="s">
        <v>108</v>
      </c>
      <c r="T4" s="58"/>
      <c r="U4" s="58"/>
    </row>
    <row r="5" spans="1:21" customFormat="1" ht="14.4" x14ac:dyDescent="0.3">
      <c r="A5" s="32" t="s">
        <v>104</v>
      </c>
      <c r="B5" s="32" t="s">
        <v>2</v>
      </c>
      <c r="C5" s="32" t="s">
        <v>48</v>
      </c>
      <c r="D5" s="66" t="s">
        <v>138</v>
      </c>
      <c r="E5" s="34">
        <v>97</v>
      </c>
      <c r="F5" s="33">
        <v>10.440377671</v>
      </c>
      <c r="G5" s="35">
        <v>12870</v>
      </c>
      <c r="H5" s="22"/>
      <c r="I5" s="36">
        <v>9.5719844357976758</v>
      </c>
      <c r="J5" s="36">
        <v>13.054893126481847</v>
      </c>
      <c r="K5" s="36">
        <v>8.8737117196427064</v>
      </c>
      <c r="L5" s="36">
        <v>14.049812059760548</v>
      </c>
      <c r="M5" s="23"/>
      <c r="N5" s="36">
        <v>14.798506784791662</v>
      </c>
      <c r="O5" s="36">
        <v>17.210799949673369</v>
      </c>
      <c r="P5" s="23"/>
      <c r="Q5" s="36">
        <v>0.65</v>
      </c>
      <c r="R5" s="36" t="s">
        <v>108</v>
      </c>
      <c r="S5" s="36">
        <v>0.95</v>
      </c>
      <c r="T5" s="58"/>
      <c r="U5" s="58"/>
    </row>
    <row r="6" spans="1:21" customFormat="1" ht="14.4" x14ac:dyDescent="0.3">
      <c r="A6" s="32" t="s">
        <v>103</v>
      </c>
      <c r="B6" s="32" t="s">
        <v>1</v>
      </c>
      <c r="C6" s="69" t="s">
        <v>49</v>
      </c>
      <c r="D6" s="66" t="s">
        <v>138</v>
      </c>
      <c r="E6" s="34">
        <v>98</v>
      </c>
      <c r="F6" s="33">
        <v>13.203209510000001</v>
      </c>
      <c r="G6" s="35">
        <v>14522</v>
      </c>
      <c r="H6" s="22"/>
      <c r="I6" s="36">
        <v>8.3762496213268811</v>
      </c>
      <c r="J6" s="36">
        <v>12.928623808998708</v>
      </c>
      <c r="K6" s="36">
        <v>8.6551766026979884</v>
      </c>
      <c r="L6" s="36">
        <v>14.348912360285171</v>
      </c>
      <c r="M6" s="23"/>
      <c r="N6" s="36">
        <v>15.851810787401163</v>
      </c>
      <c r="O6" s="36">
        <v>17.001606095381145</v>
      </c>
      <c r="P6" s="23"/>
      <c r="Q6" s="36">
        <v>0.65</v>
      </c>
      <c r="R6" s="36">
        <v>0.97</v>
      </c>
      <c r="S6" s="36" t="s">
        <v>108</v>
      </c>
      <c r="T6" s="58"/>
      <c r="U6" s="58"/>
    </row>
    <row r="7" spans="1:21" customFormat="1" ht="14.4" x14ac:dyDescent="0.3">
      <c r="A7" s="32" t="s">
        <v>105</v>
      </c>
      <c r="B7" s="32" t="s">
        <v>3</v>
      </c>
      <c r="C7" s="32" t="s">
        <v>119</v>
      </c>
      <c r="D7" s="66" t="s">
        <v>138</v>
      </c>
      <c r="E7" s="34">
        <v>93</v>
      </c>
      <c r="F7" s="33">
        <v>31.071159089999998</v>
      </c>
      <c r="G7" s="35">
        <v>36269</v>
      </c>
      <c r="H7" s="22"/>
      <c r="I7" s="36">
        <v>7.4411905904944842</v>
      </c>
      <c r="J7" s="36">
        <v>11.063537287068925</v>
      </c>
      <c r="K7" s="36">
        <v>8.6385310460225675</v>
      </c>
      <c r="L7" s="36">
        <v>13.330525986978925</v>
      </c>
      <c r="M7" s="23"/>
      <c r="N7" s="36">
        <v>14.314343046887579</v>
      </c>
      <c r="O7" s="36">
        <v>15.280352879483541</v>
      </c>
      <c r="P7" s="23"/>
      <c r="Q7" s="36">
        <v>0.65</v>
      </c>
      <c r="R7" s="36">
        <v>0.87160000000000004</v>
      </c>
      <c r="S7" s="36" t="s">
        <v>108</v>
      </c>
      <c r="T7" s="58"/>
      <c r="U7" s="58"/>
    </row>
    <row r="8" spans="1:21" customFormat="1" ht="14.4" x14ac:dyDescent="0.3">
      <c r="A8" s="32" t="s">
        <v>37</v>
      </c>
      <c r="B8" s="32" t="s">
        <v>5</v>
      </c>
      <c r="C8" s="32" t="s">
        <v>50</v>
      </c>
      <c r="D8" s="66" t="s">
        <v>138</v>
      </c>
      <c r="E8" s="34">
        <v>90</v>
      </c>
      <c r="F8" s="33">
        <v>10.30351591</v>
      </c>
      <c r="G8" s="35">
        <v>14729</v>
      </c>
      <c r="H8" s="22"/>
      <c r="I8" s="36">
        <v>6.434400502197124</v>
      </c>
      <c r="J8" s="36">
        <v>11.881786477697641</v>
      </c>
      <c r="K8" s="36">
        <v>8.3498745221718629</v>
      </c>
      <c r="L8" s="36">
        <v>11.859553252851441</v>
      </c>
      <c r="M8" s="23"/>
      <c r="N8" s="36">
        <v>16.146221508978908</v>
      </c>
      <c r="O8" s="36">
        <v>17.29645805970074</v>
      </c>
      <c r="P8" s="23"/>
      <c r="Q8" s="36">
        <v>0.65</v>
      </c>
      <c r="R8" s="36">
        <v>1.21</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4</v>
      </c>
      <c r="B34" s="33">
        <v>14.882731349796623</v>
      </c>
      <c r="C34" s="33">
        <v>15.00941075232145</v>
      </c>
    </row>
    <row r="35" spans="1:3" x14ac:dyDescent="0.3">
      <c r="A35" s="32" t="s">
        <v>2</v>
      </c>
      <c r="B35" s="33">
        <v>14.798506784791662</v>
      </c>
      <c r="C35" s="33">
        <v>13.054893126481847</v>
      </c>
    </row>
    <row r="36" spans="1:3" x14ac:dyDescent="0.3">
      <c r="A36" s="32" t="s">
        <v>1</v>
      </c>
      <c r="B36" s="33">
        <v>15.851810787401163</v>
      </c>
      <c r="C36" s="33">
        <v>12.928623808998708</v>
      </c>
    </row>
    <row r="37" spans="1:3" x14ac:dyDescent="0.3">
      <c r="A37" s="32" t="s">
        <v>3</v>
      </c>
      <c r="B37" s="33">
        <v>14.314343046887579</v>
      </c>
      <c r="C37" s="33">
        <v>11.063537287068925</v>
      </c>
    </row>
    <row r="38" spans="1:3" x14ac:dyDescent="0.3">
      <c r="A38" s="32" t="s">
        <v>5</v>
      </c>
      <c r="B38" s="33">
        <v>16.146221508978908</v>
      </c>
      <c r="C38" s="33">
        <v>11.881786477697641</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4</v>
      </c>
      <c r="B64" s="33">
        <v>8.4610000000000003</v>
      </c>
      <c r="C64" s="33">
        <v>15.00941075232145</v>
      </c>
      <c r="D64" s="33">
        <v>4.2141342499999999</v>
      </c>
    </row>
    <row r="65" spans="1:4" x14ac:dyDescent="0.3">
      <c r="A65" s="32" t="s">
        <v>2</v>
      </c>
      <c r="B65" s="33">
        <v>12.87</v>
      </c>
      <c r="C65" s="33">
        <v>13.054893126481847</v>
      </c>
      <c r="D65" s="33">
        <v>10.440377671</v>
      </c>
    </row>
    <row r="66" spans="1:4" x14ac:dyDescent="0.3">
      <c r="A66" s="32" t="s">
        <v>1</v>
      </c>
      <c r="B66" s="33">
        <v>14.522</v>
      </c>
      <c r="C66" s="33">
        <v>12.928623808998708</v>
      </c>
      <c r="D66" s="33">
        <v>13.203209510000001</v>
      </c>
    </row>
    <row r="67" spans="1:4" x14ac:dyDescent="0.3">
      <c r="A67" s="32" t="s">
        <v>3</v>
      </c>
      <c r="B67" s="33">
        <v>36.268999999999998</v>
      </c>
      <c r="C67" s="33">
        <v>11.063537287068925</v>
      </c>
      <c r="D67" s="33">
        <v>31.071159089999998</v>
      </c>
    </row>
    <row r="68" spans="1:4" x14ac:dyDescent="0.3">
      <c r="A68" s="32" t="s">
        <v>5</v>
      </c>
      <c r="B68" s="33">
        <v>14.728999999999999</v>
      </c>
      <c r="C68" s="33">
        <v>11.881786477697641</v>
      </c>
      <c r="D68" s="33">
        <v>10.30351591</v>
      </c>
    </row>
  </sheetData>
  <mergeCells count="7">
    <mergeCell ref="Q1:S1"/>
    <mergeCell ref="N1:O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0!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8"/>
  <sheetViews>
    <sheetView showGridLines="0" zoomScale="55" zoomScaleNormal="55" workbookViewId="0">
      <selection activeCell="C1" sqref="C1"/>
    </sheetView>
  </sheetViews>
  <sheetFormatPr defaultRowHeight="15.6" x14ac:dyDescent="0.3"/>
  <cols>
    <col min="1" max="1" width="45.6640625" style="16" customWidth="1"/>
    <col min="2" max="2" width="14.88671875" style="16" bestFit="1" customWidth="1"/>
    <col min="3" max="3" width="78.109375" style="16" customWidth="1"/>
    <col min="4" max="4" width="13.109375" style="16" customWidth="1"/>
    <col min="5" max="5" width="16.109375" style="16" bestFit="1" customWidth="1"/>
    <col min="6" max="6" width="19.33203125" style="16" customWidth="1"/>
    <col min="7" max="7" width="13.6640625" style="16" customWidth="1"/>
    <col min="8" max="8" width="1.6640625" style="16" customWidth="1"/>
    <col min="9" max="9" width="16.88671875" style="16" customWidth="1"/>
    <col min="10" max="10" width="15.6640625" style="16" customWidth="1"/>
    <col min="11" max="11" width="13.77734375" style="16" customWidth="1"/>
    <col min="12" max="12" width="15.77734375" style="16" customWidth="1"/>
    <col min="13" max="13" width="1.6640625" style="16" customWidth="1"/>
    <col min="14" max="14" width="19.33203125" style="16" customWidth="1"/>
    <col min="15" max="15" width="15.6640625" style="16" customWidth="1"/>
    <col min="16" max="16" width="1.6640625" style="16" customWidth="1"/>
    <col min="17" max="17" width="9.109375" style="16" customWidth="1"/>
    <col min="18" max="18" width="12.6640625" style="16" customWidth="1"/>
    <col min="19" max="19" width="13"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51</v>
      </c>
      <c r="B3" s="97">
        <v>0</v>
      </c>
      <c r="C3" s="97">
        <v>0</v>
      </c>
      <c r="D3" s="44"/>
      <c r="E3" s="44"/>
      <c r="F3" s="45"/>
      <c r="G3" s="70" t="s">
        <v>115</v>
      </c>
      <c r="H3" s="45"/>
      <c r="I3" s="67">
        <v>7.8970414209845261</v>
      </c>
      <c r="J3" s="67">
        <v>12.542210787869243</v>
      </c>
      <c r="K3" s="67">
        <v>8.5568936020230772</v>
      </c>
      <c r="L3" s="67">
        <v>13.435534589343282</v>
      </c>
      <c r="M3" s="45"/>
      <c r="N3" s="45"/>
      <c r="O3" s="45"/>
      <c r="P3" s="45"/>
      <c r="Q3" s="45"/>
      <c r="R3" s="45"/>
      <c r="S3" s="45"/>
    </row>
    <row r="4" spans="1:21" customFormat="1" ht="14.4" x14ac:dyDescent="0.3">
      <c r="A4" s="32" t="s">
        <v>36</v>
      </c>
      <c r="B4" s="32" t="s">
        <v>9</v>
      </c>
      <c r="C4" s="32" t="s">
        <v>52</v>
      </c>
      <c r="D4" s="66" t="s">
        <v>138</v>
      </c>
      <c r="E4" s="34">
        <v>90</v>
      </c>
      <c r="F4" s="33">
        <v>31.26952047</v>
      </c>
      <c r="G4" s="35">
        <v>18068</v>
      </c>
      <c r="H4" s="22"/>
      <c r="I4" s="36">
        <v>6.6201573400623603</v>
      </c>
      <c r="J4" s="36">
        <v>14.661457915738541</v>
      </c>
      <c r="K4" s="36">
        <v>7.4934370915736404</v>
      </c>
      <c r="L4" s="36">
        <v>12.966900625519973</v>
      </c>
      <c r="M4" s="22"/>
      <c r="N4" s="36">
        <v>14.840011182172011</v>
      </c>
      <c r="O4" s="36">
        <v>15.779406956551922</v>
      </c>
      <c r="P4" s="23"/>
      <c r="Q4" s="36">
        <v>0.64</v>
      </c>
      <c r="R4" s="36">
        <v>1.18</v>
      </c>
      <c r="S4" s="36" t="s">
        <v>108</v>
      </c>
      <c r="T4" s="58"/>
      <c r="U4" s="58"/>
    </row>
    <row r="5" spans="1:21" customFormat="1" ht="14.4" x14ac:dyDescent="0.3">
      <c r="A5" s="32" t="s">
        <v>104</v>
      </c>
      <c r="B5" s="32" t="s">
        <v>7</v>
      </c>
      <c r="C5" s="32" t="s">
        <v>53</v>
      </c>
      <c r="D5" s="66" t="s">
        <v>138</v>
      </c>
      <c r="E5" s="34">
        <v>97</v>
      </c>
      <c r="F5" s="33">
        <v>68.817419537100008</v>
      </c>
      <c r="G5" s="35">
        <v>33112</v>
      </c>
      <c r="H5" s="22"/>
      <c r="I5" s="36">
        <v>9.4889373636646965</v>
      </c>
      <c r="J5" s="36">
        <v>12.853181202286956</v>
      </c>
      <c r="K5" s="36">
        <v>8.8737117196427064</v>
      </c>
      <c r="L5" s="36">
        <v>14.049812059760548</v>
      </c>
      <c r="M5" s="22"/>
      <c r="N5" s="36">
        <v>15.031001670018487</v>
      </c>
      <c r="O5" s="36">
        <v>17.210799949673369</v>
      </c>
      <c r="P5" s="23"/>
      <c r="Q5" s="36">
        <v>0.65</v>
      </c>
      <c r="R5" s="36" t="s">
        <v>108</v>
      </c>
      <c r="S5" s="36">
        <v>0.93</v>
      </c>
      <c r="T5" s="58"/>
      <c r="U5" s="58"/>
    </row>
    <row r="6" spans="1:21" customFormat="1" ht="14.4" x14ac:dyDescent="0.3">
      <c r="A6" s="32" t="s">
        <v>103</v>
      </c>
      <c r="B6" s="32" t="s">
        <v>6</v>
      </c>
      <c r="C6" s="32" t="s">
        <v>54</v>
      </c>
      <c r="D6" s="66" t="s">
        <v>138</v>
      </c>
      <c r="E6" s="34">
        <v>98</v>
      </c>
      <c r="F6" s="33">
        <v>83.473448569999988</v>
      </c>
      <c r="G6" s="35">
        <v>41040</v>
      </c>
      <c r="H6" s="22"/>
      <c r="I6" s="36">
        <v>8.5327862624420483</v>
      </c>
      <c r="J6" s="36">
        <v>13.138985968897732</v>
      </c>
      <c r="K6" s="36">
        <v>8.6551766026979884</v>
      </c>
      <c r="L6" s="36">
        <v>14.348912360285171</v>
      </c>
      <c r="M6" s="22"/>
      <c r="N6" s="36">
        <v>15.829201986300617</v>
      </c>
      <c r="O6" s="36">
        <v>17.001606095381145</v>
      </c>
      <c r="P6" s="23"/>
      <c r="Q6" s="36">
        <v>0.65</v>
      </c>
      <c r="R6" s="36">
        <v>0.96</v>
      </c>
      <c r="S6" s="36" t="s">
        <v>108</v>
      </c>
      <c r="T6" s="58"/>
      <c r="U6" s="58"/>
    </row>
    <row r="7" spans="1:21" customFormat="1" ht="14.4" x14ac:dyDescent="0.3">
      <c r="A7" s="32" t="s">
        <v>105</v>
      </c>
      <c r="B7" s="32" t="s">
        <v>8</v>
      </c>
      <c r="C7" s="32" t="s">
        <v>120</v>
      </c>
      <c r="D7" s="66" t="s">
        <v>138</v>
      </c>
      <c r="E7" s="34">
        <v>93</v>
      </c>
      <c r="F7" s="33">
        <v>176.98937239</v>
      </c>
      <c r="G7" s="35">
        <v>89670</v>
      </c>
      <c r="H7" s="22"/>
      <c r="I7" s="36">
        <v>7.6408787010506352</v>
      </c>
      <c r="J7" s="36">
        <v>11.887196734537152</v>
      </c>
      <c r="K7" s="36">
        <v>8.6385310460225675</v>
      </c>
      <c r="L7" s="36">
        <v>13.330525986978925</v>
      </c>
      <c r="M7" s="22"/>
      <c r="N7" s="36">
        <v>14.304180086794005</v>
      </c>
      <c r="O7" s="36">
        <v>15.280352879483541</v>
      </c>
      <c r="P7" s="23"/>
      <c r="Q7" s="36">
        <v>0.65</v>
      </c>
      <c r="R7" s="36">
        <v>0.87909999999999999</v>
      </c>
      <c r="S7" s="36" t="s">
        <v>108</v>
      </c>
      <c r="T7" s="58"/>
      <c r="U7" s="58"/>
    </row>
    <row r="8" spans="1:21" customFormat="1" ht="14.4" x14ac:dyDescent="0.3">
      <c r="A8" s="32" t="s">
        <v>37</v>
      </c>
      <c r="B8" s="32" t="s">
        <v>10</v>
      </c>
      <c r="C8" s="32" t="s">
        <v>55</v>
      </c>
      <c r="D8" s="66" t="s">
        <v>138</v>
      </c>
      <c r="E8" s="34">
        <v>90</v>
      </c>
      <c r="F8" s="33">
        <v>54.110042329999999</v>
      </c>
      <c r="G8" s="35">
        <v>31688</v>
      </c>
      <c r="H8" s="22"/>
      <c r="I8" s="36">
        <v>6.4675035754012455</v>
      </c>
      <c r="J8" s="36">
        <v>12.143904333724876</v>
      </c>
      <c r="K8" s="36">
        <v>8.3498745221718629</v>
      </c>
      <c r="L8" s="36">
        <v>11.859553252851441</v>
      </c>
      <c r="M8" s="22"/>
      <c r="N8" s="36">
        <v>16.176635879028865</v>
      </c>
      <c r="O8" s="36">
        <v>17.29645805970074</v>
      </c>
      <c r="P8" s="23"/>
      <c r="Q8" s="36">
        <v>0.65</v>
      </c>
      <c r="R8" s="36">
        <v>1.25</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9</v>
      </c>
      <c r="B34" s="33">
        <v>14.840011182172011</v>
      </c>
      <c r="C34" s="33">
        <v>14.661457915738541</v>
      </c>
    </row>
    <row r="35" spans="1:3" x14ac:dyDescent="0.3">
      <c r="A35" s="32" t="s">
        <v>7</v>
      </c>
      <c r="B35" s="33">
        <v>15.031001670018487</v>
      </c>
      <c r="C35" s="33">
        <v>12.853181202286956</v>
      </c>
    </row>
    <row r="36" spans="1:3" x14ac:dyDescent="0.3">
      <c r="A36" s="32" t="s">
        <v>6</v>
      </c>
      <c r="B36" s="33">
        <v>15.829201986300617</v>
      </c>
      <c r="C36" s="33">
        <v>13.138985968897732</v>
      </c>
    </row>
    <row r="37" spans="1:3" x14ac:dyDescent="0.3">
      <c r="A37" s="32" t="s">
        <v>8</v>
      </c>
      <c r="B37" s="33">
        <v>14.304180086794005</v>
      </c>
      <c r="C37" s="33">
        <v>11.887196734537152</v>
      </c>
    </row>
    <row r="38" spans="1:3" x14ac:dyDescent="0.3">
      <c r="A38" s="32" t="s">
        <v>10</v>
      </c>
      <c r="B38" s="33">
        <v>16.176635879028865</v>
      </c>
      <c r="C38" s="33">
        <v>12.143904333724876</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9</v>
      </c>
      <c r="B64" s="33">
        <v>18.068000000000001</v>
      </c>
      <c r="C64" s="33">
        <v>14.661457915738541</v>
      </c>
      <c r="D64" s="33">
        <v>31.26952047</v>
      </c>
    </row>
    <row r="65" spans="1:4" x14ac:dyDescent="0.3">
      <c r="A65" s="32" t="s">
        <v>7</v>
      </c>
      <c r="B65" s="33">
        <v>33.112000000000002</v>
      </c>
      <c r="C65" s="33">
        <v>12.853181202286956</v>
      </c>
      <c r="D65" s="33">
        <v>68.817419537100008</v>
      </c>
    </row>
    <row r="66" spans="1:4" x14ac:dyDescent="0.3">
      <c r="A66" s="32" t="s">
        <v>6</v>
      </c>
      <c r="B66" s="33">
        <v>41.04</v>
      </c>
      <c r="C66" s="33">
        <v>13.138985968897732</v>
      </c>
      <c r="D66" s="33">
        <v>83.473448569999988</v>
      </c>
    </row>
    <row r="67" spans="1:4" x14ac:dyDescent="0.3">
      <c r="A67" s="32" t="s">
        <v>8</v>
      </c>
      <c r="B67" s="33">
        <v>89.67</v>
      </c>
      <c r="C67" s="33">
        <v>11.887196734537152</v>
      </c>
      <c r="D67" s="33">
        <v>176.98937239</v>
      </c>
    </row>
    <row r="68" spans="1:4" x14ac:dyDescent="0.3">
      <c r="A68" s="32" t="s">
        <v>10</v>
      </c>
      <c r="B68" s="33">
        <v>31.687999999999999</v>
      </c>
      <c r="C68" s="33">
        <v>12.143904333724876</v>
      </c>
      <c r="D68" s="33">
        <v>54.110042329999999</v>
      </c>
    </row>
  </sheetData>
  <mergeCells count="7">
    <mergeCell ref="Q1:S1"/>
    <mergeCell ref="N1:O1"/>
    <mergeCell ref="A3:C3"/>
    <mergeCell ref="D1:D2"/>
    <mergeCell ref="F1:F2"/>
    <mergeCell ref="G1:G2"/>
    <mergeCell ref="I1:L1"/>
  </mergeCells>
  <conditionalFormatting sqref="N4:O8">
    <cfRule type="cellIs" dxfId="69" priority="11" operator="greaterThanOrEqual">
      <formula>0</formula>
    </cfRule>
    <cfRule type="cellIs" dxfId="68" priority="12" operator="lessThan">
      <formula>0</formula>
    </cfRule>
  </conditionalFormatting>
  <conditionalFormatting sqref="I4:I8">
    <cfRule type="cellIs" dxfId="67" priority="9" operator="greaterThanOrEqual">
      <formula>0</formula>
    </cfRule>
    <cfRule type="cellIs" dxfId="66" priority="10" operator="lessThan">
      <formula>0</formula>
    </cfRule>
  </conditionalFormatting>
  <conditionalFormatting sqref="J4:L8">
    <cfRule type="cellIs" dxfId="65" priority="7" operator="greaterThanOrEqual">
      <formula>0</formula>
    </cfRule>
    <cfRule type="cellIs" dxfId="64" priority="8"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0!A1" display="Grįžti į pagrindinį puslapį"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8"/>
  <sheetViews>
    <sheetView showGridLines="0" zoomScale="55" zoomScaleNormal="55" workbookViewId="0">
      <selection activeCell="C1" sqref="C1"/>
    </sheetView>
  </sheetViews>
  <sheetFormatPr defaultRowHeight="15.6" x14ac:dyDescent="0.3"/>
  <cols>
    <col min="1" max="1" width="39.33203125" style="16" customWidth="1"/>
    <col min="2" max="2" width="14.88671875" style="16" bestFit="1" customWidth="1"/>
    <col min="3" max="3" width="68.5546875" style="16" customWidth="1"/>
    <col min="4" max="4" width="13.77734375" style="16" customWidth="1"/>
    <col min="5" max="5" width="16.109375" style="16" bestFit="1" customWidth="1"/>
    <col min="6" max="6" width="19.33203125" style="16" customWidth="1"/>
    <col min="7" max="7" width="15.109375" style="16" customWidth="1"/>
    <col min="8" max="8" width="1.44140625" style="16" customWidth="1"/>
    <col min="9" max="9" width="16" style="16" customWidth="1"/>
    <col min="10" max="10" width="18.33203125" style="16" customWidth="1"/>
    <col min="11" max="11" width="17.44140625" style="16" customWidth="1"/>
    <col min="12" max="12" width="16.88671875" style="16" customWidth="1"/>
    <col min="13" max="13" width="1.44140625" style="16" customWidth="1"/>
    <col min="14" max="14" width="19.6640625" style="16" customWidth="1"/>
    <col min="15" max="15" width="22.21875" style="16" customWidth="1"/>
    <col min="16" max="16" width="1.44140625" style="16" customWidth="1"/>
    <col min="17" max="18" width="8.88671875" style="16"/>
    <col min="19" max="19" width="14.554687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56</v>
      </c>
      <c r="B3" s="97"/>
      <c r="C3" s="97"/>
      <c r="D3" s="44"/>
      <c r="E3" s="44"/>
      <c r="F3" s="45"/>
      <c r="G3" s="70" t="s">
        <v>115</v>
      </c>
      <c r="H3" s="45"/>
      <c r="I3" s="67">
        <v>8.0395342897848359</v>
      </c>
      <c r="J3" s="67">
        <v>12.782141629772617</v>
      </c>
      <c r="K3" s="67">
        <v>8.5467812643517131</v>
      </c>
      <c r="L3" s="67">
        <v>13.506637811976111</v>
      </c>
      <c r="M3" s="45"/>
      <c r="N3" s="45"/>
      <c r="O3" s="45"/>
      <c r="P3" s="45"/>
      <c r="Q3" s="45"/>
      <c r="R3" s="45"/>
      <c r="S3" s="45"/>
    </row>
    <row r="4" spans="1:21" customFormat="1" ht="14.4" x14ac:dyDescent="0.3">
      <c r="A4" s="32" t="s">
        <v>36</v>
      </c>
      <c r="B4" s="32" t="s">
        <v>14</v>
      </c>
      <c r="C4" s="32" t="s">
        <v>57</v>
      </c>
      <c r="D4" s="66" t="s">
        <v>138</v>
      </c>
      <c r="E4" s="34">
        <v>90</v>
      </c>
      <c r="F4" s="33">
        <v>73.169948969999993</v>
      </c>
      <c r="G4" s="35">
        <v>26227</v>
      </c>
      <c r="H4" s="22"/>
      <c r="I4" s="36">
        <v>6.5449921460094318</v>
      </c>
      <c r="J4" s="36">
        <v>14.409377262474464</v>
      </c>
      <c r="K4" s="36">
        <v>7.4934370915736404</v>
      </c>
      <c r="L4" s="36">
        <v>12.966900625519973</v>
      </c>
      <c r="M4" s="22"/>
      <c r="N4" s="36">
        <v>14.771001173587695</v>
      </c>
      <c r="O4" s="36">
        <v>15.779406956551922</v>
      </c>
      <c r="P4" s="23"/>
      <c r="Q4" s="36">
        <v>0.64</v>
      </c>
      <c r="R4" s="36">
        <v>1.34</v>
      </c>
      <c r="S4" s="36" t="s">
        <v>108</v>
      </c>
      <c r="T4" s="58"/>
      <c r="U4" s="58"/>
    </row>
    <row r="5" spans="1:21" customFormat="1" ht="14.4" x14ac:dyDescent="0.3">
      <c r="A5" s="32" t="s">
        <v>104</v>
      </c>
      <c r="B5" s="32" t="s">
        <v>12</v>
      </c>
      <c r="C5" s="32" t="s">
        <v>58</v>
      </c>
      <c r="D5" s="66" t="s">
        <v>138</v>
      </c>
      <c r="E5" s="34">
        <v>97</v>
      </c>
      <c r="F5" s="33">
        <v>145.07852472089999</v>
      </c>
      <c r="G5" s="35">
        <v>42264</v>
      </c>
      <c r="H5" s="22"/>
      <c r="I5" s="36">
        <v>9.473190558074096</v>
      </c>
      <c r="J5" s="36">
        <v>12.824003020403163</v>
      </c>
      <c r="K5" s="36">
        <v>8.8737117196427064</v>
      </c>
      <c r="L5" s="36">
        <v>14.049812059760548</v>
      </c>
      <c r="M5" s="22"/>
      <c r="N5" s="36">
        <v>14.966685216670827</v>
      </c>
      <c r="O5" s="36">
        <v>17.210799949673369</v>
      </c>
      <c r="P5" s="23"/>
      <c r="Q5" s="36">
        <v>0.65</v>
      </c>
      <c r="R5" s="36" t="s">
        <v>108</v>
      </c>
      <c r="S5" s="36">
        <v>0.94</v>
      </c>
      <c r="T5" s="58"/>
      <c r="U5" s="58"/>
    </row>
    <row r="6" spans="1:21" customFormat="1" ht="14.4" x14ac:dyDescent="0.3">
      <c r="A6" s="32" t="s">
        <v>103</v>
      </c>
      <c r="B6" s="32" t="s">
        <v>11</v>
      </c>
      <c r="C6" s="32" t="s">
        <v>59</v>
      </c>
      <c r="D6" s="66" t="s">
        <v>138</v>
      </c>
      <c r="E6" s="34">
        <v>98</v>
      </c>
      <c r="F6" s="33">
        <v>224.77330047000001</v>
      </c>
      <c r="G6" s="35">
        <v>70703</v>
      </c>
      <c r="H6" s="22"/>
      <c r="I6" s="36">
        <v>8.5861650485436805</v>
      </c>
      <c r="J6" s="36">
        <v>13.306268429549428</v>
      </c>
      <c r="K6" s="36">
        <v>8.6551766026979884</v>
      </c>
      <c r="L6" s="36">
        <v>14.348912360285171</v>
      </c>
      <c r="M6" s="22"/>
      <c r="N6" s="36">
        <v>15.788341343169312</v>
      </c>
      <c r="O6" s="36">
        <v>17.001606095381145</v>
      </c>
      <c r="P6" s="23"/>
      <c r="Q6" s="36">
        <v>0.65</v>
      </c>
      <c r="R6" s="36">
        <v>0.95</v>
      </c>
      <c r="S6" s="36" t="s">
        <v>108</v>
      </c>
      <c r="T6" s="58"/>
      <c r="U6" s="58"/>
    </row>
    <row r="7" spans="1:21" customFormat="1" ht="14.4" x14ac:dyDescent="0.3">
      <c r="A7" s="32" t="s">
        <v>105</v>
      </c>
      <c r="B7" s="32" t="s">
        <v>13</v>
      </c>
      <c r="C7" s="32" t="s">
        <v>121</v>
      </c>
      <c r="D7" s="66" t="s">
        <v>138</v>
      </c>
      <c r="E7" s="34">
        <v>93</v>
      </c>
      <c r="F7" s="33">
        <v>289.09266639999998</v>
      </c>
      <c r="G7" s="35">
        <v>106742</v>
      </c>
      <c r="H7" s="22"/>
      <c r="I7" s="36">
        <v>7.9215000794533807</v>
      </c>
      <c r="J7" s="36">
        <v>12.151756486502197</v>
      </c>
      <c r="K7" s="36">
        <v>8.6385310460225675</v>
      </c>
      <c r="L7" s="36">
        <v>13.330525986978925</v>
      </c>
      <c r="M7" s="22"/>
      <c r="N7" s="36">
        <v>14.275903625896772</v>
      </c>
      <c r="O7" s="36">
        <v>15.280352879483541</v>
      </c>
      <c r="P7" s="23"/>
      <c r="Q7" s="36">
        <v>0.65</v>
      </c>
      <c r="R7" s="36">
        <v>0.87760000000000005</v>
      </c>
      <c r="S7" s="36" t="s">
        <v>108</v>
      </c>
      <c r="T7" s="58"/>
      <c r="U7" s="58"/>
    </row>
    <row r="8" spans="1:21" customFormat="1" ht="14.4" x14ac:dyDescent="0.3">
      <c r="A8" s="32" t="s">
        <v>37</v>
      </c>
      <c r="B8" s="32" t="s">
        <v>15</v>
      </c>
      <c r="C8" s="32" t="s">
        <v>60</v>
      </c>
      <c r="D8" s="66" t="s">
        <v>138</v>
      </c>
      <c r="E8" s="34">
        <v>90</v>
      </c>
      <c r="F8" s="33">
        <v>107.89887393000001</v>
      </c>
      <c r="G8" s="35">
        <v>44707</v>
      </c>
      <c r="H8" s="22"/>
      <c r="I8" s="36">
        <v>6.302886516409667</v>
      </c>
      <c r="J8" s="36">
        <v>12.219504379587697</v>
      </c>
      <c r="K8" s="36">
        <v>8.3498745221718629</v>
      </c>
      <c r="L8" s="36">
        <v>11.859553252851441</v>
      </c>
      <c r="M8" s="22"/>
      <c r="N8" s="36">
        <v>16.118823824703206</v>
      </c>
      <c r="O8" s="36">
        <v>17.29645805970074</v>
      </c>
      <c r="P8" s="23"/>
      <c r="Q8" s="36">
        <v>0.65</v>
      </c>
      <c r="R8" s="36">
        <v>1.29</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14</v>
      </c>
      <c r="B34" s="33">
        <v>14.771001173587695</v>
      </c>
      <c r="C34" s="33">
        <v>14.409377262474464</v>
      </c>
    </row>
    <row r="35" spans="1:3" x14ac:dyDescent="0.3">
      <c r="A35" s="32" t="s">
        <v>12</v>
      </c>
      <c r="B35" s="33">
        <v>14.966685216670827</v>
      </c>
      <c r="C35" s="33">
        <v>12.824003020403163</v>
      </c>
    </row>
    <row r="36" spans="1:3" x14ac:dyDescent="0.3">
      <c r="A36" s="32" t="s">
        <v>11</v>
      </c>
      <c r="B36" s="33">
        <v>15.788341343169312</v>
      </c>
      <c r="C36" s="33">
        <v>13.306268429549428</v>
      </c>
    </row>
    <row r="37" spans="1:3" x14ac:dyDescent="0.3">
      <c r="A37" s="32" t="s">
        <v>13</v>
      </c>
      <c r="B37" s="33">
        <v>14.275903625896772</v>
      </c>
      <c r="C37" s="33">
        <v>12.151756486502197</v>
      </c>
    </row>
    <row r="38" spans="1:3" x14ac:dyDescent="0.3">
      <c r="A38" s="32" t="s">
        <v>15</v>
      </c>
      <c r="B38" s="33">
        <v>16.118823824703206</v>
      </c>
      <c r="C38" s="33">
        <v>12.219504379587697</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14</v>
      </c>
      <c r="B64" s="33">
        <v>26.227</v>
      </c>
      <c r="C64" s="33">
        <v>14.409377262474464</v>
      </c>
      <c r="D64" s="33">
        <v>73.169948969999993</v>
      </c>
    </row>
    <row r="65" spans="1:4" x14ac:dyDescent="0.3">
      <c r="A65" s="32" t="s">
        <v>12</v>
      </c>
      <c r="B65" s="33">
        <v>42.264000000000003</v>
      </c>
      <c r="C65" s="33">
        <v>12.824003020403163</v>
      </c>
      <c r="D65" s="33">
        <v>145.07852472089999</v>
      </c>
    </row>
    <row r="66" spans="1:4" x14ac:dyDescent="0.3">
      <c r="A66" s="32" t="s">
        <v>11</v>
      </c>
      <c r="B66" s="33">
        <v>70.703000000000003</v>
      </c>
      <c r="C66" s="33">
        <v>13.306268429549428</v>
      </c>
      <c r="D66" s="33">
        <v>224.77330047000001</v>
      </c>
    </row>
    <row r="67" spans="1:4" x14ac:dyDescent="0.3">
      <c r="A67" s="32" t="s">
        <v>13</v>
      </c>
      <c r="B67" s="33">
        <v>106.742</v>
      </c>
      <c r="C67" s="33">
        <v>12.151756486502197</v>
      </c>
      <c r="D67" s="33">
        <v>289.09266639999998</v>
      </c>
    </row>
    <row r="68" spans="1:4" x14ac:dyDescent="0.3">
      <c r="A68" s="32" t="s">
        <v>15</v>
      </c>
      <c r="B68" s="33">
        <v>44.707000000000001</v>
      </c>
      <c r="C68" s="33">
        <v>12.219504379587697</v>
      </c>
      <c r="D68" s="33">
        <v>107.89887393000001</v>
      </c>
    </row>
  </sheetData>
  <mergeCells count="7">
    <mergeCell ref="Q1:S1"/>
    <mergeCell ref="N1:O1"/>
    <mergeCell ref="A3:C3"/>
    <mergeCell ref="D1:D2"/>
    <mergeCell ref="F1:F2"/>
    <mergeCell ref="G1:G2"/>
    <mergeCell ref="I1:L1"/>
  </mergeCells>
  <conditionalFormatting sqref="I4:I8">
    <cfRule type="cellIs" dxfId="59" priority="13" operator="greaterThanOrEqual">
      <formula>0</formula>
    </cfRule>
    <cfRule type="cellIs" dxfId="58" priority="14" operator="lessThan">
      <formula>0</formula>
    </cfRule>
  </conditionalFormatting>
  <conditionalFormatting sqref="J4:L8">
    <cfRule type="cellIs" dxfId="57" priority="11" operator="greaterThanOrEqual">
      <formula>0</formula>
    </cfRule>
    <cfRule type="cellIs" dxfId="56" priority="12"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0!A1" display="Grįžti į pagrindinį puslapį"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8"/>
  <sheetViews>
    <sheetView showGridLines="0" zoomScale="55" zoomScaleNormal="55" workbookViewId="0">
      <selection activeCell="C1" sqref="C1"/>
    </sheetView>
  </sheetViews>
  <sheetFormatPr defaultRowHeight="15.6" x14ac:dyDescent="0.3"/>
  <cols>
    <col min="1" max="1" width="42.88671875" style="16" customWidth="1"/>
    <col min="2" max="2" width="14.88671875" style="16" bestFit="1" customWidth="1"/>
    <col min="3" max="3" width="67.109375" style="16" customWidth="1"/>
    <col min="4" max="4" width="13.44140625" style="16" customWidth="1"/>
    <col min="5" max="5" width="15.109375" style="16" customWidth="1"/>
    <col min="6" max="6" width="13" style="16" customWidth="1"/>
    <col min="7" max="7" width="14.33203125" style="16" customWidth="1"/>
    <col min="8" max="8" width="1.109375" style="16" customWidth="1"/>
    <col min="9" max="9" width="18.44140625" style="16" customWidth="1"/>
    <col min="10" max="10" width="17.44140625" style="16" customWidth="1"/>
    <col min="11" max="11" width="18.44140625" style="16" customWidth="1"/>
    <col min="12" max="12" width="17.33203125" style="16" customWidth="1"/>
    <col min="13" max="13" width="1.109375" style="16" customWidth="1"/>
    <col min="14" max="14" width="18.44140625" style="16" customWidth="1"/>
    <col min="15" max="15" width="18.21875" style="16" customWidth="1"/>
    <col min="16" max="16" width="1.109375" style="16" customWidth="1"/>
    <col min="17" max="18" width="8.88671875" style="16"/>
    <col min="19" max="19" width="12.3320312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61</v>
      </c>
      <c r="B3" s="97"/>
      <c r="C3" s="97"/>
      <c r="D3" s="44"/>
      <c r="E3" s="44"/>
      <c r="F3" s="45"/>
      <c r="G3" s="70" t="s">
        <v>115</v>
      </c>
      <c r="H3" s="45"/>
      <c r="I3" s="67">
        <v>7.9997991296107536</v>
      </c>
      <c r="J3" s="67">
        <v>12.751806612168544</v>
      </c>
      <c r="K3" s="67">
        <v>8.5425085815809432</v>
      </c>
      <c r="L3" s="67">
        <v>13.501768121269615</v>
      </c>
      <c r="M3" s="45"/>
      <c r="N3" s="45"/>
      <c r="O3" s="45"/>
      <c r="P3" s="45"/>
      <c r="Q3" s="45"/>
      <c r="R3" s="45"/>
      <c r="S3" s="45"/>
    </row>
    <row r="4" spans="1:21" customFormat="1" ht="14.4" x14ac:dyDescent="0.3">
      <c r="A4" s="32" t="s">
        <v>36</v>
      </c>
      <c r="B4" s="32" t="s">
        <v>19</v>
      </c>
      <c r="C4" s="32" t="s">
        <v>62</v>
      </c>
      <c r="D4" s="66" t="s">
        <v>138</v>
      </c>
      <c r="E4" s="34">
        <v>90</v>
      </c>
      <c r="F4" s="33">
        <v>94.677720579999999</v>
      </c>
      <c r="G4" s="35">
        <v>21481</v>
      </c>
      <c r="H4" s="22"/>
      <c r="I4" s="36">
        <v>6.5846707664616755</v>
      </c>
      <c r="J4" s="36">
        <v>14.47557173363958</v>
      </c>
      <c r="K4" s="36">
        <v>7.4934370915736404</v>
      </c>
      <c r="L4" s="36">
        <v>12.966900625519973</v>
      </c>
      <c r="M4" s="23"/>
      <c r="N4" s="36">
        <v>14.745642504109108</v>
      </c>
      <c r="O4" s="36">
        <v>15.779406956551922</v>
      </c>
      <c r="P4" s="23"/>
      <c r="Q4" s="36">
        <v>0.64</v>
      </c>
      <c r="R4" s="36">
        <v>1.37</v>
      </c>
      <c r="S4" s="36" t="s">
        <v>108</v>
      </c>
      <c r="T4" s="58"/>
      <c r="U4" s="58"/>
    </row>
    <row r="5" spans="1:21" customFormat="1" ht="14.4" x14ac:dyDescent="0.3">
      <c r="A5" s="32" t="s">
        <v>104</v>
      </c>
      <c r="B5" s="32" t="s">
        <v>17</v>
      </c>
      <c r="C5" s="32" t="s">
        <v>63</v>
      </c>
      <c r="D5" s="66" t="s">
        <v>138</v>
      </c>
      <c r="E5" s="34">
        <v>97</v>
      </c>
      <c r="F5" s="33">
        <v>162.179002416</v>
      </c>
      <c r="G5" s="35">
        <v>27290</v>
      </c>
      <c r="H5" s="22"/>
      <c r="I5" s="36">
        <v>9.4537815126050528</v>
      </c>
      <c r="J5" s="36">
        <v>12.777686223586571</v>
      </c>
      <c r="K5" s="36">
        <v>8.8737117196427064</v>
      </c>
      <c r="L5" s="36">
        <v>14.049812059760548</v>
      </c>
      <c r="M5" s="23"/>
      <c r="N5" s="36">
        <v>14.964923531208715</v>
      </c>
      <c r="O5" s="36">
        <v>17.210799949673369</v>
      </c>
      <c r="P5" s="23"/>
      <c r="Q5" s="36">
        <v>0.65</v>
      </c>
      <c r="R5" s="36" t="s">
        <v>108</v>
      </c>
      <c r="S5" s="36">
        <v>0.95</v>
      </c>
      <c r="T5" s="58"/>
      <c r="U5" s="58"/>
    </row>
    <row r="6" spans="1:21" customFormat="1" ht="14.4" x14ac:dyDescent="0.3">
      <c r="A6" s="32" t="s">
        <v>103</v>
      </c>
      <c r="B6" s="32" t="s">
        <v>16</v>
      </c>
      <c r="C6" s="32" t="s">
        <v>64</v>
      </c>
      <c r="D6" s="66" t="s">
        <v>138</v>
      </c>
      <c r="E6" s="34">
        <v>98</v>
      </c>
      <c r="F6" s="33">
        <v>315.11329111999999</v>
      </c>
      <c r="G6" s="35">
        <v>61772</v>
      </c>
      <c r="H6" s="22"/>
      <c r="I6" s="36">
        <v>8.5629409580393556</v>
      </c>
      <c r="J6" s="36">
        <v>13.297479814024737</v>
      </c>
      <c r="K6" s="36">
        <v>8.6554907614341925</v>
      </c>
      <c r="L6" s="36">
        <v>14.349195857508823</v>
      </c>
      <c r="M6" s="23"/>
      <c r="N6" s="36">
        <v>15.785573828009397</v>
      </c>
      <c r="O6" s="36">
        <v>17.001707203376757</v>
      </c>
      <c r="P6" s="23"/>
      <c r="Q6" s="36">
        <v>0.65</v>
      </c>
      <c r="R6" s="36">
        <v>0.94</v>
      </c>
      <c r="S6" s="36" t="s">
        <v>108</v>
      </c>
      <c r="T6" s="58"/>
      <c r="U6" s="58"/>
    </row>
    <row r="7" spans="1:21" customFormat="1" ht="14.4" x14ac:dyDescent="0.3">
      <c r="A7" s="32" t="s">
        <v>105</v>
      </c>
      <c r="B7" s="32" t="s">
        <v>18</v>
      </c>
      <c r="C7" s="32" t="s">
        <v>122</v>
      </c>
      <c r="D7" s="66" t="s">
        <v>138</v>
      </c>
      <c r="E7" s="34">
        <v>93</v>
      </c>
      <c r="F7" s="33">
        <v>394.59956160000002</v>
      </c>
      <c r="G7" s="35">
        <v>97353</v>
      </c>
      <c r="H7" s="22"/>
      <c r="I7" s="36">
        <v>7.9337263023737448</v>
      </c>
      <c r="J7" s="36">
        <v>12.150526739360812</v>
      </c>
      <c r="K7" s="36">
        <v>8.6385310460225675</v>
      </c>
      <c r="L7" s="36">
        <v>13.330525986978925</v>
      </c>
      <c r="M7" s="23"/>
      <c r="N7" s="36">
        <v>14.353410270684586</v>
      </c>
      <c r="O7" s="36">
        <v>15.280352879483541</v>
      </c>
      <c r="P7" s="23"/>
      <c r="Q7" s="36">
        <v>0.65</v>
      </c>
      <c r="R7" s="36">
        <v>0.87960000000000005</v>
      </c>
      <c r="S7" s="36" t="s">
        <v>108</v>
      </c>
      <c r="T7" s="58"/>
      <c r="U7" s="58"/>
    </row>
    <row r="8" spans="1:21" customFormat="1" ht="14.4" x14ac:dyDescent="0.3">
      <c r="A8" s="32" t="s">
        <v>37</v>
      </c>
      <c r="B8" s="32" t="s">
        <v>20</v>
      </c>
      <c r="C8" s="32" t="s">
        <v>65</v>
      </c>
      <c r="D8" s="66" t="s">
        <v>138</v>
      </c>
      <c r="E8" s="34">
        <v>90</v>
      </c>
      <c r="F8" s="33">
        <v>144.74650079</v>
      </c>
      <c r="G8" s="35">
        <v>39849</v>
      </c>
      <c r="H8" s="22"/>
      <c r="I8" s="36">
        <v>6.2504963863076801</v>
      </c>
      <c r="J8" s="36">
        <v>12.046550279022107</v>
      </c>
      <c r="K8" s="36">
        <v>8.3498745221718629</v>
      </c>
      <c r="L8" s="36">
        <v>11.859553252851441</v>
      </c>
      <c r="M8" s="23"/>
      <c r="N8" s="36">
        <v>16.214899514491922</v>
      </c>
      <c r="O8" s="36">
        <v>17.29645805970074</v>
      </c>
      <c r="P8" s="23"/>
      <c r="Q8" s="36">
        <v>0.65</v>
      </c>
      <c r="R8" s="36">
        <v>1.31</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19</v>
      </c>
      <c r="B34" s="33">
        <v>14.745642504109108</v>
      </c>
      <c r="C34" s="33">
        <v>14.47557173363958</v>
      </c>
    </row>
    <row r="35" spans="1:3" x14ac:dyDescent="0.3">
      <c r="A35" s="32" t="s">
        <v>17</v>
      </c>
      <c r="B35" s="33">
        <v>14.964923531208715</v>
      </c>
      <c r="C35" s="33">
        <v>12.777686223586571</v>
      </c>
    </row>
    <row r="36" spans="1:3" x14ac:dyDescent="0.3">
      <c r="A36" s="32" t="s">
        <v>16</v>
      </c>
      <c r="B36" s="33">
        <v>15.785573828009397</v>
      </c>
      <c r="C36" s="33">
        <v>13.297479814024737</v>
      </c>
    </row>
    <row r="37" spans="1:3" x14ac:dyDescent="0.3">
      <c r="A37" s="32" t="s">
        <v>18</v>
      </c>
      <c r="B37" s="33">
        <v>14.353410270684586</v>
      </c>
      <c r="C37" s="33">
        <v>12.150526739360812</v>
      </c>
    </row>
    <row r="38" spans="1:3" x14ac:dyDescent="0.3">
      <c r="A38" s="32" t="s">
        <v>20</v>
      </c>
      <c r="B38" s="33">
        <v>16.214899514491922</v>
      </c>
      <c r="C38" s="33">
        <v>12.046550279022107</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17</v>
      </c>
      <c r="B64" s="33">
        <v>27.29</v>
      </c>
      <c r="C64" s="33">
        <v>12.777686223586571</v>
      </c>
      <c r="D64" s="33">
        <v>162.179002416</v>
      </c>
    </row>
    <row r="65" spans="1:4" x14ac:dyDescent="0.3">
      <c r="A65" s="32" t="s">
        <v>19</v>
      </c>
      <c r="B65" s="33">
        <v>21.481000000000002</v>
      </c>
      <c r="C65" s="33">
        <v>14.47557173363958</v>
      </c>
      <c r="D65" s="33">
        <v>94.677720579999999</v>
      </c>
    </row>
    <row r="66" spans="1:4" x14ac:dyDescent="0.3">
      <c r="A66" s="32" t="s">
        <v>16</v>
      </c>
      <c r="B66" s="33">
        <v>61.771999999999998</v>
      </c>
      <c r="C66" s="33">
        <v>13.297479814024737</v>
      </c>
      <c r="D66" s="33">
        <v>315.11329111999999</v>
      </c>
    </row>
    <row r="67" spans="1:4" x14ac:dyDescent="0.3">
      <c r="A67" s="32" t="s">
        <v>18</v>
      </c>
      <c r="B67" s="33">
        <v>97.352999999999994</v>
      </c>
      <c r="C67" s="33">
        <v>12.150526739360812</v>
      </c>
      <c r="D67" s="33">
        <v>394.59956160000002</v>
      </c>
    </row>
    <row r="68" spans="1:4" x14ac:dyDescent="0.3">
      <c r="A68" s="32" t="s">
        <v>20</v>
      </c>
      <c r="B68" s="33">
        <v>39.848999999999997</v>
      </c>
      <c r="C68" s="33">
        <v>12.046550279022107</v>
      </c>
      <c r="D68" s="33">
        <v>144.74650079</v>
      </c>
    </row>
  </sheetData>
  <mergeCells count="7">
    <mergeCell ref="Q1:S1"/>
    <mergeCell ref="N1:O1"/>
    <mergeCell ref="A3:C3"/>
    <mergeCell ref="D1:D2"/>
    <mergeCell ref="F1:F2"/>
    <mergeCell ref="G1:G2"/>
    <mergeCell ref="I1:L1"/>
  </mergeCells>
  <conditionalFormatting sqref="I4:I8">
    <cfRule type="cellIs" dxfId="49" priority="13" operator="greaterThanOrEqual">
      <formula>0</formula>
    </cfRule>
    <cfRule type="cellIs" dxfId="48" priority="14" operator="lessThan">
      <formula>0</formula>
    </cfRule>
  </conditionalFormatting>
  <conditionalFormatting sqref="J4:L8">
    <cfRule type="cellIs" dxfId="47" priority="11" operator="greaterThanOrEqual">
      <formula>0</formula>
    </cfRule>
    <cfRule type="cellIs" dxfId="46" priority="12"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0!A1" display="Grįžti į pagrindinį puslapį"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8"/>
  <sheetViews>
    <sheetView showGridLines="0" zoomScale="55" zoomScaleNormal="55" workbookViewId="0">
      <selection activeCell="C1" sqref="C1"/>
    </sheetView>
  </sheetViews>
  <sheetFormatPr defaultRowHeight="15.6" x14ac:dyDescent="0.3"/>
  <cols>
    <col min="1" max="1" width="41.21875" style="16" customWidth="1"/>
    <col min="2" max="2" width="14.88671875" style="16" bestFit="1" customWidth="1"/>
    <col min="3" max="3" width="68.33203125" style="16" customWidth="1"/>
    <col min="4" max="4" width="13.44140625" style="16" customWidth="1"/>
    <col min="5" max="5" width="17.5546875" style="16" customWidth="1"/>
    <col min="6" max="6" width="17" style="16" customWidth="1"/>
    <col min="7" max="7" width="13.33203125" style="16" customWidth="1"/>
    <col min="8" max="8" width="1.88671875" style="16" customWidth="1"/>
    <col min="9" max="9" width="16.77734375" style="16" customWidth="1"/>
    <col min="10" max="10" width="17" style="16" customWidth="1"/>
    <col min="11" max="11" width="18.77734375" style="16" customWidth="1"/>
    <col min="12" max="12" width="15.44140625" style="16" customWidth="1"/>
    <col min="13" max="13" width="1.88671875" style="16" customWidth="1"/>
    <col min="14" max="14" width="17.88671875" style="16" customWidth="1"/>
    <col min="15" max="15" width="16.33203125" style="16" customWidth="1"/>
    <col min="16" max="16" width="1.88671875" style="16" customWidth="1"/>
    <col min="17" max="17" width="8.88671875" style="16"/>
    <col min="18" max="18" width="10.6640625" style="16" customWidth="1"/>
    <col min="19" max="19" width="12.554687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66</v>
      </c>
      <c r="B3" s="97"/>
      <c r="C3" s="97"/>
      <c r="D3" s="44"/>
      <c r="E3" s="44"/>
      <c r="F3" s="45"/>
      <c r="G3" s="70" t="s">
        <v>115</v>
      </c>
      <c r="H3" s="45"/>
      <c r="I3" s="67">
        <v>6.8908349024022977</v>
      </c>
      <c r="J3" s="67">
        <v>11.785995849083495</v>
      </c>
      <c r="K3" s="67">
        <v>7.3079455558925259</v>
      </c>
      <c r="L3" s="67">
        <v>12.595936020536939</v>
      </c>
      <c r="M3" s="45"/>
      <c r="N3" s="45"/>
      <c r="O3" s="45"/>
      <c r="P3" s="45"/>
      <c r="Q3" s="45"/>
      <c r="R3" s="45"/>
      <c r="S3" s="45"/>
    </row>
    <row r="4" spans="1:21" customFormat="1" ht="14.4" x14ac:dyDescent="0.3">
      <c r="A4" s="32" t="s">
        <v>36</v>
      </c>
      <c r="B4" s="32" t="s">
        <v>24</v>
      </c>
      <c r="C4" s="32" t="s">
        <v>67</v>
      </c>
      <c r="D4" s="66" t="s">
        <v>138</v>
      </c>
      <c r="E4" s="34">
        <v>85</v>
      </c>
      <c r="F4" s="33">
        <v>96.557325939999998</v>
      </c>
      <c r="G4" s="35">
        <v>19961</v>
      </c>
      <c r="H4" s="22"/>
      <c r="I4" s="36">
        <v>6.2556053811659185</v>
      </c>
      <c r="J4" s="36">
        <v>14.232679624001875</v>
      </c>
      <c r="K4" s="36">
        <v>7.468121678756412</v>
      </c>
      <c r="L4" s="36">
        <v>12.953597617462531</v>
      </c>
      <c r="M4" s="23"/>
      <c r="N4" s="36">
        <v>14.765431223681198</v>
      </c>
      <c r="O4" s="36">
        <v>15.748117909020179</v>
      </c>
      <c r="P4" s="23"/>
      <c r="Q4" s="36">
        <v>0.64</v>
      </c>
      <c r="R4" s="36">
        <v>1.37</v>
      </c>
      <c r="S4" s="36" t="s">
        <v>108</v>
      </c>
      <c r="T4" s="58"/>
      <c r="U4" s="58"/>
    </row>
    <row r="5" spans="1:21" customFormat="1" ht="14.4" x14ac:dyDescent="0.3">
      <c r="A5" s="32" t="s">
        <v>104</v>
      </c>
      <c r="B5" s="32" t="s">
        <v>22</v>
      </c>
      <c r="C5" s="32" t="s">
        <v>68</v>
      </c>
      <c r="D5" s="66" t="s">
        <v>138</v>
      </c>
      <c r="E5" s="34">
        <v>80.36</v>
      </c>
      <c r="F5" s="33">
        <v>144.7402155199</v>
      </c>
      <c r="G5" s="35">
        <v>23063</v>
      </c>
      <c r="H5" s="22"/>
      <c r="I5" s="36">
        <v>7.5991189427312644</v>
      </c>
      <c r="J5" s="36">
        <v>11.313139799157291</v>
      </c>
      <c r="K5" s="36">
        <v>7.0854460292389954</v>
      </c>
      <c r="L5" s="36">
        <v>12.563350563764786</v>
      </c>
      <c r="M5" s="23"/>
      <c r="N5" s="36">
        <v>13.478039734376241</v>
      </c>
      <c r="O5" s="36">
        <v>15.64546168728268</v>
      </c>
      <c r="P5" s="23"/>
      <c r="Q5" s="36">
        <v>0.65</v>
      </c>
      <c r="R5" s="36" t="s">
        <v>108</v>
      </c>
      <c r="S5" s="36">
        <v>0.93</v>
      </c>
      <c r="T5" s="58"/>
      <c r="U5" s="58"/>
    </row>
    <row r="6" spans="1:21" customFormat="1" ht="14.4" x14ac:dyDescent="0.3">
      <c r="A6" s="32" t="s">
        <v>103</v>
      </c>
      <c r="B6" s="32" t="s">
        <v>21</v>
      </c>
      <c r="C6" s="32" t="s">
        <v>69</v>
      </c>
      <c r="D6" s="66" t="s">
        <v>138</v>
      </c>
      <c r="E6" s="34">
        <v>82.899999999999991</v>
      </c>
      <c r="F6" s="33">
        <v>294.89671062999997</v>
      </c>
      <c r="G6" s="35">
        <v>53124</v>
      </c>
      <c r="H6" s="22"/>
      <c r="I6" s="36">
        <v>7.1903415603270515</v>
      </c>
      <c r="J6" s="36">
        <v>12.18088918069553</v>
      </c>
      <c r="K6" s="36">
        <v>7.1879374498988957</v>
      </c>
      <c r="L6" s="36">
        <v>13.285553143996509</v>
      </c>
      <c r="M6" s="23"/>
      <c r="N6" s="36">
        <v>14.789078392292252</v>
      </c>
      <c r="O6" s="36">
        <v>15.456765598661674</v>
      </c>
      <c r="P6" s="23"/>
      <c r="Q6" s="36">
        <v>0.65</v>
      </c>
      <c r="R6" s="36">
        <v>0.89</v>
      </c>
      <c r="S6" s="36" t="s">
        <v>108</v>
      </c>
      <c r="T6" s="58"/>
      <c r="U6" s="58"/>
    </row>
    <row r="7" spans="1:21" customFormat="1" ht="14.4" x14ac:dyDescent="0.3">
      <c r="A7" s="32" t="s">
        <v>105</v>
      </c>
      <c r="B7" s="32" t="s">
        <v>23</v>
      </c>
      <c r="C7" s="32" t="s">
        <v>123</v>
      </c>
      <c r="D7" s="66" t="s">
        <v>138</v>
      </c>
      <c r="E7" s="34">
        <v>85</v>
      </c>
      <c r="F7" s="33">
        <v>417.43296463000001</v>
      </c>
      <c r="G7" s="35">
        <v>95641</v>
      </c>
      <c r="H7" s="22"/>
      <c r="I7" s="36">
        <v>7.2490263095143392</v>
      </c>
      <c r="J7" s="36">
        <v>11.707198085592996</v>
      </c>
      <c r="K7" s="36">
        <v>7.713786582274218</v>
      </c>
      <c r="L7" s="36">
        <v>12.847153507958243</v>
      </c>
      <c r="M7" s="23"/>
      <c r="N7" s="36">
        <v>14.124658952672728</v>
      </c>
      <c r="O7" s="36">
        <v>15.199575219996674</v>
      </c>
      <c r="P7" s="23"/>
      <c r="Q7" s="36">
        <v>0.65</v>
      </c>
      <c r="R7" s="36">
        <v>0.877</v>
      </c>
      <c r="S7" s="36" t="s">
        <v>108</v>
      </c>
      <c r="T7" s="58"/>
      <c r="U7" s="58"/>
    </row>
    <row r="8" spans="1:21" customFormat="1" ht="14.4" x14ac:dyDescent="0.3">
      <c r="A8" s="32" t="s">
        <v>37</v>
      </c>
      <c r="B8" s="32" t="s">
        <v>25</v>
      </c>
      <c r="C8" s="32" t="s">
        <v>70</v>
      </c>
      <c r="D8" s="66" t="s">
        <v>138</v>
      </c>
      <c r="E8" s="34">
        <v>72</v>
      </c>
      <c r="F8" s="33">
        <v>164.19723677000002</v>
      </c>
      <c r="G8" s="35">
        <v>40253</v>
      </c>
      <c r="H8" s="22"/>
      <c r="I8" s="36">
        <v>5.1915033215779394</v>
      </c>
      <c r="J8" s="36">
        <v>10.255130155985048</v>
      </c>
      <c r="K8" s="36">
        <v>6.5936644993173532</v>
      </c>
      <c r="L8" s="36">
        <v>10.537127298490056</v>
      </c>
      <c r="M8" s="23"/>
      <c r="N8" s="36">
        <v>14.650755809564004</v>
      </c>
      <c r="O8" s="36">
        <v>15.00052891021188</v>
      </c>
      <c r="P8" s="23"/>
      <c r="Q8" s="36">
        <v>0.65</v>
      </c>
      <c r="R8" s="36">
        <v>1.27</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24</v>
      </c>
      <c r="B34" s="33">
        <v>14.765431223681198</v>
      </c>
      <c r="C34" s="33">
        <v>14.232679624001875</v>
      </c>
    </row>
    <row r="35" spans="1:3" x14ac:dyDescent="0.3">
      <c r="A35" s="32" t="s">
        <v>22</v>
      </c>
      <c r="B35" s="33">
        <v>13.478039734376241</v>
      </c>
      <c r="C35" s="33">
        <v>11.313139799157291</v>
      </c>
    </row>
    <row r="36" spans="1:3" x14ac:dyDescent="0.3">
      <c r="A36" s="32" t="s">
        <v>21</v>
      </c>
      <c r="B36" s="33">
        <v>14.789078392292252</v>
      </c>
      <c r="C36" s="33">
        <v>12.18088918069553</v>
      </c>
    </row>
    <row r="37" spans="1:3" x14ac:dyDescent="0.3">
      <c r="A37" s="32" t="s">
        <v>23</v>
      </c>
      <c r="B37" s="33">
        <v>14.124658952672728</v>
      </c>
      <c r="C37" s="33">
        <v>11.707198085592996</v>
      </c>
    </row>
    <row r="38" spans="1:3" x14ac:dyDescent="0.3">
      <c r="A38" s="32" t="s">
        <v>25</v>
      </c>
      <c r="B38" s="33">
        <v>14.650755809564004</v>
      </c>
      <c r="C38" s="33">
        <v>10.255130155985048</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22</v>
      </c>
      <c r="B64" s="33">
        <v>23.062999999999999</v>
      </c>
      <c r="C64" s="33">
        <v>11.313139799157291</v>
      </c>
      <c r="D64" s="33">
        <v>144.7402155199</v>
      </c>
    </row>
    <row r="65" spans="1:4" x14ac:dyDescent="0.3">
      <c r="A65" s="32" t="s">
        <v>24</v>
      </c>
      <c r="B65" s="33">
        <v>19.960999999999999</v>
      </c>
      <c r="C65" s="33">
        <v>14.232679624001875</v>
      </c>
      <c r="D65" s="33">
        <v>96.557325939999998</v>
      </c>
    </row>
    <row r="66" spans="1:4" x14ac:dyDescent="0.3">
      <c r="A66" s="32" t="s">
        <v>21</v>
      </c>
      <c r="B66" s="33">
        <v>53.124000000000002</v>
      </c>
      <c r="C66" s="33">
        <v>12.18088918069553</v>
      </c>
      <c r="D66" s="33">
        <v>294.89671062999997</v>
      </c>
    </row>
    <row r="67" spans="1:4" x14ac:dyDescent="0.3">
      <c r="A67" s="32" t="s">
        <v>23</v>
      </c>
      <c r="B67" s="33">
        <v>95.641000000000005</v>
      </c>
      <c r="C67" s="33">
        <v>11.707198085592996</v>
      </c>
      <c r="D67" s="33">
        <v>417.43296463000001</v>
      </c>
    </row>
    <row r="68" spans="1:4" x14ac:dyDescent="0.3">
      <c r="A68" s="32" t="s">
        <v>25</v>
      </c>
      <c r="B68" s="33">
        <v>40.253</v>
      </c>
      <c r="C68" s="33">
        <v>10.255130155985048</v>
      </c>
      <c r="D68" s="33">
        <v>164.19723677000002</v>
      </c>
    </row>
  </sheetData>
  <mergeCells count="7">
    <mergeCell ref="Q1:S1"/>
    <mergeCell ref="N1:O1"/>
    <mergeCell ref="A3:C3"/>
    <mergeCell ref="D1:D2"/>
    <mergeCell ref="F1:F2"/>
    <mergeCell ref="G1:G2"/>
    <mergeCell ref="I1:L1"/>
  </mergeCells>
  <conditionalFormatting sqref="I4:I8">
    <cfRule type="cellIs" dxfId="39" priority="13" operator="greaterThanOrEqual">
      <formula>0</formula>
    </cfRule>
    <cfRule type="cellIs" dxfId="38" priority="14" operator="lessThan">
      <formula>0</formula>
    </cfRule>
  </conditionalFormatting>
  <conditionalFormatting sqref="J4:L8">
    <cfRule type="cellIs" dxfId="37" priority="11" operator="greaterThanOrEqual">
      <formula>0</formula>
    </cfRule>
    <cfRule type="cellIs" dxfId="36" priority="12"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0!A1" display="Grįžti į pagrindinį puslapį"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8"/>
  <sheetViews>
    <sheetView showGridLines="0" zoomScale="55" zoomScaleNormal="55" workbookViewId="0">
      <selection activeCell="C1" sqref="C1"/>
    </sheetView>
  </sheetViews>
  <sheetFormatPr defaultRowHeight="15.6" x14ac:dyDescent="0.3"/>
  <cols>
    <col min="1" max="1" width="39.77734375" style="16" customWidth="1"/>
    <col min="2" max="2" width="14.88671875" style="16" bestFit="1" customWidth="1"/>
    <col min="3" max="3" width="64.6640625" style="16" customWidth="1"/>
    <col min="4" max="4" width="17.44140625" style="16" customWidth="1"/>
    <col min="5" max="5" width="16.109375" style="16" bestFit="1" customWidth="1"/>
    <col min="6" max="6" width="19.33203125" style="16" customWidth="1"/>
    <col min="7" max="7" width="13.6640625" style="16" customWidth="1"/>
    <col min="8" max="8" width="1.44140625" style="16" customWidth="1"/>
    <col min="9" max="9" width="17.21875" style="16" customWidth="1"/>
    <col min="10" max="10" width="17" style="16" customWidth="1"/>
    <col min="11" max="11" width="18.44140625" style="16" customWidth="1"/>
    <col min="12" max="12" width="17.109375" style="16" customWidth="1"/>
    <col min="13" max="13" width="1.44140625" style="16" customWidth="1"/>
    <col min="14" max="14" width="16" style="16" customWidth="1"/>
    <col min="15" max="15" width="18.88671875" style="16" customWidth="1"/>
    <col min="16" max="16" width="1.44140625" style="16" customWidth="1"/>
    <col min="17" max="17" width="8.88671875" style="16"/>
    <col min="18" max="18" width="11" style="16" customWidth="1"/>
    <col min="19" max="19" width="13.2187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71</v>
      </c>
      <c r="B3" s="97"/>
      <c r="C3" s="97"/>
      <c r="D3" s="44"/>
      <c r="E3" s="44"/>
      <c r="F3" s="45"/>
      <c r="G3" s="70" t="s">
        <v>115</v>
      </c>
      <c r="H3" s="45"/>
      <c r="I3" s="67">
        <v>3.5807768172796552</v>
      </c>
      <c r="J3" s="67">
        <v>8.0566438750947285</v>
      </c>
      <c r="K3" s="67">
        <v>3.5872214023630593</v>
      </c>
      <c r="L3" s="67">
        <v>8.5601960231689986</v>
      </c>
      <c r="M3" s="45"/>
      <c r="N3" s="45"/>
      <c r="O3" s="45"/>
      <c r="P3" s="45"/>
      <c r="Q3" s="45"/>
      <c r="R3" s="45"/>
      <c r="S3" s="45"/>
    </row>
    <row r="4" spans="1:21" customFormat="1" x14ac:dyDescent="0.3">
      <c r="A4" s="32" t="s">
        <v>36</v>
      </c>
      <c r="B4" s="32" t="s">
        <v>27</v>
      </c>
      <c r="C4" s="32" t="s">
        <v>72</v>
      </c>
      <c r="D4" s="66" t="s">
        <v>138</v>
      </c>
      <c r="E4" s="34">
        <v>50</v>
      </c>
      <c r="F4" s="33">
        <v>81.800160879999993</v>
      </c>
      <c r="G4" s="35">
        <v>18212</v>
      </c>
      <c r="H4" s="22"/>
      <c r="I4" s="36">
        <v>3.4261927633685518</v>
      </c>
      <c r="J4" s="36">
        <v>10.096376512636063</v>
      </c>
      <c r="K4" s="36">
        <v>3.8946676159814064</v>
      </c>
      <c r="L4" s="36">
        <v>8.9488090407518595</v>
      </c>
      <c r="M4" s="23"/>
      <c r="N4" s="36">
        <v>10.978836210645509</v>
      </c>
      <c r="O4" s="36">
        <v>11.193002338857207</v>
      </c>
      <c r="P4" s="23"/>
      <c r="Q4" s="36">
        <v>0.64</v>
      </c>
      <c r="R4" s="36">
        <v>1.37</v>
      </c>
      <c r="S4" s="36" t="s">
        <v>108</v>
      </c>
      <c r="T4" s="16"/>
      <c r="U4" s="58"/>
    </row>
    <row r="5" spans="1:21" customFormat="1" x14ac:dyDescent="0.3">
      <c r="A5" s="32" t="s">
        <v>104</v>
      </c>
      <c r="B5" s="32" t="s">
        <v>29</v>
      </c>
      <c r="C5" s="32" t="s">
        <v>73</v>
      </c>
      <c r="D5" s="66" t="s">
        <v>138</v>
      </c>
      <c r="E5" s="34">
        <v>44.54</v>
      </c>
      <c r="F5" s="33">
        <v>99.847896299600009</v>
      </c>
      <c r="G5" s="35">
        <v>17965</v>
      </c>
      <c r="H5" s="22"/>
      <c r="I5" s="36">
        <v>3.5851579475179696</v>
      </c>
      <c r="J5" s="36">
        <v>7.7453767783201899</v>
      </c>
      <c r="K5" s="36">
        <v>3.2294882104225486</v>
      </c>
      <c r="L5" s="36">
        <v>8.6820762056276202</v>
      </c>
      <c r="M5" s="23"/>
      <c r="N5" s="36">
        <v>9.8184753745761419</v>
      </c>
      <c r="O5" s="36">
        <v>10.873992606555785</v>
      </c>
      <c r="P5" s="23"/>
      <c r="Q5" s="36">
        <v>0.65</v>
      </c>
      <c r="R5" s="36" t="s">
        <v>108</v>
      </c>
      <c r="S5" s="36">
        <v>0.81</v>
      </c>
      <c r="T5" s="16"/>
      <c r="U5" s="58"/>
    </row>
    <row r="6" spans="1:21" customFormat="1" x14ac:dyDescent="0.3">
      <c r="A6" s="32" t="s">
        <v>103</v>
      </c>
      <c r="B6" s="32" t="s">
        <v>28</v>
      </c>
      <c r="C6" s="32" t="s">
        <v>74</v>
      </c>
      <c r="D6" s="66" t="s">
        <v>138</v>
      </c>
      <c r="E6" s="34">
        <v>49.1</v>
      </c>
      <c r="F6" s="33">
        <v>241.87168913999997</v>
      </c>
      <c r="G6" s="35">
        <v>47210</v>
      </c>
      <c r="H6" s="22"/>
      <c r="I6" s="36">
        <v>3.8255420892076897</v>
      </c>
      <c r="J6" s="36">
        <v>8.0624132767945778</v>
      </c>
      <c r="K6" s="36">
        <v>3.8149325966956971</v>
      </c>
      <c r="L6" s="36">
        <v>9.3761314754999159</v>
      </c>
      <c r="M6" s="23"/>
      <c r="N6" s="36">
        <v>10.767404129324284</v>
      </c>
      <c r="O6" s="36">
        <v>10.752919623851957</v>
      </c>
      <c r="P6" s="23"/>
      <c r="Q6" s="36">
        <v>0.65</v>
      </c>
      <c r="R6" s="36">
        <v>0.87</v>
      </c>
      <c r="S6" s="36" t="s">
        <v>108</v>
      </c>
      <c r="T6" s="16"/>
      <c r="U6" s="58"/>
    </row>
    <row r="7" spans="1:21" customFormat="1" x14ac:dyDescent="0.3">
      <c r="A7" s="32" t="s">
        <v>105</v>
      </c>
      <c r="B7" s="32" t="s">
        <v>26</v>
      </c>
      <c r="C7" s="32" t="s">
        <v>124</v>
      </c>
      <c r="D7" s="66" t="s">
        <v>138</v>
      </c>
      <c r="E7" s="34">
        <v>50</v>
      </c>
      <c r="F7" s="33">
        <v>347.74693248</v>
      </c>
      <c r="G7" s="35">
        <v>84936</v>
      </c>
      <c r="H7" s="22"/>
      <c r="I7" s="36">
        <v>4.1015788154707078</v>
      </c>
      <c r="J7" s="36">
        <v>8.5816357299252957</v>
      </c>
      <c r="K7" s="36">
        <v>3.7235112926915059</v>
      </c>
      <c r="L7" s="36">
        <v>9.1248778105826887</v>
      </c>
      <c r="M7" s="23"/>
      <c r="N7" s="36">
        <v>9.6995767146923839</v>
      </c>
      <c r="O7" s="36">
        <v>10.611891892112345</v>
      </c>
      <c r="P7" s="23"/>
      <c r="Q7" s="36">
        <v>0.65</v>
      </c>
      <c r="R7" s="36">
        <v>0.76649999999999996</v>
      </c>
      <c r="S7" s="36" t="s">
        <v>108</v>
      </c>
      <c r="T7" s="16"/>
      <c r="U7" s="58"/>
    </row>
    <row r="8" spans="1:21" customFormat="1" x14ac:dyDescent="0.3">
      <c r="A8" s="32" t="s">
        <v>37</v>
      </c>
      <c r="B8" s="32" t="s">
        <v>30</v>
      </c>
      <c r="C8" s="32" t="s">
        <v>75</v>
      </c>
      <c r="D8" s="66" t="s">
        <v>138</v>
      </c>
      <c r="E8" s="34">
        <v>35</v>
      </c>
      <c r="F8" s="33">
        <v>161.21729503</v>
      </c>
      <c r="G8" s="35">
        <v>39336</v>
      </c>
      <c r="H8" s="22"/>
      <c r="I8" s="36">
        <v>2.1659066994037079</v>
      </c>
      <c r="J8" s="36">
        <v>6.0734146249566745</v>
      </c>
      <c r="K8" s="36">
        <v>3.0171738428496742</v>
      </c>
      <c r="L8" s="36">
        <v>5.8453748088512558</v>
      </c>
      <c r="M8" s="23"/>
      <c r="N8" s="36">
        <v>7.7330203444786099</v>
      </c>
      <c r="O8" s="36">
        <v>7.5243251000655667</v>
      </c>
      <c r="P8" s="23"/>
      <c r="Q8" s="36">
        <v>0.65</v>
      </c>
      <c r="R8" s="36">
        <v>1</v>
      </c>
      <c r="S8" s="36" t="s">
        <v>108</v>
      </c>
      <c r="T8" s="16"/>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27</v>
      </c>
      <c r="B34" s="33">
        <v>10.978836210645509</v>
      </c>
      <c r="C34" s="33">
        <v>10.096376512636063</v>
      </c>
    </row>
    <row r="35" spans="1:3" x14ac:dyDescent="0.3">
      <c r="A35" s="32" t="s">
        <v>29</v>
      </c>
      <c r="B35" s="33">
        <v>9.8184753745761419</v>
      </c>
      <c r="C35" s="33">
        <v>7.7453767783201899</v>
      </c>
    </row>
    <row r="36" spans="1:3" x14ac:dyDescent="0.3">
      <c r="A36" s="32" t="s">
        <v>28</v>
      </c>
      <c r="B36" s="33">
        <v>10.767404129324284</v>
      </c>
      <c r="C36" s="33">
        <v>8.0624132767945778</v>
      </c>
    </row>
    <row r="37" spans="1:3" x14ac:dyDescent="0.3">
      <c r="A37" s="32" t="s">
        <v>26</v>
      </c>
      <c r="B37" s="33">
        <v>9.6995767146923839</v>
      </c>
      <c r="C37" s="33">
        <v>8.5816357299252957</v>
      </c>
    </row>
    <row r="38" spans="1:3" x14ac:dyDescent="0.3">
      <c r="A38" s="32" t="s">
        <v>30</v>
      </c>
      <c r="B38" s="33">
        <v>7.7330203444786099</v>
      </c>
      <c r="C38" s="33">
        <v>6.0734146249566745</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27</v>
      </c>
      <c r="B64" s="33">
        <v>18.212</v>
      </c>
      <c r="C64" s="33">
        <v>10.096376512636063</v>
      </c>
      <c r="D64" s="33">
        <v>81.800160879999993</v>
      </c>
    </row>
    <row r="65" spans="1:4" x14ac:dyDescent="0.3">
      <c r="A65" s="32" t="s">
        <v>29</v>
      </c>
      <c r="B65" s="33">
        <v>17.965</v>
      </c>
      <c r="C65" s="33">
        <v>7.7453767783201899</v>
      </c>
      <c r="D65" s="33">
        <v>99.847896299600009</v>
      </c>
    </row>
    <row r="66" spans="1:4" x14ac:dyDescent="0.3">
      <c r="A66" s="32" t="s">
        <v>28</v>
      </c>
      <c r="B66" s="33">
        <v>47.21</v>
      </c>
      <c r="C66" s="33">
        <v>8.0624132767945778</v>
      </c>
      <c r="D66" s="33">
        <v>241.87168913999997</v>
      </c>
    </row>
    <row r="67" spans="1:4" x14ac:dyDescent="0.3">
      <c r="A67" s="32" t="s">
        <v>26</v>
      </c>
      <c r="B67" s="33">
        <v>84.936000000000007</v>
      </c>
      <c r="C67" s="33">
        <v>8.5816357299252957</v>
      </c>
      <c r="D67" s="33">
        <v>347.74693248</v>
      </c>
    </row>
    <row r="68" spans="1:4" x14ac:dyDescent="0.3">
      <c r="A68" s="32" t="s">
        <v>30</v>
      </c>
      <c r="B68" s="33">
        <v>39.335999999999999</v>
      </c>
      <c r="C68" s="33">
        <v>6.0734146249566745</v>
      </c>
      <c r="D68" s="33">
        <v>161.21729503</v>
      </c>
    </row>
  </sheetData>
  <mergeCells count="7">
    <mergeCell ref="Q1:S1"/>
    <mergeCell ref="N1:O1"/>
    <mergeCell ref="A3:C3"/>
    <mergeCell ref="D1:D2"/>
    <mergeCell ref="F1:F2"/>
    <mergeCell ref="G1:G2"/>
    <mergeCell ref="I1:L1"/>
  </mergeCells>
  <conditionalFormatting sqref="I4:I8">
    <cfRule type="cellIs" dxfId="29" priority="13" operator="greaterThanOrEqual">
      <formula>0</formula>
    </cfRule>
    <cfRule type="cellIs" dxfId="28" priority="14" operator="lessThan">
      <formula>0</formula>
    </cfRule>
  </conditionalFormatting>
  <conditionalFormatting sqref="J4:L8">
    <cfRule type="cellIs" dxfId="27" priority="11" operator="greaterThanOrEqual">
      <formula>0</formula>
    </cfRule>
    <cfRule type="cellIs" dxfId="26" priority="12"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0!A1" display="Grįžti į pagrindinį puslapį"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8"/>
  <sheetViews>
    <sheetView showGridLines="0" zoomScale="55" zoomScaleNormal="55" workbookViewId="0">
      <selection activeCell="C1" sqref="C1"/>
    </sheetView>
  </sheetViews>
  <sheetFormatPr defaultRowHeight="15.6" x14ac:dyDescent="0.3"/>
  <cols>
    <col min="1" max="1" width="39.33203125" style="16" customWidth="1"/>
    <col min="2" max="2" width="14.88671875" style="16" bestFit="1" customWidth="1"/>
    <col min="3" max="3" width="68.77734375" style="16" customWidth="1"/>
    <col min="4" max="4" width="17.44140625" style="16" customWidth="1"/>
    <col min="5" max="5" width="16.109375" style="16" bestFit="1" customWidth="1"/>
    <col min="6" max="6" width="19.33203125" style="16" customWidth="1"/>
    <col min="7" max="7" width="13.6640625" style="16" customWidth="1"/>
    <col min="8" max="8" width="1.5546875" style="16" customWidth="1"/>
    <col min="9" max="9" width="18.44140625" style="16" customWidth="1"/>
    <col min="10" max="10" width="17.6640625" style="16" customWidth="1"/>
    <col min="11" max="11" width="18" style="16" customWidth="1"/>
    <col min="12" max="12" width="19.109375" style="16" customWidth="1"/>
    <col min="13" max="13" width="1.5546875" style="16" customWidth="1"/>
    <col min="14" max="14" width="23.33203125" style="16" customWidth="1"/>
    <col min="15" max="15" width="21" style="16" customWidth="1"/>
    <col min="16" max="16" width="1.5546875" style="16" customWidth="1"/>
    <col min="17" max="17" width="8.88671875" style="16"/>
    <col min="18" max="19" width="11.44140625" style="16" customWidth="1"/>
    <col min="20" max="16384" width="8.88671875" style="16"/>
  </cols>
  <sheetData>
    <row r="1" spans="1:21"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21"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21" ht="28.95" customHeight="1" x14ac:dyDescent="0.3">
      <c r="A3" s="97" t="s">
        <v>76</v>
      </c>
      <c r="B3" s="97"/>
      <c r="C3" s="97"/>
      <c r="D3" s="44"/>
      <c r="E3" s="44"/>
      <c r="F3" s="45"/>
      <c r="G3" s="70" t="s">
        <v>115</v>
      </c>
      <c r="H3" s="45"/>
      <c r="I3" s="67">
        <v>0.85473624760593914</v>
      </c>
      <c r="J3" s="67">
        <v>4.0028480088836025</v>
      </c>
      <c r="K3" s="67">
        <v>0.43125007649999542</v>
      </c>
      <c r="L3" s="67">
        <v>4.4521554308401337</v>
      </c>
      <c r="M3" s="45"/>
      <c r="N3" s="45"/>
      <c r="O3" s="45"/>
      <c r="P3" s="45"/>
      <c r="Q3" s="45"/>
      <c r="R3" s="45"/>
      <c r="S3" s="45"/>
    </row>
    <row r="4" spans="1:21" customFormat="1" ht="14.4" x14ac:dyDescent="0.3">
      <c r="A4" s="32" t="s">
        <v>36</v>
      </c>
      <c r="B4" s="32" t="s">
        <v>32</v>
      </c>
      <c r="C4" s="32" t="s">
        <v>77</v>
      </c>
      <c r="D4" s="66" t="s">
        <v>138</v>
      </c>
      <c r="E4" s="34">
        <v>15</v>
      </c>
      <c r="F4" s="33">
        <v>32.042962940000002</v>
      </c>
      <c r="G4" s="35">
        <v>7730</v>
      </c>
      <c r="H4" s="22"/>
      <c r="I4" s="36">
        <v>0.5240252242650234</v>
      </c>
      <c r="J4" s="36">
        <v>4.2900640112484734</v>
      </c>
      <c r="K4" s="36">
        <v>0.38830590619283178</v>
      </c>
      <c r="L4" s="36">
        <v>5.0199170379211289</v>
      </c>
      <c r="M4" s="23"/>
      <c r="N4" s="36">
        <v>7.1613674311412936</v>
      </c>
      <c r="O4" s="36">
        <v>7.2615504122363159</v>
      </c>
      <c r="P4" s="23"/>
      <c r="Q4" s="36">
        <v>0.64</v>
      </c>
      <c r="R4" s="36">
        <v>1.35</v>
      </c>
      <c r="S4" s="36" t="s">
        <v>108</v>
      </c>
      <c r="T4" s="58"/>
      <c r="U4" s="58"/>
    </row>
    <row r="5" spans="1:21" customFormat="1" ht="14.4" x14ac:dyDescent="0.3">
      <c r="A5" s="32" t="s">
        <v>104</v>
      </c>
      <c r="B5" s="32" t="s">
        <v>35</v>
      </c>
      <c r="C5" s="32" t="s">
        <v>78</v>
      </c>
      <c r="D5" s="66" t="s">
        <v>138</v>
      </c>
      <c r="E5" s="34">
        <v>10</v>
      </c>
      <c r="F5" s="33">
        <v>27.5661866039</v>
      </c>
      <c r="G5" s="35">
        <v>5455</v>
      </c>
      <c r="H5" s="22"/>
      <c r="I5" s="36">
        <v>9.9637681159414626E-2</v>
      </c>
      <c r="J5" s="36">
        <v>3.5613884617438973</v>
      </c>
      <c r="K5" s="36">
        <v>-0.13450292924497287</v>
      </c>
      <c r="L5" s="36">
        <v>3.5874904844352073</v>
      </c>
      <c r="M5" s="23"/>
      <c r="N5" s="36">
        <v>4.8099102334459864</v>
      </c>
      <c r="O5" s="36">
        <v>5.0590500232124977</v>
      </c>
      <c r="P5" s="23"/>
      <c r="Q5" s="36">
        <v>0.65</v>
      </c>
      <c r="R5" s="36" t="s">
        <v>108</v>
      </c>
      <c r="S5" s="36">
        <v>0.72</v>
      </c>
      <c r="T5" s="58"/>
      <c r="U5" s="58"/>
    </row>
    <row r="6" spans="1:21" customFormat="1" ht="14.4" x14ac:dyDescent="0.3">
      <c r="A6" s="32" t="s">
        <v>103</v>
      </c>
      <c r="B6" s="32" t="s">
        <v>33</v>
      </c>
      <c r="C6" s="69" t="s">
        <v>79</v>
      </c>
      <c r="D6" s="66" t="s">
        <v>138</v>
      </c>
      <c r="E6" s="34">
        <v>18.5</v>
      </c>
      <c r="F6" s="33">
        <v>92.900189260000005</v>
      </c>
      <c r="G6" s="35">
        <v>19311</v>
      </c>
      <c r="H6" s="22"/>
      <c r="I6" s="36">
        <v>0.7953529937444026</v>
      </c>
      <c r="J6" s="36">
        <v>3.4414004543514398</v>
      </c>
      <c r="K6" s="36">
        <v>0.80690964841980684</v>
      </c>
      <c r="L6" s="36">
        <v>4.9736694679846982</v>
      </c>
      <c r="M6" s="23"/>
      <c r="N6" s="36">
        <v>5.6504043411527167</v>
      </c>
      <c r="O6" s="36">
        <v>5.6577165168874251</v>
      </c>
      <c r="P6" s="23"/>
      <c r="Q6" s="36">
        <v>0.65</v>
      </c>
      <c r="R6" s="36">
        <v>0.83</v>
      </c>
      <c r="S6" s="36" t="s">
        <v>108</v>
      </c>
      <c r="T6" s="58"/>
      <c r="U6" s="58"/>
    </row>
    <row r="7" spans="1:21" customFormat="1" ht="14.4" x14ac:dyDescent="0.3">
      <c r="A7" s="32" t="s">
        <v>105</v>
      </c>
      <c r="B7" s="32" t="s">
        <v>31</v>
      </c>
      <c r="C7" s="32" t="s">
        <v>80</v>
      </c>
      <c r="D7" s="66" t="s">
        <v>138</v>
      </c>
      <c r="E7" s="34">
        <v>14.999999999999982</v>
      </c>
      <c r="F7" s="33">
        <v>128.13890653000001</v>
      </c>
      <c r="G7" s="35">
        <v>31345</v>
      </c>
      <c r="H7" s="22"/>
      <c r="I7" s="36">
        <v>1.2040614610477229</v>
      </c>
      <c r="J7" s="36">
        <v>4.6516326497502147</v>
      </c>
      <c r="K7" s="36">
        <v>-0.17617467103666629</v>
      </c>
      <c r="L7" s="36">
        <v>4.8238271680207223</v>
      </c>
      <c r="M7" s="23"/>
      <c r="N7" s="36">
        <v>4.8459004732748143</v>
      </c>
      <c r="O7" s="36">
        <v>5.8651297187815574</v>
      </c>
      <c r="P7" s="23"/>
      <c r="Q7" s="36">
        <v>0.65</v>
      </c>
      <c r="R7" s="36">
        <v>0.6855</v>
      </c>
      <c r="S7" s="36" t="s">
        <v>108</v>
      </c>
      <c r="T7" s="58"/>
      <c r="U7" s="58"/>
    </row>
    <row r="8" spans="1:21" customFormat="1" ht="14.4" x14ac:dyDescent="0.3">
      <c r="A8" s="32" t="s">
        <v>37</v>
      </c>
      <c r="B8" s="32" t="s">
        <v>34</v>
      </c>
      <c r="C8" s="32" t="s">
        <v>81</v>
      </c>
      <c r="D8" s="66" t="s">
        <v>138</v>
      </c>
      <c r="E8" s="34">
        <v>17</v>
      </c>
      <c r="F8" s="33">
        <v>69.418101659999991</v>
      </c>
      <c r="G8" s="35">
        <v>17264</v>
      </c>
      <c r="H8" s="22"/>
      <c r="I8" s="36">
        <v>0.74189411980216668</v>
      </c>
      <c r="J8" s="36">
        <v>3.599352880469997</v>
      </c>
      <c r="K8" s="36">
        <v>1.2942470120697935</v>
      </c>
      <c r="L8" s="36">
        <v>3.149446058898131</v>
      </c>
      <c r="M8" s="23"/>
      <c r="N8" s="36">
        <v>4.4097648927066286</v>
      </c>
      <c r="O8" s="36">
        <v>3.8020949345760391</v>
      </c>
      <c r="P8" s="23"/>
      <c r="Q8" s="36">
        <v>0.65</v>
      </c>
      <c r="R8" s="36">
        <v>0.86</v>
      </c>
      <c r="S8" s="36" t="s">
        <v>108</v>
      </c>
      <c r="T8" s="58"/>
      <c r="U8" s="58"/>
    </row>
    <row r="9" spans="1:21" x14ac:dyDescent="0.3">
      <c r="A9" s="17"/>
      <c r="B9" s="17"/>
      <c r="C9" s="17"/>
      <c r="D9" s="17"/>
      <c r="E9" s="17"/>
      <c r="F9" s="17"/>
      <c r="G9" s="17"/>
      <c r="H9" s="17"/>
      <c r="I9" s="17"/>
      <c r="J9" s="17"/>
      <c r="K9" s="17"/>
      <c r="L9" s="17"/>
      <c r="M9" s="17"/>
      <c r="N9" s="17"/>
      <c r="O9" s="17"/>
      <c r="P9" s="17"/>
    </row>
    <row r="10" spans="1:21" s="54" customFormat="1" ht="13.8" x14ac:dyDescent="0.3">
      <c r="A10" s="52" t="s">
        <v>142</v>
      </c>
      <c r="B10" s="49"/>
      <c r="C10" s="49"/>
      <c r="D10" s="53"/>
      <c r="E10" s="53"/>
      <c r="F10" s="53"/>
      <c r="G10" s="53"/>
      <c r="H10" s="53"/>
      <c r="I10" s="53"/>
      <c r="J10" s="53"/>
      <c r="K10" s="53"/>
      <c r="L10" s="53"/>
      <c r="M10" s="53"/>
    </row>
    <row r="11" spans="1:21" s="54" customFormat="1" ht="13.8" x14ac:dyDescent="0.3">
      <c r="A11" s="49" t="s">
        <v>110</v>
      </c>
      <c r="B11" s="52"/>
      <c r="C11" s="52"/>
    </row>
    <row r="12" spans="1:21" s="54" customFormat="1" ht="13.8" x14ac:dyDescent="0.3">
      <c r="A12" s="52" t="s">
        <v>112</v>
      </c>
      <c r="B12" s="52"/>
      <c r="C12" s="52"/>
    </row>
    <row r="13" spans="1:21" s="54" customFormat="1" ht="13.8" x14ac:dyDescent="0.3">
      <c r="A13" s="52" t="s">
        <v>113</v>
      </c>
      <c r="B13" s="52"/>
      <c r="C13" s="52"/>
    </row>
    <row r="14" spans="1:21" s="54" customFormat="1" ht="13.8" x14ac:dyDescent="0.3">
      <c r="A14" s="52" t="s">
        <v>143</v>
      </c>
      <c r="B14" s="53"/>
      <c r="C14" s="53"/>
    </row>
    <row r="15" spans="1:21" s="54" customFormat="1" ht="13.8" x14ac:dyDescent="0.3">
      <c r="A15" s="55" t="s">
        <v>144</v>
      </c>
      <c r="B15" s="53"/>
      <c r="C15" s="53"/>
    </row>
    <row r="16" spans="1:21" s="54" customFormat="1" ht="13.8" x14ac:dyDescent="0.3">
      <c r="A16" s="55" t="s">
        <v>118</v>
      </c>
    </row>
    <row r="17" spans="1:5" s="54" customFormat="1" ht="13.8" x14ac:dyDescent="0.3">
      <c r="A17" s="55" t="s">
        <v>145</v>
      </c>
    </row>
    <row r="18" spans="1:5" s="54" customFormat="1" ht="13.8" x14ac:dyDescent="0.3">
      <c r="A18" s="55" t="s">
        <v>132</v>
      </c>
    </row>
    <row r="19" spans="1:5" s="54" customFormat="1" ht="13.8" x14ac:dyDescent="0.3">
      <c r="A19" s="55" t="s">
        <v>126</v>
      </c>
    </row>
    <row r="20" spans="1:5" s="54" customFormat="1" ht="13.8" x14ac:dyDescent="0.3">
      <c r="A20" s="55" t="s">
        <v>129</v>
      </c>
    </row>
    <row r="21" spans="1:5" s="54" customFormat="1" ht="13.8" x14ac:dyDescent="0.3">
      <c r="A21" s="55" t="s">
        <v>135</v>
      </c>
    </row>
    <row r="22" spans="1:5" x14ac:dyDescent="0.3">
      <c r="A22" s="55"/>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32</v>
      </c>
      <c r="B34" s="33">
        <v>7.1613674311412936</v>
      </c>
      <c r="C34" s="33">
        <v>4.2900640112484734</v>
      </c>
    </row>
    <row r="35" spans="1:3" x14ac:dyDescent="0.3">
      <c r="A35" s="32" t="s">
        <v>35</v>
      </c>
      <c r="B35" s="33">
        <v>4.8099102334459864</v>
      </c>
      <c r="C35" s="33">
        <v>3.5613884617438973</v>
      </c>
    </row>
    <row r="36" spans="1:3" x14ac:dyDescent="0.3">
      <c r="A36" s="32" t="s">
        <v>33</v>
      </c>
      <c r="B36" s="33">
        <v>5.6504043411527167</v>
      </c>
      <c r="C36" s="33">
        <v>3.4414004543514398</v>
      </c>
    </row>
    <row r="37" spans="1:3" x14ac:dyDescent="0.3">
      <c r="A37" s="32" t="s">
        <v>31</v>
      </c>
      <c r="B37" s="33">
        <v>4.8459004732748143</v>
      </c>
      <c r="C37" s="33">
        <v>4.6516326497502147</v>
      </c>
    </row>
    <row r="38" spans="1:3" x14ac:dyDescent="0.3">
      <c r="A38" s="32" t="s">
        <v>34</v>
      </c>
      <c r="B38" s="33">
        <v>4.4097648927066286</v>
      </c>
      <c r="C38" s="33">
        <v>3.599352880469997</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32</v>
      </c>
      <c r="B64" s="33">
        <v>7.73</v>
      </c>
      <c r="C64" s="33">
        <v>4.2900640112484734</v>
      </c>
      <c r="D64" s="33">
        <v>32.042962940000002</v>
      </c>
    </row>
    <row r="65" spans="1:4" x14ac:dyDescent="0.3">
      <c r="A65" s="32" t="s">
        <v>35</v>
      </c>
      <c r="B65" s="33">
        <v>5.4550000000000001</v>
      </c>
      <c r="C65" s="33">
        <v>3.5613884617438973</v>
      </c>
      <c r="D65" s="33">
        <v>27.5661866039</v>
      </c>
    </row>
    <row r="66" spans="1:4" x14ac:dyDescent="0.3">
      <c r="A66" s="32" t="s">
        <v>33</v>
      </c>
      <c r="B66" s="33">
        <v>19.311</v>
      </c>
      <c r="C66" s="33">
        <v>3.4414004543514398</v>
      </c>
      <c r="D66" s="33">
        <v>92.900189260000005</v>
      </c>
    </row>
    <row r="67" spans="1:4" x14ac:dyDescent="0.3">
      <c r="A67" s="32" t="s">
        <v>31</v>
      </c>
      <c r="B67" s="33">
        <v>31.344999999999999</v>
      </c>
      <c r="C67" s="33">
        <v>4.6516326497502147</v>
      </c>
      <c r="D67" s="33">
        <v>128.13890653000001</v>
      </c>
    </row>
    <row r="68" spans="1:4" x14ac:dyDescent="0.3">
      <c r="A68" s="32" t="s">
        <v>34</v>
      </c>
      <c r="B68" s="33">
        <v>17.263999999999999</v>
      </c>
      <c r="C68" s="33">
        <v>3.599352880469997</v>
      </c>
      <c r="D68" s="33">
        <v>69.418101659999991</v>
      </c>
    </row>
  </sheetData>
  <mergeCells count="7">
    <mergeCell ref="Q1:S1"/>
    <mergeCell ref="N1:O1"/>
    <mergeCell ref="A3:C3"/>
    <mergeCell ref="D1:D2"/>
    <mergeCell ref="F1:F2"/>
    <mergeCell ref="G1:G2"/>
    <mergeCell ref="I1:L1"/>
  </mergeCells>
  <conditionalFormatting sqref="I4:I8">
    <cfRule type="cellIs" dxfId="19" priority="13" operator="greaterThanOrEqual">
      <formula>0</formula>
    </cfRule>
    <cfRule type="cellIs" dxfId="18" priority="14" operator="lessThan">
      <formula>0</formula>
    </cfRule>
  </conditionalFormatting>
  <conditionalFormatting sqref="J4:L8">
    <cfRule type="cellIs" dxfId="17" priority="11" operator="greaterThanOrEqual">
      <formula>0</formula>
    </cfRule>
    <cfRule type="cellIs" dxfId="16" priority="12"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0!A1" display="Grįžti į pagrindinį puslapį"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8"/>
  <sheetViews>
    <sheetView showGridLines="0" zoomScale="55" zoomScaleNormal="55" workbookViewId="0">
      <selection activeCell="C1" sqref="C1"/>
    </sheetView>
  </sheetViews>
  <sheetFormatPr defaultRowHeight="15.6" x14ac:dyDescent="0.3"/>
  <cols>
    <col min="1" max="1" width="43.5546875" style="16" customWidth="1"/>
    <col min="2" max="2" width="14.88671875" style="16" bestFit="1" customWidth="1"/>
    <col min="3" max="3" width="50" style="16" customWidth="1"/>
    <col min="4" max="4" width="16" style="16" customWidth="1"/>
    <col min="5" max="5" width="16.109375" style="16" bestFit="1" customWidth="1"/>
    <col min="6" max="6" width="19.33203125" style="16" customWidth="1"/>
    <col min="7" max="7" width="12.21875" style="16" customWidth="1"/>
    <col min="8" max="8" width="3.33203125" style="16" customWidth="1"/>
    <col min="9" max="9" width="17.5546875" style="16" customWidth="1"/>
    <col min="10" max="10" width="16.6640625" style="16" customWidth="1"/>
    <col min="11" max="11" width="15" style="16" customWidth="1"/>
    <col min="12" max="12" width="17.21875" style="16" customWidth="1"/>
    <col min="13" max="13" width="3.33203125" style="16" customWidth="1"/>
    <col min="14" max="14" width="17.77734375" style="16" customWidth="1"/>
    <col min="15" max="15" width="17.109375" style="16" customWidth="1"/>
    <col min="16" max="16" width="3.33203125" style="16" customWidth="1"/>
    <col min="17" max="17" width="8.88671875" style="16"/>
    <col min="18" max="18" width="11.109375" style="16" customWidth="1"/>
    <col min="19" max="19" width="12.33203125" style="16" customWidth="1"/>
    <col min="20" max="16384" width="8.88671875" style="16"/>
  </cols>
  <sheetData>
    <row r="1" spans="1:19" ht="22.2" customHeight="1" x14ac:dyDescent="0.3">
      <c r="A1" s="25">
        <v>44286</v>
      </c>
      <c r="B1" s="26"/>
      <c r="C1" s="57" t="s">
        <v>91</v>
      </c>
      <c r="D1" s="93" t="s">
        <v>106</v>
      </c>
      <c r="E1" s="31" t="s">
        <v>90</v>
      </c>
      <c r="F1" s="93" t="s">
        <v>117</v>
      </c>
      <c r="G1" s="93" t="s">
        <v>86</v>
      </c>
      <c r="H1" s="28"/>
      <c r="I1" s="91" t="s">
        <v>87</v>
      </c>
      <c r="J1" s="92">
        <v>0</v>
      </c>
      <c r="K1" s="92">
        <v>0</v>
      </c>
      <c r="L1" s="92">
        <v>0</v>
      </c>
      <c r="M1" s="29"/>
      <c r="N1" s="95" t="s">
        <v>114</v>
      </c>
      <c r="O1" s="96">
        <v>0</v>
      </c>
      <c r="P1" s="29"/>
      <c r="Q1" s="91" t="s">
        <v>107</v>
      </c>
      <c r="R1" s="92">
        <v>0</v>
      </c>
      <c r="S1" s="92">
        <v>0</v>
      </c>
    </row>
    <row r="2" spans="1:19" ht="92.4" customHeight="1" x14ac:dyDescent="0.3">
      <c r="A2" s="24" t="s">
        <v>43</v>
      </c>
      <c r="B2" s="24" t="s">
        <v>44</v>
      </c>
      <c r="C2" s="24" t="s">
        <v>45</v>
      </c>
      <c r="D2" s="94">
        <v>0</v>
      </c>
      <c r="E2" s="24" t="s">
        <v>116</v>
      </c>
      <c r="F2" s="94">
        <v>0</v>
      </c>
      <c r="G2" s="94">
        <v>0</v>
      </c>
      <c r="H2" s="28"/>
      <c r="I2" s="64" t="s">
        <v>109</v>
      </c>
      <c r="J2" s="24" t="s">
        <v>136</v>
      </c>
      <c r="K2" s="24" t="s">
        <v>111</v>
      </c>
      <c r="L2" s="24" t="s">
        <v>137</v>
      </c>
      <c r="M2" s="30"/>
      <c r="N2" s="24" t="s">
        <v>133</v>
      </c>
      <c r="O2" s="24" t="s">
        <v>134</v>
      </c>
      <c r="P2" s="30"/>
      <c r="Q2" s="24" t="s">
        <v>127</v>
      </c>
      <c r="R2" s="24" t="s">
        <v>128</v>
      </c>
      <c r="S2" s="24" t="s">
        <v>130</v>
      </c>
    </row>
    <row r="3" spans="1:19" ht="28.95" customHeight="1" x14ac:dyDescent="0.3">
      <c r="A3" s="97" t="s">
        <v>82</v>
      </c>
      <c r="B3" s="97"/>
      <c r="C3" s="97"/>
      <c r="D3" s="44"/>
      <c r="E3" s="44"/>
      <c r="F3" s="45"/>
      <c r="G3" s="70" t="s">
        <v>115</v>
      </c>
      <c r="H3" s="45"/>
      <c r="I3" s="67">
        <v>0.76323683143197862</v>
      </c>
      <c r="J3" s="67">
        <v>3.6121537174527587</v>
      </c>
      <c r="K3" s="67">
        <v>0.28554590215075648</v>
      </c>
      <c r="L3" s="67">
        <v>3.560845366673413</v>
      </c>
      <c r="M3" s="45"/>
      <c r="N3" s="45"/>
      <c r="O3" s="45"/>
      <c r="P3" s="45"/>
      <c r="Q3" s="45"/>
      <c r="R3" s="45"/>
      <c r="S3" s="45"/>
    </row>
    <row r="4" spans="1:19" customFormat="1" ht="14.4" x14ac:dyDescent="0.3">
      <c r="A4" s="32" t="s">
        <v>36</v>
      </c>
      <c r="B4" s="32" t="s">
        <v>41</v>
      </c>
      <c r="C4" s="32" t="s">
        <v>139</v>
      </c>
      <c r="D4" s="66" t="s">
        <v>138</v>
      </c>
      <c r="E4" s="34">
        <v>10</v>
      </c>
      <c r="F4" s="33">
        <v>2.8781461099999999</v>
      </c>
      <c r="G4" s="35">
        <v>1284</v>
      </c>
      <c r="H4" s="22"/>
      <c r="I4" s="36">
        <v>0.44407438245908093</v>
      </c>
      <c r="J4" s="36">
        <v>2.7681081206256675</v>
      </c>
      <c r="K4" s="36">
        <v>0.58798448862844577</v>
      </c>
      <c r="L4" s="36">
        <v>2.8229193295487898</v>
      </c>
      <c r="M4" s="23"/>
      <c r="N4" s="36">
        <v>4.8786393448977554</v>
      </c>
      <c r="O4" s="36">
        <v>4.3199438250018778</v>
      </c>
      <c r="P4" s="23"/>
      <c r="Q4" s="36">
        <v>0.19</v>
      </c>
      <c r="R4" s="36">
        <v>0.42</v>
      </c>
      <c r="S4" s="36" t="s">
        <v>108</v>
      </c>
    </row>
    <row r="5" spans="1:19" customFormat="1" ht="14.4" x14ac:dyDescent="0.3">
      <c r="A5" s="32" t="s">
        <v>104</v>
      </c>
      <c r="B5" s="32" t="s">
        <v>39</v>
      </c>
      <c r="C5" s="32" t="s">
        <v>83</v>
      </c>
      <c r="D5" s="66" t="s">
        <v>138</v>
      </c>
      <c r="E5" s="34">
        <v>17</v>
      </c>
      <c r="F5" s="33">
        <v>4.4952680459000005</v>
      </c>
      <c r="G5" s="35">
        <v>1072</v>
      </c>
      <c r="H5" s="22"/>
      <c r="I5" s="36">
        <v>1.2745714029261279</v>
      </c>
      <c r="J5" s="36">
        <v>4.8107743173739559</v>
      </c>
      <c r="K5" s="36">
        <v>0.98524802362027764</v>
      </c>
      <c r="L5" s="36">
        <v>4.7223266761236893</v>
      </c>
      <c r="M5" s="23"/>
      <c r="N5" s="36">
        <v>4.2955030646418226</v>
      </c>
      <c r="O5" s="36">
        <v>5.7359667289734482</v>
      </c>
      <c r="P5" s="23"/>
      <c r="Q5" s="36">
        <v>0.2</v>
      </c>
      <c r="R5" s="36" t="s">
        <v>108</v>
      </c>
      <c r="S5" s="36">
        <v>0.28999999999999998</v>
      </c>
    </row>
    <row r="6" spans="1:19" customFormat="1" ht="14.4" x14ac:dyDescent="0.3">
      <c r="A6" s="32" t="s">
        <v>103</v>
      </c>
      <c r="B6" s="32" t="s">
        <v>38</v>
      </c>
      <c r="C6" s="32" t="s">
        <v>84</v>
      </c>
      <c r="D6" s="66" t="s">
        <v>138</v>
      </c>
      <c r="E6" s="34">
        <v>15</v>
      </c>
      <c r="F6" s="33">
        <v>15.54436415</v>
      </c>
      <c r="G6" s="35">
        <v>3387</v>
      </c>
      <c r="H6" s="22"/>
      <c r="I6" s="36">
        <v>0.57565789473683626</v>
      </c>
      <c r="J6" s="36">
        <v>3.274864678771694</v>
      </c>
      <c r="K6" s="36">
        <v>0.44873377731620145</v>
      </c>
      <c r="L6" s="36">
        <v>3.3841340422481769</v>
      </c>
      <c r="M6" s="23"/>
      <c r="N6" s="36">
        <v>4.8357942733660524</v>
      </c>
      <c r="O6" s="36">
        <v>4.8782296661495872</v>
      </c>
      <c r="P6" s="23"/>
      <c r="Q6" s="36">
        <v>0.2</v>
      </c>
      <c r="R6" s="36">
        <v>0.38</v>
      </c>
      <c r="S6" s="36" t="s">
        <v>108</v>
      </c>
    </row>
    <row r="7" spans="1:19" customFormat="1" ht="14.4" x14ac:dyDescent="0.3">
      <c r="A7" s="32" t="s">
        <v>105</v>
      </c>
      <c r="B7" s="32" t="s">
        <v>40</v>
      </c>
      <c r="C7" s="32" t="s">
        <v>85</v>
      </c>
      <c r="D7" s="66" t="s">
        <v>138</v>
      </c>
      <c r="E7" s="34">
        <v>15</v>
      </c>
      <c r="F7" s="33">
        <v>19.843721469999998</v>
      </c>
      <c r="G7" s="35">
        <v>3717</v>
      </c>
      <c r="H7" s="22"/>
      <c r="I7" s="36">
        <v>1.2619749447310369</v>
      </c>
      <c r="J7" s="36">
        <v>3.8909212345958455</v>
      </c>
      <c r="K7" s="36">
        <v>-0.17610928889996158</v>
      </c>
      <c r="L7" s="36">
        <v>4.1148587513085033</v>
      </c>
      <c r="M7" s="23"/>
      <c r="N7" s="36">
        <v>4.1200046424292456</v>
      </c>
      <c r="O7" s="36">
        <v>4.7552246374311329</v>
      </c>
      <c r="P7" s="23"/>
      <c r="Q7" s="36">
        <v>0.2</v>
      </c>
      <c r="R7" s="36">
        <v>0.2225</v>
      </c>
      <c r="S7" s="36" t="s">
        <v>108</v>
      </c>
    </row>
    <row r="8" spans="1:19" customFormat="1" ht="14.4" x14ac:dyDescent="0.3">
      <c r="A8" s="32" t="s">
        <v>37</v>
      </c>
      <c r="B8" s="32" t="s">
        <v>42</v>
      </c>
      <c r="C8" s="69" t="s">
        <v>125</v>
      </c>
      <c r="D8" s="66" t="s">
        <v>138</v>
      </c>
      <c r="E8" s="34">
        <v>10</v>
      </c>
      <c r="F8" s="33">
        <v>7.6298390899999999</v>
      </c>
      <c r="G8" s="35">
        <v>3241</v>
      </c>
      <c r="H8" s="22"/>
      <c r="I8" s="36">
        <v>-0.33259423503326779</v>
      </c>
      <c r="J8" s="36">
        <v>3.1864991765754525</v>
      </c>
      <c r="K8" s="36">
        <v>0.62742653812608573</v>
      </c>
      <c r="L8" s="36">
        <v>2.0740338037679606</v>
      </c>
      <c r="M8" s="23"/>
      <c r="N8" s="36">
        <v>3.332582985814553</v>
      </c>
      <c r="O8" s="36">
        <v>1.3752045428971851</v>
      </c>
      <c r="P8" s="23"/>
      <c r="Q8" s="36">
        <v>0.2</v>
      </c>
      <c r="R8" s="36">
        <v>0.42</v>
      </c>
      <c r="S8" s="36" t="s">
        <v>108</v>
      </c>
    </row>
    <row r="9" spans="1:19" x14ac:dyDescent="0.3">
      <c r="A9" s="17"/>
      <c r="B9" s="17"/>
      <c r="C9" s="17"/>
      <c r="D9" s="17"/>
      <c r="E9" s="17"/>
      <c r="F9" s="17"/>
      <c r="G9" s="17"/>
      <c r="H9" s="17"/>
      <c r="I9" s="17"/>
      <c r="J9" s="17"/>
      <c r="K9" s="17"/>
      <c r="L9" s="17"/>
      <c r="M9" s="17"/>
      <c r="N9" s="17"/>
      <c r="O9" s="17"/>
      <c r="P9" s="17"/>
    </row>
    <row r="10" spans="1:19" s="54" customFormat="1" ht="13.8" x14ac:dyDescent="0.3">
      <c r="A10" s="52" t="s">
        <v>142</v>
      </c>
      <c r="B10" s="49"/>
      <c r="C10" s="49"/>
      <c r="D10" s="53"/>
      <c r="E10" s="53"/>
      <c r="F10" s="53"/>
      <c r="G10" s="53"/>
      <c r="H10" s="53"/>
      <c r="I10" s="53"/>
      <c r="J10" s="53"/>
      <c r="K10" s="53"/>
      <c r="L10" s="53"/>
      <c r="M10" s="53"/>
    </row>
    <row r="11" spans="1:19" s="54" customFormat="1" ht="13.8" x14ac:dyDescent="0.3">
      <c r="A11" s="49" t="s">
        <v>110</v>
      </c>
      <c r="B11" s="52"/>
      <c r="C11" s="52"/>
    </row>
    <row r="12" spans="1:19" s="54" customFormat="1" ht="13.8" x14ac:dyDescent="0.3">
      <c r="A12" s="52" t="s">
        <v>112</v>
      </c>
      <c r="B12" s="52"/>
      <c r="C12" s="52"/>
    </row>
    <row r="13" spans="1:19" s="54" customFormat="1" ht="13.8" x14ac:dyDescent="0.3">
      <c r="A13" s="52" t="s">
        <v>113</v>
      </c>
      <c r="B13" s="52"/>
      <c r="C13" s="52"/>
    </row>
    <row r="14" spans="1:19" s="54" customFormat="1" ht="13.8" x14ac:dyDescent="0.3">
      <c r="A14" s="52" t="s">
        <v>143</v>
      </c>
      <c r="B14" s="53"/>
      <c r="C14" s="53"/>
    </row>
    <row r="15" spans="1:19" s="54" customFormat="1" ht="13.8" x14ac:dyDescent="0.3">
      <c r="A15" s="55" t="s">
        <v>144</v>
      </c>
      <c r="B15" s="53"/>
      <c r="C15" s="53"/>
    </row>
    <row r="16" spans="1:19" s="54" customFormat="1" ht="13.8" x14ac:dyDescent="0.3">
      <c r="A16" s="55" t="s">
        <v>118</v>
      </c>
    </row>
    <row r="17" spans="1:5" s="54" customFormat="1" ht="13.8" x14ac:dyDescent="0.3">
      <c r="A17" s="55" t="s">
        <v>145</v>
      </c>
    </row>
    <row r="18" spans="1:5" x14ac:dyDescent="0.3">
      <c r="A18" s="55" t="s">
        <v>132</v>
      </c>
    </row>
    <row r="19" spans="1:5" x14ac:dyDescent="0.3">
      <c r="A19" s="55" t="s">
        <v>126</v>
      </c>
    </row>
    <row r="20" spans="1:5" x14ac:dyDescent="0.3">
      <c r="A20" s="55" t="s">
        <v>129</v>
      </c>
    </row>
    <row r="21" spans="1:5" x14ac:dyDescent="0.3">
      <c r="A21" s="55" t="s">
        <v>135</v>
      </c>
    </row>
    <row r="22" spans="1:5" x14ac:dyDescent="0.3">
      <c r="A22" s="55">
        <v>0</v>
      </c>
    </row>
    <row r="23" spans="1:5" x14ac:dyDescent="0.3">
      <c r="A23" s="37" t="s">
        <v>140</v>
      </c>
      <c r="B23" s="37"/>
      <c r="C23" s="37"/>
      <c r="D23" s="37"/>
      <c r="E23" s="37"/>
    </row>
    <row r="24" spans="1:5" s="54" customFormat="1" ht="13.8" x14ac:dyDescent="0.3">
      <c r="A24" s="52" t="s">
        <v>98</v>
      </c>
      <c r="B24" s="53"/>
      <c r="C24" s="53"/>
    </row>
    <row r="25" spans="1:5" s="54" customFormat="1" ht="13.8" x14ac:dyDescent="0.3">
      <c r="A25" s="52" t="s">
        <v>99</v>
      </c>
      <c r="B25" s="53"/>
      <c r="C25" s="53"/>
    </row>
    <row r="26" spans="1:5" x14ac:dyDescent="0.3">
      <c r="A26" s="18"/>
      <c r="B26" s="18"/>
      <c r="C26" s="18"/>
    </row>
    <row r="33" spans="1:3" x14ac:dyDescent="0.3">
      <c r="A33" s="37" t="s">
        <v>0</v>
      </c>
      <c r="B33" s="37" t="s">
        <v>88</v>
      </c>
      <c r="C33" s="37" t="s">
        <v>87</v>
      </c>
    </row>
    <row r="34" spans="1:3" x14ac:dyDescent="0.3">
      <c r="A34" s="32" t="s">
        <v>41</v>
      </c>
      <c r="B34" s="33">
        <v>4.8786393448977554</v>
      </c>
      <c r="C34" s="33">
        <v>2.7681081206256675</v>
      </c>
    </row>
    <row r="35" spans="1:3" x14ac:dyDescent="0.3">
      <c r="A35" s="32" t="s">
        <v>39</v>
      </c>
      <c r="B35" s="33">
        <v>4.2955030646418226</v>
      </c>
      <c r="C35" s="33">
        <v>4.8107743173739559</v>
      </c>
    </row>
    <row r="36" spans="1:3" x14ac:dyDescent="0.3">
      <c r="A36" s="32" t="s">
        <v>38</v>
      </c>
      <c r="B36" s="33">
        <v>4.8357942733660524</v>
      </c>
      <c r="C36" s="33">
        <v>3.274864678771694</v>
      </c>
    </row>
    <row r="37" spans="1:3" x14ac:dyDescent="0.3">
      <c r="A37" s="32" t="s">
        <v>40</v>
      </c>
      <c r="B37" s="33">
        <v>4.1200046424292456</v>
      </c>
      <c r="C37" s="33">
        <v>3.8909212345958455</v>
      </c>
    </row>
    <row r="38" spans="1:3" x14ac:dyDescent="0.3">
      <c r="A38" s="32" t="s">
        <v>42</v>
      </c>
      <c r="B38" s="33">
        <v>3.332582985814553</v>
      </c>
      <c r="C38" s="33">
        <v>3.1864991765754525</v>
      </c>
    </row>
    <row r="55" spans="1:5" x14ac:dyDescent="0.3">
      <c r="A55" s="37" t="s">
        <v>141</v>
      </c>
      <c r="B55" s="37"/>
      <c r="C55" s="37"/>
      <c r="D55" s="37"/>
      <c r="E55" s="37"/>
    </row>
    <row r="56" spans="1:5" s="54" customFormat="1" ht="13.8" x14ac:dyDescent="0.3">
      <c r="A56" s="52" t="s">
        <v>100</v>
      </c>
      <c r="B56" s="53"/>
      <c r="C56" s="53"/>
    </row>
    <row r="57" spans="1:5" s="54" customFormat="1" ht="13.8" x14ac:dyDescent="0.3">
      <c r="A57" s="52" t="s">
        <v>101</v>
      </c>
      <c r="B57" s="53"/>
      <c r="C57" s="53"/>
    </row>
    <row r="58" spans="1:5" s="54" customFormat="1" ht="13.8" x14ac:dyDescent="0.3">
      <c r="A58" s="52" t="s">
        <v>102</v>
      </c>
      <c r="B58" s="53"/>
      <c r="C58" s="53"/>
    </row>
    <row r="63" spans="1:5" x14ac:dyDescent="0.3">
      <c r="A63" s="37" t="s">
        <v>0</v>
      </c>
      <c r="B63" s="37" t="s">
        <v>92</v>
      </c>
      <c r="C63" s="37" t="s">
        <v>93</v>
      </c>
      <c r="D63" s="37" t="s">
        <v>94</v>
      </c>
    </row>
    <row r="64" spans="1:5" x14ac:dyDescent="0.3">
      <c r="A64" s="32" t="s">
        <v>41</v>
      </c>
      <c r="B64" s="33">
        <v>1.284</v>
      </c>
      <c r="C64" s="33">
        <v>2.7681081206256675</v>
      </c>
      <c r="D64" s="33">
        <v>2.8781461099999999</v>
      </c>
    </row>
    <row r="65" spans="1:4" x14ac:dyDescent="0.3">
      <c r="A65" s="32" t="s">
        <v>39</v>
      </c>
      <c r="B65" s="33">
        <v>1.0720000000000001</v>
      </c>
      <c r="C65" s="33">
        <v>4.8107743173739559</v>
      </c>
      <c r="D65" s="33">
        <v>4.4952680459000005</v>
      </c>
    </row>
    <row r="66" spans="1:4" x14ac:dyDescent="0.3">
      <c r="A66" s="32" t="s">
        <v>38</v>
      </c>
      <c r="B66" s="33">
        <v>3.387</v>
      </c>
      <c r="C66" s="33">
        <v>3.274864678771694</v>
      </c>
      <c r="D66" s="33">
        <v>15.54436415</v>
      </c>
    </row>
    <row r="67" spans="1:4" x14ac:dyDescent="0.3">
      <c r="A67" s="32" t="s">
        <v>40</v>
      </c>
      <c r="B67" s="33">
        <v>3.7170000000000001</v>
      </c>
      <c r="C67" s="33">
        <v>3.8909212345958455</v>
      </c>
      <c r="D67" s="33">
        <v>19.843721469999998</v>
      </c>
    </row>
    <row r="68" spans="1:4" x14ac:dyDescent="0.3">
      <c r="A68" s="32" t="s">
        <v>42</v>
      </c>
      <c r="B68" s="33">
        <v>3.2410000000000001</v>
      </c>
      <c r="C68" s="33">
        <v>3.1864991765754525</v>
      </c>
      <c r="D68" s="33">
        <v>7.6298390899999999</v>
      </c>
    </row>
  </sheetData>
  <mergeCells count="7">
    <mergeCell ref="Q1:S1"/>
    <mergeCell ref="N1:O1"/>
    <mergeCell ref="A3:C3"/>
    <mergeCell ref="D1:D2"/>
    <mergeCell ref="F1:F2"/>
    <mergeCell ref="G1:G2"/>
    <mergeCell ref="I1:L1"/>
  </mergeCells>
  <conditionalFormatting sqref="I4:I8">
    <cfRule type="cellIs" dxfId="9" priority="13" operator="greaterThanOrEqual">
      <formula>0</formula>
    </cfRule>
    <cfRule type="cellIs" dxfId="8" priority="14" operator="lessThan">
      <formula>0</formula>
    </cfRule>
  </conditionalFormatting>
  <conditionalFormatting sqref="J4:L8">
    <cfRule type="cellIs" dxfId="7" priority="11" operator="greaterThanOrEqual">
      <formula>0</formula>
    </cfRule>
    <cfRule type="cellIs" dxfId="6" priority="12"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0!A1" display="Grįžti į pagrindinį puslapį"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N69"/>
  <sheetViews>
    <sheetView showGridLines="0" zoomScale="70" zoomScaleNormal="70" workbookViewId="0">
      <selection activeCell="G2" sqref="G2"/>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93" t="s">
        <v>89</v>
      </c>
      <c r="B1" s="95" t="s">
        <v>95</v>
      </c>
      <c r="C1" s="98"/>
      <c r="D1" s="98"/>
      <c r="E1" s="98"/>
      <c r="F1" s="96"/>
      <c r="N1" s="19"/>
    </row>
    <row r="2" spans="1:14" ht="58.8" customHeight="1" x14ac:dyDescent="0.25">
      <c r="A2" s="94" t="s">
        <v>89</v>
      </c>
      <c r="B2" s="24" t="s">
        <v>103</v>
      </c>
      <c r="C2" s="24" t="s">
        <v>104</v>
      </c>
      <c r="D2" s="24" t="s">
        <v>105</v>
      </c>
      <c r="E2" s="24" t="s">
        <v>36</v>
      </c>
      <c r="F2" s="24" t="s">
        <v>37</v>
      </c>
      <c r="G2" s="57" t="s">
        <v>91</v>
      </c>
    </row>
    <row r="3" spans="1:14" x14ac:dyDescent="0.25">
      <c r="A3" s="56">
        <v>20</v>
      </c>
      <c r="B3" s="34">
        <v>98</v>
      </c>
      <c r="C3" s="34">
        <v>97</v>
      </c>
      <c r="D3" s="34">
        <v>93</v>
      </c>
      <c r="E3" s="34">
        <v>90</v>
      </c>
      <c r="F3" s="34">
        <v>90</v>
      </c>
    </row>
    <row r="4" spans="1:14" x14ac:dyDescent="0.25">
      <c r="A4" s="56">
        <v>21</v>
      </c>
      <c r="B4" s="34">
        <v>98</v>
      </c>
      <c r="C4" s="34">
        <v>97</v>
      </c>
      <c r="D4" s="34">
        <v>93</v>
      </c>
      <c r="E4" s="34">
        <v>90</v>
      </c>
      <c r="F4" s="34">
        <v>90</v>
      </c>
    </row>
    <row r="5" spans="1:14" x14ac:dyDescent="0.25">
      <c r="A5" s="56">
        <v>22</v>
      </c>
      <c r="B5" s="34">
        <v>98</v>
      </c>
      <c r="C5" s="34">
        <v>97</v>
      </c>
      <c r="D5" s="34">
        <v>93</v>
      </c>
      <c r="E5" s="34">
        <v>90</v>
      </c>
      <c r="F5" s="34">
        <v>90</v>
      </c>
    </row>
    <row r="6" spans="1:14" x14ac:dyDescent="0.25">
      <c r="A6" s="56">
        <v>23</v>
      </c>
      <c r="B6" s="34">
        <v>98</v>
      </c>
      <c r="C6" s="34">
        <v>97</v>
      </c>
      <c r="D6" s="34">
        <v>93</v>
      </c>
      <c r="E6" s="34">
        <v>90</v>
      </c>
      <c r="F6" s="34">
        <v>90</v>
      </c>
    </row>
    <row r="7" spans="1:14" x14ac:dyDescent="0.25">
      <c r="A7" s="56">
        <v>24</v>
      </c>
      <c r="B7" s="34">
        <v>98</v>
      </c>
      <c r="C7" s="34">
        <v>97</v>
      </c>
      <c r="D7" s="34">
        <v>93</v>
      </c>
      <c r="E7" s="34">
        <v>90</v>
      </c>
      <c r="F7" s="34">
        <v>90</v>
      </c>
    </row>
    <row r="8" spans="1:14" x14ac:dyDescent="0.25">
      <c r="A8" s="56">
        <v>25</v>
      </c>
      <c r="B8" s="34">
        <v>98</v>
      </c>
      <c r="C8" s="34">
        <v>97</v>
      </c>
      <c r="D8" s="34">
        <v>93</v>
      </c>
      <c r="E8" s="34">
        <v>90</v>
      </c>
      <c r="F8" s="34">
        <v>90</v>
      </c>
    </row>
    <row r="9" spans="1:14" x14ac:dyDescent="0.25">
      <c r="A9" s="56">
        <v>26</v>
      </c>
      <c r="B9" s="34">
        <v>98</v>
      </c>
      <c r="C9" s="34">
        <v>97</v>
      </c>
      <c r="D9" s="34">
        <v>93</v>
      </c>
      <c r="E9" s="34">
        <v>90</v>
      </c>
      <c r="F9" s="34">
        <v>90</v>
      </c>
    </row>
    <row r="10" spans="1:14" x14ac:dyDescent="0.25">
      <c r="A10" s="56">
        <v>27</v>
      </c>
      <c r="B10" s="34">
        <v>98</v>
      </c>
      <c r="C10" s="34">
        <v>97</v>
      </c>
      <c r="D10" s="34">
        <v>93</v>
      </c>
      <c r="E10" s="34">
        <v>90</v>
      </c>
      <c r="F10" s="34">
        <v>90</v>
      </c>
    </row>
    <row r="11" spans="1:14" x14ac:dyDescent="0.25">
      <c r="A11" s="56">
        <v>28</v>
      </c>
      <c r="B11" s="34">
        <v>98</v>
      </c>
      <c r="C11" s="34">
        <v>97</v>
      </c>
      <c r="D11" s="34">
        <v>93</v>
      </c>
      <c r="E11" s="34">
        <v>90</v>
      </c>
      <c r="F11" s="34">
        <v>90</v>
      </c>
    </row>
    <row r="12" spans="1:14" x14ac:dyDescent="0.25">
      <c r="A12" s="56">
        <v>29</v>
      </c>
      <c r="B12" s="34">
        <v>98</v>
      </c>
      <c r="C12" s="34">
        <v>97</v>
      </c>
      <c r="D12" s="34">
        <v>93</v>
      </c>
      <c r="E12" s="34">
        <v>90</v>
      </c>
      <c r="F12" s="34">
        <v>90</v>
      </c>
    </row>
    <row r="13" spans="1:14" x14ac:dyDescent="0.25">
      <c r="A13" s="56">
        <v>30</v>
      </c>
      <c r="B13" s="34">
        <v>98</v>
      </c>
      <c r="C13" s="34">
        <v>97</v>
      </c>
      <c r="D13" s="34">
        <v>93</v>
      </c>
      <c r="E13" s="34">
        <v>90</v>
      </c>
      <c r="F13" s="34">
        <v>90</v>
      </c>
    </row>
    <row r="14" spans="1:14" x14ac:dyDescent="0.25">
      <c r="A14" s="56">
        <v>31</v>
      </c>
      <c r="B14" s="34">
        <v>98</v>
      </c>
      <c r="C14" s="34">
        <v>97</v>
      </c>
      <c r="D14" s="34">
        <v>93</v>
      </c>
      <c r="E14" s="34">
        <v>90</v>
      </c>
      <c r="F14" s="34">
        <v>90</v>
      </c>
    </row>
    <row r="15" spans="1:14" x14ac:dyDescent="0.25">
      <c r="A15" s="56">
        <v>32</v>
      </c>
      <c r="B15" s="34">
        <v>98</v>
      </c>
      <c r="C15" s="34">
        <v>97</v>
      </c>
      <c r="D15" s="34">
        <v>93</v>
      </c>
      <c r="E15" s="34">
        <v>90</v>
      </c>
      <c r="F15" s="34">
        <v>90</v>
      </c>
    </row>
    <row r="16" spans="1:14" x14ac:dyDescent="0.25">
      <c r="A16" s="56">
        <v>33</v>
      </c>
      <c r="B16" s="34">
        <v>98</v>
      </c>
      <c r="C16" s="34">
        <v>97</v>
      </c>
      <c r="D16" s="34">
        <v>93</v>
      </c>
      <c r="E16" s="34">
        <v>90</v>
      </c>
      <c r="F16" s="34">
        <v>90</v>
      </c>
    </row>
    <row r="17" spans="1:6" x14ac:dyDescent="0.25">
      <c r="A17" s="56">
        <v>34</v>
      </c>
      <c r="B17" s="34">
        <v>98</v>
      </c>
      <c r="C17" s="34">
        <v>97</v>
      </c>
      <c r="D17" s="34">
        <v>93</v>
      </c>
      <c r="E17" s="34">
        <v>90</v>
      </c>
      <c r="F17" s="34">
        <v>90</v>
      </c>
    </row>
    <row r="18" spans="1:6" x14ac:dyDescent="0.25">
      <c r="A18" s="56">
        <v>35</v>
      </c>
      <c r="B18" s="34">
        <v>98</v>
      </c>
      <c r="C18" s="34">
        <v>97</v>
      </c>
      <c r="D18" s="34">
        <v>93</v>
      </c>
      <c r="E18" s="34">
        <v>90</v>
      </c>
      <c r="F18" s="34">
        <v>90</v>
      </c>
    </row>
    <row r="19" spans="1:6" x14ac:dyDescent="0.25">
      <c r="A19" s="56">
        <v>36</v>
      </c>
      <c r="B19" s="34">
        <v>98</v>
      </c>
      <c r="C19" s="34">
        <v>97</v>
      </c>
      <c r="D19" s="34">
        <v>93</v>
      </c>
      <c r="E19" s="34">
        <v>90</v>
      </c>
      <c r="F19" s="34">
        <v>90</v>
      </c>
    </row>
    <row r="20" spans="1:6" x14ac:dyDescent="0.25">
      <c r="A20" s="56">
        <v>37</v>
      </c>
      <c r="B20" s="34">
        <v>98</v>
      </c>
      <c r="C20" s="34">
        <v>97</v>
      </c>
      <c r="D20" s="34">
        <v>93</v>
      </c>
      <c r="E20" s="34">
        <v>90</v>
      </c>
      <c r="F20" s="34">
        <v>90</v>
      </c>
    </row>
    <row r="21" spans="1:6" x14ac:dyDescent="0.25">
      <c r="A21" s="56">
        <v>38</v>
      </c>
      <c r="B21" s="34">
        <v>98</v>
      </c>
      <c r="C21" s="34">
        <v>97</v>
      </c>
      <c r="D21" s="34">
        <v>93</v>
      </c>
      <c r="E21" s="34">
        <v>90</v>
      </c>
      <c r="F21" s="34">
        <v>90</v>
      </c>
    </row>
    <row r="22" spans="1:6" x14ac:dyDescent="0.25">
      <c r="A22" s="56">
        <v>39</v>
      </c>
      <c r="B22" s="34">
        <v>98</v>
      </c>
      <c r="C22" s="34">
        <v>97</v>
      </c>
      <c r="D22" s="34">
        <v>93</v>
      </c>
      <c r="E22" s="34">
        <v>90</v>
      </c>
      <c r="F22" s="34">
        <v>90</v>
      </c>
    </row>
    <row r="23" spans="1:6" x14ac:dyDescent="0.25">
      <c r="A23" s="56">
        <v>40</v>
      </c>
      <c r="B23" s="34">
        <v>98</v>
      </c>
      <c r="C23" s="34">
        <v>97</v>
      </c>
      <c r="D23" s="34">
        <v>93</v>
      </c>
      <c r="E23" s="34">
        <v>90</v>
      </c>
      <c r="F23" s="34">
        <v>90</v>
      </c>
    </row>
    <row r="24" spans="1:6" x14ac:dyDescent="0.25">
      <c r="A24" s="56">
        <v>41</v>
      </c>
      <c r="B24" s="34">
        <v>98</v>
      </c>
      <c r="C24" s="34">
        <v>97</v>
      </c>
      <c r="D24" s="34">
        <v>93</v>
      </c>
      <c r="E24" s="34">
        <v>90</v>
      </c>
      <c r="F24" s="34">
        <v>90</v>
      </c>
    </row>
    <row r="25" spans="1:6" x14ac:dyDescent="0.25">
      <c r="A25" s="56">
        <v>42</v>
      </c>
      <c r="B25" s="34">
        <v>98</v>
      </c>
      <c r="C25" s="34">
        <v>97</v>
      </c>
      <c r="D25" s="34">
        <v>93</v>
      </c>
      <c r="E25" s="34">
        <v>90</v>
      </c>
      <c r="F25" s="34">
        <v>90</v>
      </c>
    </row>
    <row r="26" spans="1:6" x14ac:dyDescent="0.25">
      <c r="A26" s="56">
        <v>43</v>
      </c>
      <c r="B26" s="34">
        <v>98</v>
      </c>
      <c r="C26" s="34">
        <v>97</v>
      </c>
      <c r="D26" s="34">
        <v>93</v>
      </c>
      <c r="E26" s="34">
        <v>90</v>
      </c>
      <c r="F26" s="34">
        <v>90</v>
      </c>
    </row>
    <row r="27" spans="1:6" x14ac:dyDescent="0.25">
      <c r="A27" s="56">
        <v>44</v>
      </c>
      <c r="B27" s="34">
        <v>98</v>
      </c>
      <c r="C27" s="34">
        <v>97</v>
      </c>
      <c r="D27" s="34">
        <v>93</v>
      </c>
      <c r="E27" s="34">
        <v>90</v>
      </c>
      <c r="F27" s="34">
        <v>90</v>
      </c>
    </row>
    <row r="28" spans="1:6" x14ac:dyDescent="0.25">
      <c r="A28" s="56">
        <v>45</v>
      </c>
      <c r="B28" s="34">
        <v>98</v>
      </c>
      <c r="C28" s="34">
        <v>97</v>
      </c>
      <c r="D28" s="34">
        <v>93</v>
      </c>
      <c r="E28" s="34">
        <v>90</v>
      </c>
      <c r="F28" s="34">
        <v>90</v>
      </c>
    </row>
    <row r="29" spans="1:6" x14ac:dyDescent="0.25">
      <c r="A29" s="56">
        <v>46</v>
      </c>
      <c r="B29" s="34">
        <v>98</v>
      </c>
      <c r="C29" s="34">
        <v>97</v>
      </c>
      <c r="D29" s="34">
        <v>93</v>
      </c>
      <c r="E29" s="34">
        <v>90</v>
      </c>
      <c r="F29" s="34">
        <v>89</v>
      </c>
    </row>
    <row r="30" spans="1:6" x14ac:dyDescent="0.25">
      <c r="A30" s="56">
        <v>47</v>
      </c>
      <c r="B30" s="34">
        <v>98</v>
      </c>
      <c r="C30" s="34">
        <v>97</v>
      </c>
      <c r="D30" s="34">
        <v>93</v>
      </c>
      <c r="E30" s="34">
        <v>90</v>
      </c>
      <c r="F30" s="34">
        <v>87</v>
      </c>
    </row>
    <row r="31" spans="1:6" x14ac:dyDescent="0.25">
      <c r="A31" s="56">
        <v>48</v>
      </c>
      <c r="B31" s="34">
        <v>92.9</v>
      </c>
      <c r="C31" s="34">
        <v>91.88</v>
      </c>
      <c r="D31" s="34">
        <v>93</v>
      </c>
      <c r="E31" s="34">
        <v>90</v>
      </c>
      <c r="F31" s="34">
        <v>83</v>
      </c>
    </row>
    <row r="32" spans="1:6" x14ac:dyDescent="0.25">
      <c r="A32" s="56">
        <v>49</v>
      </c>
      <c r="B32" s="34">
        <v>87.9</v>
      </c>
      <c r="C32" s="34">
        <v>86.77</v>
      </c>
      <c r="D32" s="34">
        <v>90</v>
      </c>
      <c r="E32" s="34">
        <v>90</v>
      </c>
      <c r="F32" s="34">
        <v>78</v>
      </c>
    </row>
    <row r="33" spans="1:6" x14ac:dyDescent="0.25">
      <c r="A33" s="56">
        <v>50</v>
      </c>
      <c r="B33" s="34">
        <v>82.899999999999991</v>
      </c>
      <c r="C33" s="34">
        <v>81.64</v>
      </c>
      <c r="D33" s="34">
        <v>85</v>
      </c>
      <c r="E33" s="34">
        <v>85</v>
      </c>
      <c r="F33" s="34">
        <v>72</v>
      </c>
    </row>
    <row r="34" spans="1:6" x14ac:dyDescent="0.25">
      <c r="A34" s="56">
        <v>51</v>
      </c>
      <c r="B34" s="34">
        <v>78</v>
      </c>
      <c r="C34" s="34">
        <v>76.530000000000015</v>
      </c>
      <c r="D34" s="34">
        <v>80</v>
      </c>
      <c r="E34" s="34">
        <v>80</v>
      </c>
      <c r="F34" s="34">
        <v>66</v>
      </c>
    </row>
    <row r="35" spans="1:6" x14ac:dyDescent="0.25">
      <c r="A35" s="56">
        <v>52</v>
      </c>
      <c r="B35" s="34">
        <v>73.099999999999994</v>
      </c>
      <c r="C35" s="34">
        <v>71.41</v>
      </c>
      <c r="D35" s="34">
        <v>75</v>
      </c>
      <c r="E35" s="34">
        <v>75</v>
      </c>
      <c r="F35" s="34">
        <v>59</v>
      </c>
    </row>
    <row r="36" spans="1:6" x14ac:dyDescent="0.25">
      <c r="A36" s="56">
        <v>53</v>
      </c>
      <c r="B36" s="34">
        <v>68.099999999999994</v>
      </c>
      <c r="C36" s="34">
        <v>66.3</v>
      </c>
      <c r="D36" s="34">
        <v>70</v>
      </c>
      <c r="E36" s="34">
        <v>70</v>
      </c>
      <c r="F36" s="34">
        <v>54</v>
      </c>
    </row>
    <row r="37" spans="1:6" x14ac:dyDescent="0.25">
      <c r="A37" s="56">
        <v>54</v>
      </c>
      <c r="B37" s="34">
        <v>63.3</v>
      </c>
      <c r="C37" s="34">
        <v>61.18</v>
      </c>
      <c r="D37" s="34">
        <v>65</v>
      </c>
      <c r="E37" s="34">
        <v>65</v>
      </c>
      <c r="F37" s="34">
        <v>48</v>
      </c>
    </row>
    <row r="38" spans="1:6" x14ac:dyDescent="0.25">
      <c r="A38" s="56">
        <v>55</v>
      </c>
      <c r="B38" s="34">
        <v>58.5</v>
      </c>
      <c r="C38" s="34">
        <v>56.06</v>
      </c>
      <c r="D38" s="34">
        <v>60</v>
      </c>
      <c r="E38" s="34">
        <v>60</v>
      </c>
      <c r="F38" s="34">
        <v>43</v>
      </c>
    </row>
    <row r="39" spans="1:6" x14ac:dyDescent="0.25">
      <c r="A39" s="56">
        <v>56</v>
      </c>
      <c r="B39" s="34">
        <v>53.800000000000004</v>
      </c>
      <c r="C39" s="34">
        <v>50.94</v>
      </c>
      <c r="D39" s="34">
        <v>55.000000000000007</v>
      </c>
      <c r="E39" s="34">
        <v>55.000000000000007</v>
      </c>
      <c r="F39" s="34">
        <v>39</v>
      </c>
    </row>
    <row r="40" spans="1:6" x14ac:dyDescent="0.25">
      <c r="A40" s="56">
        <v>57</v>
      </c>
      <c r="B40" s="34">
        <v>49.1</v>
      </c>
      <c r="C40" s="34">
        <v>45.82</v>
      </c>
      <c r="D40" s="34">
        <v>50</v>
      </c>
      <c r="E40" s="34">
        <v>50</v>
      </c>
      <c r="F40" s="34">
        <v>35</v>
      </c>
    </row>
    <row r="41" spans="1:6" x14ac:dyDescent="0.25">
      <c r="A41" s="56">
        <v>58</v>
      </c>
      <c r="B41" s="34">
        <v>44.4</v>
      </c>
      <c r="C41" s="34">
        <v>40.71</v>
      </c>
      <c r="D41" s="34">
        <v>44.999999999999993</v>
      </c>
      <c r="E41" s="34">
        <v>45</v>
      </c>
      <c r="F41" s="34">
        <v>32</v>
      </c>
    </row>
    <row r="42" spans="1:6" x14ac:dyDescent="0.25">
      <c r="A42" s="56">
        <v>59</v>
      </c>
      <c r="B42" s="34">
        <v>39.800000000000004</v>
      </c>
      <c r="C42" s="34">
        <v>35.589999999999996</v>
      </c>
      <c r="D42" s="34">
        <v>40</v>
      </c>
      <c r="E42" s="34">
        <v>40</v>
      </c>
      <c r="F42" s="34">
        <v>28.000000000000004</v>
      </c>
    </row>
    <row r="43" spans="1:6" x14ac:dyDescent="0.25">
      <c r="A43" s="56">
        <v>60</v>
      </c>
      <c r="B43" s="34">
        <v>35.299999999999997</v>
      </c>
      <c r="C43" s="34">
        <v>30.470000000000002</v>
      </c>
      <c r="D43" s="34">
        <v>35</v>
      </c>
      <c r="E43" s="34">
        <v>35</v>
      </c>
      <c r="F43" s="34">
        <v>26</v>
      </c>
    </row>
    <row r="44" spans="1:6" x14ac:dyDescent="0.25">
      <c r="A44" s="56">
        <v>61</v>
      </c>
      <c r="B44" s="34">
        <v>30.8</v>
      </c>
      <c r="C44" s="34">
        <v>25.35</v>
      </c>
      <c r="D44" s="34">
        <v>30</v>
      </c>
      <c r="E44" s="34">
        <v>30</v>
      </c>
      <c r="F44" s="34">
        <v>23</v>
      </c>
    </row>
    <row r="45" spans="1:6" x14ac:dyDescent="0.25">
      <c r="A45" s="56">
        <v>62</v>
      </c>
      <c r="B45" s="34">
        <v>26.6</v>
      </c>
      <c r="C45" s="34">
        <v>20.239999999999998</v>
      </c>
      <c r="D45" s="34">
        <v>25</v>
      </c>
      <c r="E45" s="34">
        <v>25</v>
      </c>
      <c r="F45" s="34">
        <v>21</v>
      </c>
    </row>
    <row r="46" spans="1:6" x14ac:dyDescent="0.25">
      <c r="A46" s="56">
        <v>63</v>
      </c>
      <c r="B46" s="34">
        <v>22.400000000000002</v>
      </c>
      <c r="C46" s="34">
        <v>15.120000000000001</v>
      </c>
      <c r="D46" s="34">
        <v>20</v>
      </c>
      <c r="E46" s="34">
        <v>20</v>
      </c>
      <c r="F46" s="34">
        <v>19</v>
      </c>
    </row>
    <row r="47" spans="1:6" x14ac:dyDescent="0.25">
      <c r="A47" s="56">
        <v>64</v>
      </c>
      <c r="B47" s="34">
        <v>18.5</v>
      </c>
      <c r="C47" s="34">
        <v>10</v>
      </c>
      <c r="D47" s="34">
        <v>15</v>
      </c>
      <c r="E47" s="34">
        <v>15</v>
      </c>
      <c r="F47" s="34">
        <v>17</v>
      </c>
    </row>
    <row r="48" spans="1:6" x14ac:dyDescent="0.25">
      <c r="A48" s="56">
        <v>65</v>
      </c>
      <c r="B48" s="34">
        <v>18.5</v>
      </c>
      <c r="C48" s="34">
        <v>10</v>
      </c>
      <c r="D48" s="34">
        <v>15</v>
      </c>
      <c r="E48" s="34">
        <v>10</v>
      </c>
      <c r="F48" s="34">
        <v>15</v>
      </c>
    </row>
    <row r="49" spans="1:6" x14ac:dyDescent="0.25">
      <c r="A49" s="56">
        <v>66</v>
      </c>
      <c r="B49" s="34">
        <v>18.5</v>
      </c>
      <c r="C49" s="34">
        <v>10</v>
      </c>
      <c r="D49" s="34">
        <v>15</v>
      </c>
      <c r="E49" s="34">
        <v>10</v>
      </c>
      <c r="F49" s="34">
        <v>15</v>
      </c>
    </row>
    <row r="50" spans="1:6" x14ac:dyDescent="0.25">
      <c r="A50" s="56">
        <v>67</v>
      </c>
      <c r="B50" s="34">
        <v>18.5</v>
      </c>
      <c r="C50" s="34">
        <v>10</v>
      </c>
      <c r="D50" s="34">
        <v>15</v>
      </c>
      <c r="E50" s="34">
        <v>10</v>
      </c>
      <c r="F50" s="34">
        <v>15</v>
      </c>
    </row>
    <row r="51" spans="1:6" x14ac:dyDescent="0.25">
      <c r="A51" s="56">
        <v>68</v>
      </c>
      <c r="B51" s="34">
        <v>18.5</v>
      </c>
      <c r="C51" s="34">
        <v>10</v>
      </c>
      <c r="D51" s="34">
        <v>15</v>
      </c>
      <c r="E51" s="34">
        <v>10</v>
      </c>
      <c r="F51" s="34">
        <v>15</v>
      </c>
    </row>
    <row r="52" spans="1:6" x14ac:dyDescent="0.25">
      <c r="A52" s="49" t="s">
        <v>96</v>
      </c>
      <c r="B52" s="49"/>
      <c r="C52" s="49"/>
      <c r="D52" s="49"/>
      <c r="E52" s="49"/>
      <c r="F52" s="49"/>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0!A1" display="Grįžti į pagrindinį puslapį" xr:uid="{00000000-0004-0000-09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GCF_2020</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2021-05-03T08:17:45Z</dcterms:modified>
</cp:coreProperties>
</file>